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4d33c18166dd472e" /></Relationships>
</file>

<file path=xl/workbook.xml><?xml version="1.0" encoding="utf-8"?>
<x:workbook xmlns:x="http://schemas.openxmlformats.org/spreadsheetml/2006/main">
  <x:sheets>
    <x:sheet xmlns:r="http://schemas.openxmlformats.org/officeDocument/2006/relationships" name="Спорная зона" sheetId="1" r:id="R8878f45059f64a59"/>
    <x:sheet xmlns:r="http://schemas.openxmlformats.org/officeDocument/2006/relationships" name="Опись" sheetId="2" r:id="R5db40b79cf2a4ac3"/>
    <x:sheet xmlns:r="http://schemas.openxmlformats.org/officeDocument/2006/relationships" name="Обязательный минимум" sheetId="3" r:id="R928d537cced34ea0"/>
    <x:sheet xmlns:r="http://schemas.openxmlformats.org/officeDocument/2006/relationships" name="Сводка" sheetId="4" r:id="R22e00cdcec694fc4"/>
    <x:sheet xmlns:r="http://schemas.openxmlformats.org/officeDocument/2006/relationships" name="Виды" sheetId="5" r:id="R331a721a82574f8e"/>
    <x:sheet xmlns:r="http://schemas.openxmlformats.org/officeDocument/2006/relationships" name="Пример заполнения" sheetId="6" r:id="R08f93c9da9314a85"/>
  </x:sheets>
  <x:definedNames>
    <x:definedName name="_xlnm.Print_Area" localSheetId="0">'Спорная зона'!$A$1:$I$28</x:definedName>
    <x:definedName name="_xlnm.Print_Area" localSheetId="1">'Опись'!$A$1:$H$208,'Опись'!$I$1:$O$208,'Опись'!$P$1:$U$208</x:definedName>
    <x:definedName name="_xlnm.Print_Titles" localSheetId="1">'Опись'!$A:$C,'Опись'!$6:$6</x:definedName>
    <x:definedName name="_xlnm.Print_Area" localSheetId="2">'Обязательный минимум'!$A$1:$J$65</x:definedName>
    <x:definedName name="_xlnm.Print_Titles" localSheetId="2">'Обязательный минимум'!$4:$4</x:definedName>
    <x:definedName name="_xlnm.Print_Area" localSheetId="3">'Сводка'!$A$1:$I$28</x:definedName>
    <x:definedName name="_xlnm.Print_Area" localSheetId="4">'Виды'!$A$1:$I$28</x:definedName>
    <x:definedName name="_xlnm.Print_Area" localSheetId="5">'Пример заполнения'!$A$1:$H$28,'Пример заполнения'!$I$1:$O$28,'Пример заполнения'!$P$1:$U$28</x:definedName>
    <x:definedName name="_xlnm.Print_Titles" localSheetId="5">'Пример заполнения'!$A:$C,'Пример заполнения'!$5:$5</x:definedName>
  </x:definedNames>
  <x:calcPr calcMode="auto" fullCalcOnLoad="1" forceFullCalc="1"/>
</x:workbook>
</file>

<file path=xl/comments1.xml><?xml version="1.0" encoding="utf-8"?>
<x:comments xmlns:x="http://schemas.openxmlformats.org/spreadsheetml/2006/main">
  <x:authors>
    <x:author>Маржа в бетоне</x:author>
  </x:authors>
  <x:commentList>
    <x:comment ref="A6" authorId="0">
      <x:text>
        <x:r>
          <x:t>сквозной, считается сам</x:t>
        </x:r>
      </x:text>
    </x:comment>
    <x:comment ref="B6" authorId="0">
      <x:text>
        <x:r>
          <x:t>справочник листа «Виды»</x:t>
        </x:r>
      </x:text>
    </x:comment>
    <x:comment ref="C6" authorId="0">
      <x:text>
        <x:r>
          <x:t>что за документ, номер и дата — так, как он назван в самом документе</x:t>
        </x:r>
      </x:text>
    </x:comment>
    <x:comment ref="D6" authorId="0">
      <x:text>
        <x:r>
          <x:t>участок в пределах зоны: оси, отметки, конструкция, помещение</x:t>
        </x:r>
      </x:text>
    </x:comment>
    <x:comment ref="F6" authorId="0">
      <x:text>
        <x:r>
          <x:t>стороны и лица, подписавшие документ; для одностороннего так и пишется</x:t>
        </x:r>
      </x:text>
    </x:comment>
    <x:comment ref="G6" authorId="0">
      <x:text>
        <x:r>
          <x:t>оригинал / копия / скан / нет</x:t>
        </x:r>
      </x:text>
    </x:comment>
    <x:comment ref="H6" authorId="0">
      <x:text>
        <x:r>
          <x:t>папка, шкаф, ЭДО, у кого на руках; «неизвестно» — тоже ответ и повод искать сейчас, а не перед заседанием</x:t>
        </x:r>
      </x:text>
    </x:comment>
    <x:comment ref="I6" authorId="0">
      <x:text>
        <x:r>
          <x:t>справочник листа «Виды»</x:t>
        </x:r>
      </x:text>
    </x:comment>
    <x:comment ref="J6" authorId="0">
      <x:text>
        <x:r>
          <x:t>без этого документа причина по вашей версии не доказывается</x:t>
        </x:r>
      </x:text>
    </x:comment>
    <x:comment ref="M6" authorId="0">
      <x:text>
        <x:r>
          <x:t>опись вложения, ЭДО, письмо №; передача без следа = не передана</x:t>
        </x:r>
      </x:text>
    </x:comment>
    <x:comment ref="P6" authorId="0">
      <x:text>
        <x:r>
          <x:t>заполняется, когда документа у вас нет, а у оппонента он есть</x:t>
        </x:r>
      </x:text>
    </x:comment>
    <x:comment ref="S6" authorId="0">
      <x:text>
        <x:r>
          <x:t>другие документы того же обстоятельства: фото, переписка, журнал, отметка в акте. Колонка не объявляет их заменой отсутствующего документа — она собирает всё, что по этому обстоятельству есть, а вес каждого оценивает представитель. Пустая клетка при «обязателен = да» и «наличие = нет» — это и есть дыра</x:t>
        </x:r>
      </x:text>
    </x:comment>
    <x:comment ref="U6" authorId="0">
      <x:text>
        <x:r>
          <x:t>вердикт по строке, считается сам</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DD.MM.YYYY"/>
  </x:numFmts>
  <x:fonts count="39">
    <x:font>
      <x:sz val="11"/>
      <x:color theme="1"/>
      <x:name val="Calibri"/>
    </x:font>
    <x:font>
      <x:b/>
      <x:sz val="14"/>
      <x:name val="Times New Roman"/>
    </x:font>
    <x:font>
      <x:b/>
      <x:sz val="11"/>
      <x:name val="Times New Roman"/>
    </x:font>
    <x:font>
      <x:i/>
      <x:sz val="10"/>
      <x:color rgb="FF595959"/>
      <x:name val="Times New Roman"/>
    </x:font>
    <x:font>
      <x:sz val="11"/>
      <x:color rgb="FF0000FF"/>
      <x:name val="Times New Roman"/>
    </x:font>
    <x:font>
      <x:sz val="11"/>
      <x:name val="Times New Roman"/>
    </x:font>
    <x:font>
      <x:b/>
      <x:sz val="11"/>
      <x:color rgb="FF008000"/>
      <x:name val="Times New Roman"/>
    </x:font>
    <x:font>
      <x:sz val="10"/>
      <x:color rgb="FFC00000"/>
      <x:name val="Times New Roman"/>
    </x:font>
    <x:font>
      <x:i/>
      <x:sz val="10"/>
      <x:color rgb="FFC00000"/>
      <x:name val="Times New Roman"/>
    </x:font>
    <x:font>
      <x:b/>
      <x:sz val="14"/>
      <x:name val="Arial"/>
    </x:font>
    <x:font>
      <x:sz val="11"/>
      <x:color theme="1"/>
      <x:name val="Arial"/>
    </x:font>
    <x:font>
      <x:b/>
      <x:sz val="11"/>
      <x:name val="Arial"/>
    </x:font>
    <x:font>
      <x:i/>
      <x:sz val="10"/>
      <x:color rgb="FF595959"/>
      <x:name val="Arial"/>
    </x:font>
    <x:font>
      <x:sz val="11"/>
      <x:color rgb="FF0000FF"/>
      <x:name val="Arial"/>
    </x:font>
    <x:font>
      <x:b/>
      <x:sz val="10"/>
      <x:name val="Arial"/>
    </x:font>
    <x:font>
      <x:sz val="10"/>
      <x:color theme="1"/>
      <x:name val="Arial"/>
    </x:font>
    <x:font>
      <x:sz val="10"/>
      <x:color rgb="FF0000FF"/>
      <x:name val="Arial"/>
    </x:font>
    <x:font>
      <x:sz val="14"/>
      <x:color theme="1"/>
      <x:name val="Arial"/>
    </x:font>
    <x:font>
      <x:b/>
      <x:sz val="14"/>
      <x:color theme="1"/>
      <x:name val="Arial"/>
    </x:font>
    <x:font>
      <x:b/>
      <x:sz val="14"/>
      <x:color rgb="FFFFFFFF"/>
      <x:name val="Arial"/>
    </x:font>
    <x:font>
      <x:b/>
      <x:sz val="10"/>
      <x:color theme="1"/>
      <x:name val="Arial"/>
    </x:font>
    <x:font>
      <x:b/>
      <x:sz val="10"/>
      <x:color rgb="FF534327"/>
      <x:name val="Arial"/>
    </x:font>
    <x:font>
      <x:sz val="11"/>
      <x:name val="Arial"/>
    </x:font>
    <x:font>
      <x:sz val="10"/>
      <x:name val="Arial"/>
    </x:font>
    <x:font>
      <x:b/>
      <x:sz val="10"/>
      <x:color rgb="FFFFFFFF"/>
      <x:name val="Arial"/>
    </x:font>
    <x:font>
      <x:b/>
      <x:sz val="11"/>
      <x:color rgb="FF008000"/>
      <x:name val="Arial"/>
    </x:font>
    <x:font>
      <x:sz val="10"/>
      <x:color rgb="FFC00000"/>
      <x:name val="Arial"/>
    </x:font>
    <x:font>
      <x:b/>
      <x:sz val="10"/>
      <x:color rgb="FF008000"/>
      <x:name val="Arial"/>
    </x:font>
    <x:font>
      <x:i/>
      <x:sz val="10"/>
      <x:color rgb="FFC00000"/>
      <x:name val="Arial"/>
    </x:font>
    <x:font>
      <x:sz val="10"/>
      <x:color theme="1"/>
      <x:name val="Calibri"/>
    </x:font>
    <x:font>
      <x:b/>
      <x:sz val="10"/>
      <x:color theme="1"/>
      <x:name val="Calibri"/>
    </x:font>
    <x:font>
      <x:b/>
      <x:sz val="10"/>
      <x:color rgb="FF54482D"/>
      <x:name val="Arial"/>
    </x:font>
    <x:font>
      <x:b/>
      <x:sz val="10"/>
      <x:color rgb="FF54482D"/>
      <x:name val="Calibri"/>
    </x:font>
    <x:font>
      <x:i/>
      <x:sz val="9.5"/>
      <x:color rgb="FF595959"/>
      <x:name val="Arial"/>
    </x:font>
    <x:font>
      <x:sz val="9.5"/>
      <x:color theme="1"/>
      <x:name val="Arial"/>
    </x:font>
    <x:font>
      <x:i/>
      <x:sz val="9.5"/>
      <x:color rgb="FF40464D"/>
      <x:name val="Arial"/>
    </x:font>
    <x:font>
      <x:sz val="9.5"/>
      <x:color rgb="FF40464D"/>
      <x:name val="Arial"/>
    </x:font>
    <x:font>
      <x:i/>
      <x:sz val="9.5"/>
      <x:color rgb="FF534327"/>
      <x:name val="Arial"/>
    </x:font>
    <x:font>
      <x:sz val="9.5"/>
      <x:color rgb="FF534327"/>
      <x:name val="Arial"/>
    </x:font>
  </x:fonts>
  <x:fills count="8">
    <x:fill>
      <x:patternFill patternType="none"/>
    </x:fill>
    <x:fill>
      <x:patternFill patternType="gray125"/>
    </x:fill>
    <x:fill>
      <x:patternFill patternType="solid">
        <x:fgColor rgb="FFFFF2CC"/>
      </x:patternFill>
    </x:fill>
    <x:fill>
      <x:patternFill patternType="solid">
        <x:fgColor rgb="FFE7E6E6"/>
      </x:patternFill>
    </x:fill>
    <x:fill>
      <x:patternFill patternType="solid">
        <x:fgColor rgb="FF30353B"/>
      </x:patternFill>
    </x:fill>
    <x:fill>
      <x:patternFill patternType="solid">
        <x:fgColor rgb="FFF6EEDA"/>
      </x:patternFill>
    </x:fill>
    <x:fill>
      <x:patternFill patternType="solid">
        <x:fgColor rgb="FF394047"/>
      </x:patternFill>
    </x:fill>
    <x:fill>
      <x:patternFill patternType="solid">
        <x:fgColor rgb="FFF4F5F6"/>
      </x:patternFill>
    </x:fill>
  </x:fills>
  <x:borders count="9">
    <x:border/>
    <x:border>
      <x:left style="thin">
        <x:color rgb="FFBFBFBF"/>
      </x:left>
      <x:right style="thin">
        <x:color rgb="FFBFBFBF"/>
      </x:right>
      <x:top style="thin">
        <x:color rgb="FFBFBFBF"/>
      </x:top>
      <x:bottom style="thin">
        <x:color rgb="FFBFBFBF"/>
      </x:bottom>
    </x:border>
    <x:border>
      <x:top style="thin">
        <x:color rgb="FFBFBFBF"/>
      </x:top>
    </x:border>
    <x:border>
      <x:right style="thin">
        <x:color rgb="FFBFBFBF"/>
      </x:right>
      <x:top style="thin">
        <x:color rgb="FFBFBFBF"/>
      </x:top>
    </x:border>
    <x:border>
      <x:top style="thin">
        <x:color rgb="FFBFBFBF"/>
      </x:top>
      <x:bottom style="thin">
        <x:color rgb="FFBFBFBF"/>
      </x:bottom>
    </x:border>
    <x:border>
      <x:right style="thin">
        <x:color rgb="FFBFBFBF"/>
      </x:right>
      <x:top style="thin">
        <x:color rgb="FFBFBFBF"/>
      </x:top>
      <x:bottom style="thin">
        <x:color rgb="FFBFBFBF"/>
      </x:bottom>
    </x:border>
    <x:border/>
    <x:border>
      <x:top style="thin">
        <x:color rgb="FFBFBFBF"/>
      </x:top>
      <x:bottom style="thin">
        <x:color rgb="FFBFBFBF"/>
      </x:bottom>
    </x:border>
    <x:border>
      <x:right style="thin">
        <x:color rgb="FFBFBFBF"/>
      </x:right>
      <x:top style="thin">
        <x:color rgb="FFBFBFBF"/>
      </x:top>
      <x:bottom style="thin">
        <x:color rgb="FFBFBFBF"/>
      </x:bottom>
    </x:border>
  </x:borders>
  <x:cellStyleXfs count="1">
    <x:xf numFmtId="0" fontId="0" fillId="0" borderId="0"/>
  </x:cellStyleXfs>
  <x:cellXfs count="181">
    <x:xf numFmtId="0" fontId="0" fillId="0" borderId="0" xfId="0"/>
    <x:xf numFmtId="0" fontId="1" fillId="0" borderId="0" xfId="0"/>
    <x:xf numFmtId="0" fontId="2" fillId="0" borderId="0" xfId="0"/>
    <x:xf numFmtId="0" fontId="3" fillId="0" borderId="0" xfId="0" applyAlignment="1">
      <x:alignment vertical="top" wrapText="1"/>
    </x:xf>
    <x:xf numFmtId="0" fontId="2" fillId="0" borderId="1" xfId="0" applyAlignment="1">
      <x:alignment vertical="top" wrapText="1"/>
    </x:xf>
    <x:xf numFmtId="0" fontId="4" fillId="2" borderId="1" xfId="0" applyAlignment="1">
      <x:alignment vertical="top" wrapText="1"/>
    </x:xf>
    <x:xf numFmtId="1" fontId="4" fillId="2" borderId="1" xfId="0" applyAlignment="1">
      <x:alignment vertical="top" wrapText="1"/>
    </x:xf>
    <x:xf numFmtId="0" fontId="3" fillId="0" borderId="0" xfId="0"/>
    <x:xf numFmtId="0" fontId="2" fillId="3" borderId="1" xfId="0" applyAlignment="1">
      <x:alignment vertical="center" wrapText="1"/>
    </x:xf>
    <x:xf numFmtId="0" fontId="5" fillId="0" borderId="1" xfId="0"/>
    <x:xf numFmtId="0" fontId="4" fillId="2" borderId="1" xfId="0"/>
    <x:xf numFmtId="164" fontId="4" fillId="2" borderId="1" xfId="0"/>
    <x:xf numFmtId="0" fontId="5" fillId="0" borderId="1" xfId="0" applyAlignment="1">
      <x:alignment vertical="top" wrapText="1"/>
    </x:xf>
    <x:xf numFmtId="0" fontId="6" fillId="0" borderId="1" xfId="0"/>
    <x:xf numFmtId="0" fontId="2" fillId="0" borderId="0" xfId="0" applyAlignment="1">
      <x:alignment vertical="top" wrapText="1"/>
    </x:xf>
    <x:xf numFmtId="0" fontId="7" fillId="0" borderId="0" xfId="0" applyAlignment="1">
      <x:alignment vertical="top" wrapText="1"/>
    </x:xf>
    <x:xf numFmtId="0" fontId="2" fillId="3" borderId="1" xfId="0"/>
    <x:xf numFmtId="0" fontId="8" fillId="0" borderId="0" xfId="0"/>
    <x:xf numFmtId="0" fontId="3" fillId="0" borderId="1" xfId="0" applyAlignment="1">
      <x:alignment vertical="top" wrapText="1"/>
    </x:xf>
    <x:xf numFmtId="0" fontId="4" fillId="0" borderId="1" xfId="0" applyAlignment="1">
      <x:alignment vertical="top" wrapText="1"/>
    </x:xf>
    <x:xf numFmtId="0" fontId="4" fillId="0" borderId="1" xfId="0"/>
    <x:xf numFmtId="0" fontId="0" fillId="0" borderId="4" xfId="0"/>
    <x:xf numFmtId="0" fontId="0" fillId="0" borderId="5" xfId="0"/>
    <x:xf numFmtId="0" fontId="0" fillId="0" borderId="6" xfId="0" applyNumberFormat="1" applyFont="1" applyFill="1" applyBorder="1"/>
    <x:xf numFmtId="0" fontId="1" fillId="0" borderId="6" xfId="0" applyNumberFormat="1" applyFont="1" applyFill="1" applyBorder="1"/>
    <x:xf numFmtId="0" fontId="2" fillId="0" borderId="6" xfId="0" applyNumberFormat="1" applyFont="1" applyFill="1" applyBorder="1"/>
    <x:xf numFmtId="0" fontId="3" fillId="0" borderId="6"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4" fillId="2" borderId="1" xfId="0" applyNumberFormat="1" applyFont="1" applyFill="1" applyBorder="1" applyAlignment="1">
      <x:alignment vertical="top" wrapText="1"/>
    </x:xf>
    <x:xf numFmtId="1" fontId="4" fillId="2" borderId="1" xfId="0" applyNumberFormat="1" applyFont="1" applyFill="1" applyBorder="1" applyAlignment="1">
      <x:alignment vertical="top" wrapText="1"/>
    </x:xf>
    <x:xf numFmtId="0" fontId="3" fillId="0" borderId="6" xfId="0" applyNumberFormat="1" applyFont="1" applyFill="1" applyBorder="1"/>
    <x:xf numFmtId="0" fontId="2" fillId="3" borderId="1" xfId="0" applyNumberFormat="1" applyFont="1" applyFill="1" applyBorder="1" applyAlignment="1">
      <x:alignment vertical="center" wrapText="1"/>
    </x:xf>
    <x:xf numFmtId="0" fontId="5" fillId="0" borderId="1" xfId="0" applyNumberFormat="1" applyFont="1" applyFill="1" applyBorder="1"/>
    <x:xf numFmtId="0" fontId="4" fillId="2" borderId="1" xfId="0" applyNumberFormat="1" applyFont="1" applyFill="1" applyBorder="1"/>
    <x:xf numFmtId="164" fontId="4" fillId="2" borderId="1" xfId="0" applyNumberFormat="1" applyFont="1" applyFill="1" applyBorder="1"/>
    <x:xf numFmtId="0" fontId="5" fillId="0" borderId="1" xfId="0" applyNumberFormat="1" applyFont="1" applyFill="1" applyBorder="1" applyAlignment="1">
      <x:alignment vertical="top" wrapText="1"/>
    </x:xf>
    <x:xf numFmtId="0" fontId="6" fillId="0" borderId="1" xfId="0" applyNumberFormat="1" applyFont="1" applyFill="1" applyBorder="1"/>
    <x:xf numFmtId="0" fontId="2" fillId="0" borderId="6"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2" fillId="3" borderId="1" xfId="0" applyNumberFormat="1" applyFont="1" applyFill="1" applyBorder="1"/>
    <x:xf numFmtId="0" fontId="8" fillId="0" borderId="6" xfId="0" applyNumberFormat="1" applyFont="1" applyFill="1" applyBorder="1"/>
    <x:xf numFmtId="0" fontId="3" fillId="0" borderId="1"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1"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9" fillId="0" borderId="0" xfId="0" applyNumberFormat="1" applyFont="1" applyFill="1" applyBorder="1"/>
    <x:xf numFmtId="0" fontId="10" fillId="0" borderId="0" xfId="0" applyNumberFormat="1" applyFont="1" applyFill="1" applyBorder="1"/>
    <x:xf numFmtId="0" fontId="11" fillId="0" borderId="0" xfId="0" applyNumberFormat="1" applyFont="1" applyFill="1" applyBorder="1"/>
    <x:xf numFmtId="0" fontId="12" fillId="0" borderId="0" xfId="0" applyNumberFormat="1" applyFont="1" applyFill="1" applyBorder="1" applyAlignment="1">
      <x:alignment vertical="top" wrapText="1"/>
    </x:xf>
    <x:xf numFmtId="0" fontId="11" fillId="0" borderId="1" xfId="0" applyNumberFormat="1" applyFont="1" applyFill="1" applyBorder="1" applyAlignment="1">
      <x:alignment vertical="top" wrapText="1"/>
    </x:xf>
    <x:xf numFmtId="0" fontId="13" fillId="2" borderId="1" xfId="0" applyNumberFormat="1" applyFont="1" applyFill="1" applyBorder="1" applyAlignment="1">
      <x:alignment vertical="top" wrapText="1"/>
    </x:xf>
    <x:xf numFmtId="1" fontId="13" fillId="2" borderId="1" xfId="0" applyNumberFormat="1" applyFont="1" applyFill="1" applyBorder="1" applyAlignment="1">
      <x:alignment vertical="top" wrapText="1"/>
    </x:xf>
    <x:xf numFmtId="0" fontId="9" fillId="0" borderId="6" xfId="0" applyNumberFormat="1" applyFont="1" applyFill="1" applyBorder="1"/>
    <x:xf numFmtId="0" fontId="10" fillId="0" borderId="6" xfId="0" applyNumberFormat="1" applyFont="1" applyFill="1" applyBorder="1"/>
    <x:xf numFmtId="0" fontId="11" fillId="0" borderId="6" xfId="0" applyNumberFormat="1" applyFont="1" applyFill="1" applyBorder="1"/>
    <x:xf numFmtId="0" fontId="12" fillId="0" borderId="6" xfId="0" applyNumberFormat="1" applyFont="1" applyFill="1" applyBorder="1" applyAlignment="1">
      <x:alignment vertical="top" wrapText="1"/>
    </x:xf>
    <x:xf numFmtId="0" fontId="14" fillId="0" borderId="0" xfId="0" applyNumberFormat="1" applyFont="1" applyFill="1" applyBorder="1"/>
    <x:xf numFmtId="0" fontId="15" fillId="0" borderId="0" xfId="0" applyNumberFormat="1" applyFont="1" applyFill="1" applyBorder="1"/>
    <x:xf numFmtId="0" fontId="14" fillId="0" borderId="1" xfId="0" applyNumberFormat="1" applyFont="1" applyFill="1" applyBorder="1" applyAlignment="1">
      <x:alignment vertical="top" wrapText="1"/>
    </x:xf>
    <x:xf numFmtId="0" fontId="16" fillId="2" borderId="1" xfId="0" applyNumberFormat="1" applyFont="1" applyFill="1" applyBorder="1" applyAlignment="1">
      <x:alignment vertical="top" wrapText="1"/>
    </x:xf>
    <x:xf numFmtId="1" fontId="16" fillId="2" borderId="1" xfId="0" applyNumberFormat="1" applyFont="1" applyFill="1" applyBorder="1" applyAlignment="1">
      <x:alignment vertical="top" wrapText="1"/>
    </x:xf>
    <x:xf numFmtId="0" fontId="14" fillId="0" borderId="6" xfId="0" applyNumberFormat="1" applyFont="1" applyFill="1" applyBorder="1"/>
    <x:xf numFmtId="0" fontId="15" fillId="0" borderId="6" xfId="0" applyNumberFormat="1" applyFont="1" applyFill="1" applyBorder="1"/>
    <x:xf numFmtId="0" fontId="14" fillId="4" borderId="0" xfId="0" applyNumberFormat="1" applyFont="1" applyFill="1" applyBorder="1"/>
    <x:xf numFmtId="0" fontId="15" fillId="4" borderId="0" xfId="0" applyNumberFormat="1" applyFont="1" applyFill="1" applyBorder="1"/>
    <x:xf numFmtId="0" fontId="14" fillId="4" borderId="6" xfId="0" applyNumberFormat="1" applyFont="1" applyFill="1" applyBorder="1"/>
    <x:xf numFmtId="0" fontId="15" fillId="4" borderId="6" xfId="0" applyNumberFormat="1" applyFont="1" applyFill="1" applyBorder="1"/>
    <x:xf numFmtId="0" fontId="9" fillId="4" borderId="0" xfId="0" applyNumberFormat="1" applyFont="1" applyFill="1" applyBorder="1"/>
    <x:xf numFmtId="0" fontId="17" fillId="4" borderId="0" xfId="0" applyNumberFormat="1" applyFont="1" applyFill="1" applyBorder="1"/>
    <x:xf numFmtId="0" fontId="9" fillId="4" borderId="6" xfId="0" applyNumberFormat="1" applyFont="1" applyFill="1" applyBorder="1"/>
    <x:xf numFmtId="0" fontId="17" fillId="4" borderId="6" xfId="0" applyNumberFormat="1" applyFont="1" applyFill="1" applyBorder="1"/>
    <x:xf numFmtId="0" fontId="18" fillId="4" borderId="0" xfId="0" applyNumberFormat="1" applyFont="1" applyFill="1" applyBorder="1"/>
    <x:xf numFmtId="0" fontId="18" fillId="4" borderId="6" xfId="0" applyNumberFormat="1" applyFont="1" applyFill="1" applyBorder="1"/>
    <x:xf numFmtId="0" fontId="19" fillId="4" borderId="0" xfId="0" applyNumberFormat="1" applyFont="1" applyFill="1" applyBorder="1"/>
    <x:xf numFmtId="0" fontId="19" fillId="4" borderId="6" xfId="0" applyNumberFormat="1" applyFont="1" applyFill="1" applyBorder="1"/>
    <x:xf numFmtId="0" fontId="19" fillId="4" borderId="0" xfId="0" applyNumberFormat="1" applyFont="1" applyFill="1" applyBorder="1" applyAlignment="1">
      <x:alignment vertical="center"/>
    </x:xf>
    <x:xf numFmtId="0" fontId="19" fillId="4" borderId="6" xfId="0" applyNumberFormat="1" applyFont="1" applyFill="1" applyBorder="1" applyAlignment="1">
      <x:alignment vertical="center"/>
    </x:xf>
    <x:xf numFmtId="0" fontId="14" fillId="5" borderId="0" xfId="0" applyNumberFormat="1" applyFont="1" applyFill="1" applyBorder="1"/>
    <x:xf numFmtId="0" fontId="15" fillId="5" borderId="0" xfId="0" applyNumberFormat="1" applyFont="1" applyFill="1" applyBorder="1"/>
    <x:xf numFmtId="0" fontId="14" fillId="5" borderId="6" xfId="0" applyNumberFormat="1" applyFont="1" applyFill="1" applyBorder="1"/>
    <x:xf numFmtId="0" fontId="15" fillId="5" borderId="6" xfId="0" applyNumberFormat="1" applyFont="1" applyFill="1" applyBorder="1"/>
    <x:xf numFmtId="0" fontId="20" fillId="5" borderId="0" xfId="0" applyNumberFormat="1" applyFont="1" applyFill="1" applyBorder="1"/>
    <x:xf numFmtId="0" fontId="20" fillId="5" borderId="6" xfId="0" applyNumberFormat="1" applyFont="1" applyFill="1" applyBorder="1"/>
    <x:xf numFmtId="0" fontId="21" fillId="5" borderId="0" xfId="0" applyNumberFormat="1" applyFont="1" applyFill="1" applyBorder="1"/>
    <x:xf numFmtId="0" fontId="21" fillId="5" borderId="6" xfId="0" applyNumberFormat="1" applyFont="1" applyFill="1" applyBorder="1"/>
    <x:xf numFmtId="0" fontId="21" fillId="5" borderId="0" xfId="0" applyNumberFormat="1" applyFont="1" applyFill="1" applyBorder="1" applyAlignment="1">
      <x:alignment wrapText="1"/>
    </x:xf>
    <x:xf numFmtId="0" fontId="21" fillId="5" borderId="6" xfId="0" applyNumberFormat="1" applyFont="1" applyFill="1" applyBorder="1" applyAlignment="1">
      <x:alignment wrapText="1"/>
    </x:xf>
    <x:xf numFmtId="0" fontId="12" fillId="0" borderId="0" xfId="0" applyNumberFormat="1" applyFont="1" applyFill="1" applyBorder="1"/>
    <x:xf numFmtId="0" fontId="11" fillId="3" borderId="1" xfId="0" applyNumberFormat="1" applyFont="1" applyFill="1" applyBorder="1" applyAlignment="1">
      <x:alignment vertical="center" wrapText="1"/>
    </x:xf>
    <x:xf numFmtId="0" fontId="22" fillId="0" borderId="1" xfId="0" applyNumberFormat="1" applyFont="1" applyFill="1" applyBorder="1"/>
    <x:xf numFmtId="0" fontId="13" fillId="2" borderId="1" xfId="0" applyNumberFormat="1" applyFont="1" applyFill="1" applyBorder="1"/>
    <x:xf numFmtId="164" fontId="13" fillId="2" borderId="1" xfId="0" applyNumberFormat="1" applyFont="1" applyFill="1" applyBorder="1"/>
    <x:xf numFmtId="0" fontId="12" fillId="0" borderId="6" xfId="0" applyNumberFormat="1" applyFont="1" applyFill="1" applyBorder="1"/>
    <x:xf numFmtId="0" fontId="14" fillId="3" borderId="1" xfId="0" applyNumberFormat="1" applyFont="1" applyFill="1" applyBorder="1" applyAlignment="1">
      <x:alignment vertical="center" wrapText="1"/>
    </x:xf>
    <x:xf numFmtId="0" fontId="23" fillId="0" borderId="1" xfId="0" applyNumberFormat="1" applyFont="1" applyFill="1" applyBorder="1"/>
    <x:xf numFmtId="0" fontId="16" fillId="2" borderId="1" xfId="0" applyNumberFormat="1" applyFont="1" applyFill="1" applyBorder="1"/>
    <x:xf numFmtId="164" fontId="16" fillId="2" borderId="1" xfId="0" applyNumberFormat="1" applyFont="1" applyFill="1" applyBorder="1"/>
    <x:xf numFmtId="0" fontId="14" fillId="6" borderId="1" xfId="0" applyNumberFormat="1" applyFont="1" applyFill="1" applyBorder="1" applyAlignment="1">
      <x:alignment vertical="center" wrapText="1"/>
    </x:xf>
    <x:xf numFmtId="0" fontId="24" fillId="6" borderId="1" xfId="0" applyNumberFormat="1" applyFont="1" applyFill="1" applyBorder="1" applyAlignment="1">
      <x:alignment vertical="center" wrapText="1"/>
    </x:xf>
    <x:xf numFmtId="0" fontId="22" fillId="0" borderId="1" xfId="0" applyNumberFormat="1" applyFont="1" applyFill="1" applyBorder="1" applyAlignment="1">
      <x:alignment vertical="top" wrapText="1"/>
    </x:xf>
    <x:xf numFmtId="0" fontId="23" fillId="0" borderId="1" xfId="0" applyNumberFormat="1" applyFont="1" applyFill="1" applyBorder="1" applyAlignment="1">
      <x:alignment vertical="top" wrapText="1"/>
    </x:xf>
    <x:xf numFmtId="0" fontId="15" fillId="6" borderId="0" xfId="0" applyNumberFormat="1" applyFont="1" applyFill="1" applyBorder="1"/>
    <x:xf numFmtId="0" fontId="15" fillId="6" borderId="6" xfId="0" applyNumberFormat="1" applyFont="1" applyFill="1" applyBorder="1"/>
    <x:xf numFmtId="0" fontId="20" fillId="6" borderId="0" xfId="0" applyNumberFormat="1" applyFont="1" applyFill="1" applyBorder="1"/>
    <x:xf numFmtId="0" fontId="20" fillId="6" borderId="6" xfId="0" applyNumberFormat="1" applyFont="1" applyFill="1" applyBorder="1"/>
    <x:xf numFmtId="0" fontId="24" fillId="6" borderId="0" xfId="0" applyNumberFormat="1" applyFont="1" applyFill="1" applyBorder="1"/>
    <x:xf numFmtId="0" fontId="24" fillId="6" borderId="6" xfId="0" applyNumberFormat="1" applyFont="1" applyFill="1" applyBorder="1"/>
    <x:xf numFmtId="0" fontId="24" fillId="6" borderId="0" xfId="0" applyNumberFormat="1" applyFont="1" applyFill="1" applyBorder="1" applyAlignment="1">
      <x:alignment wrapText="1"/>
    </x:xf>
    <x:xf numFmtId="0" fontId="24" fillId="6" borderId="6" xfId="0" applyNumberFormat="1" applyFont="1" applyFill="1" applyBorder="1" applyAlignment="1">
      <x:alignment wrapText="1"/>
    </x:xf>
    <x:xf numFmtId="0" fontId="24" fillId="6" borderId="0" xfId="0" applyNumberFormat="1" applyFont="1" applyFill="1" applyBorder="1" applyAlignment="1">
      <x:alignment vertical="center" wrapText="1"/>
    </x:xf>
    <x:xf numFmtId="0" fontId="24" fillId="6" borderId="6" xfId="0" applyNumberFormat="1" applyFont="1" applyFill="1" applyBorder="1" applyAlignment="1">
      <x:alignment vertical="center" wrapText="1"/>
    </x:xf>
    <x:xf numFmtId="0" fontId="25" fillId="0" borderId="1" xfId="0" applyNumberFormat="1" applyFont="1" applyFill="1" applyBorder="1"/>
    <x:xf numFmtId="0" fontId="11" fillId="0" borderId="0" xfId="0" applyNumberFormat="1" applyFont="1" applyFill="1" applyBorder="1" applyAlignment="1">
      <x:alignment vertical="top" wrapText="1"/>
    </x:xf>
    <x:xf numFmtId="0" fontId="26" fillId="0" borderId="0" xfId="0" applyNumberFormat="1" applyFont="1" applyFill="1" applyBorder="1" applyAlignment="1">
      <x:alignment vertical="top" wrapText="1"/>
    </x:xf>
    <x:xf numFmtId="0" fontId="11" fillId="0" borderId="6" xfId="0" applyNumberFormat="1" applyFont="1" applyFill="1" applyBorder="1" applyAlignment="1">
      <x:alignment vertical="top" wrapText="1"/>
    </x:xf>
    <x:xf numFmtId="0" fontId="26" fillId="0" borderId="6" xfId="0" applyNumberFormat="1" applyFont="1" applyFill="1" applyBorder="1" applyAlignment="1">
      <x:alignment vertical="top" wrapText="1"/>
    </x:xf>
    <x:xf numFmtId="0" fontId="27" fillId="0" borderId="1" xfId="0" applyNumberFormat="1" applyFont="1" applyFill="1" applyBorder="1"/>
    <x:xf numFmtId="0" fontId="14" fillId="0" borderId="0" xfId="0" applyNumberFormat="1" applyFont="1" applyFill="1" applyBorder="1" applyAlignment="1">
      <x:alignment vertical="top" wrapText="1"/>
    </x:xf>
    <x:xf numFmtId="0" fontId="14" fillId="0" borderId="6" xfId="0" applyNumberFormat="1" applyFont="1" applyFill="1" applyBorder="1" applyAlignment="1">
      <x:alignment vertical="top" wrapText="1"/>
    </x:xf>
    <x:xf numFmtId="0" fontId="11" fillId="3" borderId="1" xfId="0" applyNumberFormat="1" applyFont="1" applyFill="1" applyBorder="1"/>
    <x:xf numFmtId="0" fontId="14" fillId="3" borderId="1" xfId="0" applyNumberFormat="1" applyFont="1" applyFill="1" applyBorder="1"/>
    <x:xf numFmtId="0" fontId="14" fillId="6" borderId="1" xfId="0" applyNumberFormat="1" applyFont="1" applyFill="1" applyBorder="1"/>
    <x:xf numFmtId="0" fontId="24" fillId="6" borderId="1" xfId="0" applyNumberFormat="1" applyFont="1" applyFill="1" applyBorder="1"/>
    <x:xf numFmtId="0" fontId="24" fillId="6" borderId="1" xfId="0" applyNumberFormat="1" applyFont="1" applyFill="1" applyBorder="1" applyAlignment="1">
      <x:alignment wrapText="1"/>
    </x:xf>
    <x:xf numFmtId="0" fontId="28" fillId="0" borderId="0" xfId="0" applyNumberFormat="1" applyFont="1" applyFill="1" applyBorder="1"/>
    <x:xf numFmtId="0" fontId="12" fillId="0" borderId="1" xfId="0" applyNumberFormat="1" applyFont="1" applyFill="1" applyBorder="1" applyAlignment="1">
      <x:alignment vertical="top" wrapText="1"/>
    </x:xf>
    <x:xf numFmtId="0" fontId="13" fillId="0" borderId="1" xfId="0" applyNumberFormat="1" applyFont="1" applyFill="1" applyBorder="1" applyAlignment="1">
      <x:alignment vertical="top" wrapText="1"/>
    </x:xf>
    <x:xf numFmtId="0" fontId="13" fillId="0" borderId="1" xfId="0" applyNumberFormat="1" applyFont="1" applyFill="1" applyBorder="1"/>
    <x:xf numFmtId="0" fontId="10" fillId="0" borderId="4" xfId="0" applyNumberFormat="1" applyFont="1" applyFill="1" applyBorder="1"/>
    <x:xf numFmtId="0" fontId="10" fillId="0" borderId="5" xfId="0" applyNumberFormat="1" applyFont="1" applyFill="1" applyBorder="1"/>
    <x:xf numFmtId="0" fontId="28" fillId="0" borderId="6" xfId="0" applyNumberFormat="1" applyFont="1" applyFill="1" applyBorder="1"/>
    <x:xf numFmtId="0" fontId="10" fillId="0" borderId="7" xfId="0" applyNumberFormat="1" applyFont="1" applyFill="1" applyBorder="1"/>
    <x:xf numFmtId="0" fontId="10" fillId="0" borderId="8" xfId="0" applyNumberFormat="1" applyFont="1" applyFill="1" applyBorder="1"/>
    <x:xf numFmtId="0" fontId="16" fillId="0" borderId="1" xfId="0" applyNumberFormat="1" applyFont="1" applyFill="1" applyBorder="1" applyAlignment="1">
      <x:alignment vertical="top" wrapText="1"/>
    </x:xf>
    <x:xf numFmtId="0" fontId="16" fillId="0" borderId="1" xfId="0" applyNumberFormat="1" applyFont="1" applyFill="1" applyBorder="1"/>
    <x:xf numFmtId="0" fontId="15" fillId="0" borderId="4" xfId="0" applyNumberFormat="1" applyFont="1" applyFill="1" applyBorder="1"/>
    <x:xf numFmtId="0" fontId="15" fillId="0" borderId="5" xfId="0" applyNumberFormat="1" applyFont="1" applyFill="1" applyBorder="1"/>
    <x:xf numFmtId="0" fontId="15" fillId="0" borderId="7" xfId="0" applyNumberFormat="1" applyFont="1" applyFill="1" applyBorder="1"/>
    <x:xf numFmtId="0" fontId="15" fillId="0" borderId="8" xfId="0" applyNumberFormat="1" applyFont="1" applyFill="1" applyBorder="1"/>
    <x:xf numFmtId="0" fontId="0" fillId="5" borderId="0" xfId="0" applyNumberFormat="1" applyFont="1" applyFill="1" applyBorder="1"/>
    <x:xf numFmtId="0" fontId="0" fillId="5" borderId="6" xfId="0" applyNumberFormat="1" applyFont="1" applyFill="1" applyBorder="1"/>
    <x:xf numFmtId="0" fontId="29" fillId="5" borderId="0" xfId="0" applyNumberFormat="1" applyFont="1" applyFill="1" applyBorder="1"/>
    <x:xf numFmtId="0" fontId="29" fillId="5" borderId="6" xfId="0" applyNumberFormat="1" applyFont="1" applyFill="1" applyBorder="1"/>
    <x:xf numFmtId="0" fontId="30" fillId="5" borderId="0" xfId="0" applyNumberFormat="1" applyFont="1" applyFill="1" applyBorder="1"/>
    <x:xf numFmtId="0" fontId="30" fillId="5" borderId="6" xfId="0" applyNumberFormat="1" applyFont="1" applyFill="1" applyBorder="1"/>
    <x:xf numFmtId="0" fontId="31" fillId="5" borderId="0" xfId="0" applyNumberFormat="1" applyFont="1" applyFill="1" applyBorder="1" applyAlignment="1">
      <x:alignment wrapText="1"/>
    </x:xf>
    <x:xf numFmtId="0" fontId="32" fillId="5" borderId="0" xfId="0" applyNumberFormat="1" applyFont="1" applyFill="1" applyBorder="1"/>
    <x:xf numFmtId="0" fontId="31" fillId="5" borderId="6" xfId="0" applyNumberFormat="1" applyFont="1" applyFill="1" applyBorder="1" applyAlignment="1">
      <x:alignment wrapText="1"/>
    </x:xf>
    <x:xf numFmtId="0" fontId="32" fillId="5" borderId="6" xfId="0" applyNumberFormat="1" applyFont="1" applyFill="1" applyBorder="1"/>
    <x:xf numFmtId="0" fontId="32" fillId="5" borderId="0" xfId="0" applyNumberFormat="1" applyFont="1" applyFill="1" applyBorder="1" applyAlignment="1">
      <x:alignment wrapText="1"/>
    </x:xf>
    <x:xf numFmtId="0" fontId="32" fillId="5" borderId="6" xfId="0" applyNumberFormat="1" applyFont="1" applyFill="1" applyBorder="1" applyAlignment="1">
      <x:alignment wrapText="1"/>
    </x:xf>
    <x:xf numFmtId="0" fontId="12" fillId="7" borderId="0" xfId="0" applyNumberFormat="1" applyFont="1" applyFill="1" applyBorder="1" applyAlignment="1">
      <x:alignment vertical="top" wrapText="1"/>
    </x:xf>
    <x:xf numFmtId="0" fontId="15" fillId="7" borderId="0" xfId="0" applyNumberFormat="1" applyFont="1" applyFill="1" applyBorder="1"/>
    <x:xf numFmtId="0" fontId="0" fillId="7" borderId="0" xfId="0" applyNumberFormat="1" applyFont="1" applyFill="1" applyBorder="1"/>
    <x:xf numFmtId="0" fontId="12" fillId="7" borderId="6" xfId="0" applyNumberFormat="1" applyFont="1" applyFill="1" applyBorder="1" applyAlignment="1">
      <x:alignment vertical="top" wrapText="1"/>
    </x:xf>
    <x:xf numFmtId="0" fontId="15" fillId="7" borderId="6" xfId="0" applyNumberFormat="1" applyFont="1" applyFill="1" applyBorder="1"/>
    <x:xf numFmtId="0" fontId="0" fillId="7" borderId="6" xfId="0" applyNumberFormat="1" applyFont="1" applyFill="1" applyBorder="1"/>
    <x:xf numFmtId="0" fontId="10" fillId="7" borderId="0" xfId="0" applyNumberFormat="1" applyFont="1" applyFill="1" applyBorder="1"/>
    <x:xf numFmtId="0" fontId="10" fillId="7" borderId="6" xfId="0" applyNumberFormat="1" applyFont="1" applyFill="1" applyBorder="1"/>
    <x:xf numFmtId="0" fontId="33" fillId="7" borderId="0" xfId="0" applyNumberFormat="1" applyFont="1" applyFill="1" applyBorder="1" applyAlignment="1">
      <x:alignment vertical="top" wrapText="1"/>
    </x:xf>
    <x:xf numFmtId="0" fontId="34" fillId="7" borderId="0" xfId="0" applyNumberFormat="1" applyFont="1" applyFill="1" applyBorder="1"/>
    <x:xf numFmtId="0" fontId="33" fillId="7" borderId="6" xfId="0" applyNumberFormat="1" applyFont="1" applyFill="1" applyBorder="1" applyAlignment="1">
      <x:alignment vertical="top" wrapText="1"/>
    </x:xf>
    <x:xf numFmtId="0" fontId="34" fillId="7" borderId="6" xfId="0" applyNumberFormat="1" applyFont="1" applyFill="1" applyBorder="1"/>
    <x:xf numFmtId="0" fontId="35" fillId="7" borderId="0" xfId="0" applyNumberFormat="1" applyFont="1" applyFill="1" applyBorder="1" applyAlignment="1">
      <x:alignment vertical="top" wrapText="1"/>
    </x:xf>
    <x:xf numFmtId="0" fontId="36" fillId="7" borderId="0" xfId="0" applyNumberFormat="1" applyFont="1" applyFill="1" applyBorder="1"/>
    <x:xf numFmtId="0" fontId="35" fillId="7" borderId="6" xfId="0" applyNumberFormat="1" applyFont="1" applyFill="1" applyBorder="1" applyAlignment="1">
      <x:alignment vertical="top" wrapText="1"/>
    </x:xf>
    <x:xf numFmtId="0" fontId="36" fillId="7" borderId="6" xfId="0" applyNumberFormat="1" applyFont="1" applyFill="1" applyBorder="1"/>
    <x:xf numFmtId="0" fontId="36" fillId="7" borderId="0" xfId="0" applyNumberFormat="1" applyFont="1" applyFill="1" applyBorder="1" applyAlignment="1">
      <x:alignment wrapText="1"/>
    </x:xf>
    <x:xf numFmtId="0" fontId="36" fillId="7" borderId="6" xfId="0" applyNumberFormat="1" applyFont="1" applyFill="1" applyBorder="1" applyAlignment="1">
      <x:alignment wrapText="1"/>
    </x:xf>
    <x:xf numFmtId="0" fontId="12" fillId="5" borderId="0" xfId="0" applyNumberFormat="1" applyFont="1" applyFill="1" applyBorder="1" applyAlignment="1">
      <x:alignment vertical="top" wrapText="1"/>
    </x:xf>
    <x:xf numFmtId="0" fontId="12" fillId="5" borderId="6" xfId="0" applyNumberFormat="1" applyFont="1" applyFill="1" applyBorder="1" applyAlignment="1">
      <x:alignment vertical="top" wrapText="1"/>
    </x:xf>
    <x:xf numFmtId="0" fontId="33" fillId="5" borderId="0" xfId="0" applyNumberFormat="1" applyFont="1" applyFill="1" applyBorder="1" applyAlignment="1">
      <x:alignment vertical="top" wrapText="1"/>
    </x:xf>
    <x:xf numFmtId="0" fontId="34" fillId="5" borderId="0" xfId="0" applyNumberFormat="1" applyFont="1" applyFill="1" applyBorder="1"/>
    <x:xf numFmtId="0" fontId="33" fillId="5" borderId="6" xfId="0" applyNumberFormat="1" applyFont="1" applyFill="1" applyBorder="1" applyAlignment="1">
      <x:alignment vertical="top" wrapText="1"/>
    </x:xf>
    <x:xf numFmtId="0" fontId="34" fillId="5" borderId="6" xfId="0" applyNumberFormat="1" applyFont="1" applyFill="1" applyBorder="1"/>
    <x:xf numFmtId="0" fontId="37" fillId="5" borderId="0" xfId="0" applyNumberFormat="1" applyFont="1" applyFill="1" applyBorder="1" applyAlignment="1">
      <x:alignment vertical="top" wrapText="1"/>
    </x:xf>
    <x:xf numFmtId="0" fontId="38" fillId="5" borderId="0" xfId="0" applyNumberFormat="1" applyFont="1" applyFill="1" applyBorder="1"/>
    <x:xf numFmtId="0" fontId="37" fillId="5" borderId="6" xfId="0" applyNumberFormat="1" applyFont="1" applyFill="1" applyBorder="1" applyAlignment="1">
      <x:alignment vertical="top" wrapText="1"/>
    </x:xf>
    <x:xf numFmtId="0" fontId="38" fillId="5" borderId="6" xfId="0" applyNumberFormat="1" applyFont="1" applyFill="1" applyBorder="1"/>
    <x:xf numFmtId="0" fontId="38" fillId="5" borderId="0" xfId="0" applyNumberFormat="1" applyFont="1" applyFill="1" applyBorder="1" applyAlignment="1">
      <x:alignment wrapText="1"/>
    </x:xf>
  </x:cellXfs>
  <x:cellStyles count="1">
    <x:cellStyle name="Normal" xfId="0"/>
  </x:cellStyles>
  <x:dxfs count="2">
    <x:dxf>
      <x:fill>
        <x:patternFill>
          <x:bgColor rgb="00F4A9A9"/>
        </x:patternFill>
      </x:fill>
    </x:dxf>
    <x:dxf>
      <x:fill>
        <x:patternFill>
          <x:bgColor rgb="00FFD96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f39372526b14246" /><Relationship Type="http://schemas.openxmlformats.org/officeDocument/2006/relationships/theme" Target="/xl/theme/theme1.xml" Id="Rdc8c696cd20d4af6" /><Relationship Type="http://schemas.openxmlformats.org/officeDocument/2006/relationships/sharedStrings" Target="/xl/sharedStrings.xml" Id="Rc49b3a7f85c045aa" /><Relationship Type="http://schemas.openxmlformats.org/officeDocument/2006/relationships/worksheet" Target="/xl/worksheets/sheet1.xml" Id="R8878f45059f64a59" /><Relationship Type="http://schemas.openxmlformats.org/officeDocument/2006/relationships/worksheet" Target="/xl/worksheets/sheet2.xml" Id="R5db40b79cf2a4ac3" /><Relationship Type="http://schemas.openxmlformats.org/officeDocument/2006/relationships/worksheet" Target="/xl/worksheets/sheet3.xml" Id="R928d537cced34ea0" /><Relationship Type="http://schemas.openxmlformats.org/officeDocument/2006/relationships/worksheet" Target="/xl/worksheets/sheet4.xml" Id="R22e00cdcec694fc4" /><Relationship Type="http://schemas.openxmlformats.org/officeDocument/2006/relationships/worksheet" Target="/xl/worksheets/sheet5.xml" Id="R331a721a82574f8e" /><Relationship Type="http://schemas.openxmlformats.org/officeDocument/2006/relationships/worksheet" Target="/xl/worksheets/sheet6.xml" Id="R08f93c9da9314a85" /><Relationship Type="http://schemas.microsoft.com/office/2017/10/relationships/person" Target="/xl/persons/person.xml" Id="R6d5039f359cb40f7" /></Relationships>
</file>

<file path=xl/persons/person.xml><?xml version="1.0" encoding="utf-8"?>
<xltc:personList xmlns:xltc="http://schemas.microsoft.com/office/spreadsheetml/2018/threadedcomments">
  <xltc:person displayName="Маржа в бетоне" id="{58584E04-1E0B-81BE-2B06-A047481EA64F}"/>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comments" Target="/xl/comments1.xml" Id="Rb6cbf0041a5b494f" /><Relationship Type="http://schemas.openxmlformats.org/officeDocument/2006/relationships/vmlDrawing" Target="/xl/drawings/vmldrawing.vml" Id="R21dcfc93f2914ab1" /></Relationships>
</file>

<file path=xl/worksheets/sheet1.xml><?xml version="1.0" encoding="utf-8"?>
<x:worksheet xmlns:x="http://schemas.openxmlformats.org/spreadsheetml/2006/main">
  <x:sheetPr>
    <x:pageSetUpPr fitToPage="1"/>
  </x:sheetPr>
  <x:sheetFormatPr baseColWidth="8" defaultRowHeight="15"/>
  <x:cols>
    <x:col min="1" max="1" width="38" customWidth="1"/>
    <x:col min="2" max="2" width="60" customWidth="1"/>
    <x:col min="3" max="3" width="4" customWidth="1"/>
    <x:col min="4" max="4" width="54" customWidth="1"/>
  </x:cols>
  <x:sheetData>
    <x:row r="1" ht="31" customHeight="1">
      <x:c r="A1" s="76" t="inlineStr">
        <x:is>
          <x:t xml:space="preserve">Опись доказательств по дефекту: спорная зона</x:t>
        </x:is>
      </x:c>
      <x:c r="B1" s="76"/>
      <x:c r="C1" s="76"/>
      <x:c r="D1" s="76"/>
      <x:c r="E1" s="76"/>
      <x:c r="F1" s="76"/>
      <x:c r="G1" s="58"/>
      <x:c r="H1" s="58"/>
      <x:c r="I1" s="58"/>
    </x:row>
    <x:row r="2">
      <x:c r="A2" s="86" t="inlineStr">
        <x:is>
          <x:t xml:space="preserve">Прочитайте до того, как заполнять</x:t>
        </x:is>
      </x:c>
      <x:c r="B2" s="86"/>
      <x:c r="C2" s="86"/>
      <x:c r="D2" s="86"/>
      <x:c r="E2" s="86"/>
      <x:c r="F2" s="86"/>
      <x:c r="G2" s="58"/>
      <x:c r="H2" s="58"/>
      <x:c r="I2" s="58"/>
    </x:row>
    <x:row r="3" ht="47" customHeight="1">
      <x:c r="A3" s="176" t="str">
        <x:v>Рабочая карточка спорной зоны: внесите сведения по договору, претензии, фактическому состоянию участка и документам. Каждое обстоятельство подтвердите приложением.</x:v>
      </x:c>
      <x:c r="B3" s="180"/>
      <x:c r="C3" s="180"/>
      <x:c r="D3" s="180"/>
      <x:c r="E3" s="58"/>
      <x:c r="F3" s="58"/>
      <x:c r="G3" s="58"/>
      <x:c r="H3" s="58"/>
      <x:c r="I3" s="58"/>
    </x:row>
    <x:row r="4" ht="30" customHeight="1">
      <x:c r="A4" s="59" t="inlineStr">
        <x:is>
          <x:t xml:space="preserve">Объект</x:t>
        </x:is>
      </x:c>
      <x:c r="B4" s="60" t="inlineStr">
        <x:is>
          <x:t xml:space="preserve">{{ОБЪЕКТ}}</x:t>
        </x:is>
      </x:c>
      <x:c r="C4" s="58"/>
      <x:c r="D4" s="58"/>
      <x:c r="E4" s="58"/>
      <x:c r="F4" s="58"/>
      <x:c r="G4" s="58"/>
      <x:c r="H4" s="58"/>
      <x:c r="I4" s="58"/>
    </x:row>
    <x:row r="5" ht="30" customHeight="1">
      <x:c r="A5" s="59" t="inlineStr">
        <x:is>
          <x:t xml:space="preserve">Договор</x:t>
        </x:is>
      </x:c>
      <x:c r="B5" s="60" t="inlineStr">
        <x:is>
          <x:t xml:space="preserve">{{НОМЕР_ДОГОВОРА}} от {{ДАТА_ДОГОВОРА}}</x:t>
        </x:is>
      </x:c>
      <x:c r="C5" s="58"/>
      <x:c r="D5" s="58"/>
      <x:c r="E5" s="58"/>
      <x:c r="F5" s="58"/>
      <x:c r="G5" s="58"/>
      <x:c r="H5" s="58"/>
      <x:c r="I5" s="58"/>
    </x:row>
    <x:row r="6" ht="30" customHeight="1">
      <x:c r="A6" s="59" t="inlineStr">
        <x:is>
          <x:t xml:space="preserve">Стороны</x:t>
        </x:is>
      </x:c>
      <x:c r="B6" s="60" t="inlineStr">
        <x:is>
          <x:t xml:space="preserve">{{НАИМЕНОВАНИЕ_ПОДРЯДЧИКА}}, {{НАИМЕНОВАНИЕ_ГЕНПОДРЯДЧИКА}}, {{НАИМЕНОВАНИЕ_ЗАКАЗЧИКА}}</x:t>
        </x:is>
      </x:c>
      <x:c r="C6" s="58"/>
      <x:c r="D6" s="49" t="inlineStr">
        <x:is>
          <x:t xml:space="preserve">по применимости</x:t>
        </x:is>
      </x:c>
      <x:c r="E6" s="58"/>
      <x:c r="F6" s="58"/>
      <x:c r="G6" s="58"/>
      <x:c r="H6" s="58"/>
      <x:c r="I6" s="58"/>
    </x:row>
    <x:row r="7" ht="30" customHeight="1">
      <x:c r="A7" s="59" t="inlineStr">
        <x:is>
          <x:t xml:space="preserve">Спорная зона</x:t>
        </x:is>
      </x:c>
      <x:c r="B7" s="60" t="inlineStr">
        <x:is>
          <x:t xml:space="preserve">{{УЧАСТОК_ОСИ_ОТМЕТКИ}}</x:t>
        </x:is>
      </x:c>
      <x:c r="C7" s="58"/>
      <x:c r="D7" s="49" t="inlineStr">
        <x:is>
          <x:t xml:space="preserve">помещение, оси, отметки, конструкция</x:t>
        </x:is>
      </x:c>
      <x:c r="E7" s="58"/>
      <x:c r="F7" s="58"/>
      <x:c r="G7" s="58"/>
      <x:c r="H7" s="58"/>
      <x:c r="I7" s="58"/>
    </x:row>
    <x:row r="8" ht="30" customHeight="1">
      <x:c r="A8" s="59" t="inlineStr">
        <x:is>
          <x:t xml:space="preserve">Что заявлено</x:t>
        </x:is>
      </x:c>
      <x:c r="B8" s="60" t="inlineStr">
        <x:is>
          <x:t xml:space="preserve">{{ОПИСАНИЕ_ДЕФЕКТА_ИЗ_ПРЕТЕНЗИИ}}</x:t>
        </x:is>
      </x:c>
      <x:c r="C8" s="58"/>
      <x:c r="D8" s="49" t="inlineStr">
        <x:is>
          <x:t xml:space="preserve">дословно из письма оппонента</x:t>
        </x:is>
      </x:c>
      <x:c r="E8" s="58"/>
      <x:c r="F8" s="58"/>
      <x:c r="G8" s="58"/>
      <x:c r="H8" s="58"/>
      <x:c r="I8" s="58"/>
    </x:row>
    <x:row r="9" ht="30" customHeight="1">
      <x:c r="A9" s="59" t="inlineStr">
        <x:is>
          <x:t xml:space="preserve">Дата сдачи участка</x:t>
        </x:is>
      </x:c>
      <x:c r="B9" s="60" t="inlineStr">
        <x:is>
          <x:t xml:space="preserve">{{ДАТА_СДАЧИ_УЧАСТКА}}</x:t>
        </x:is>
      </x:c>
      <x:c r="C9" s="58"/>
      <x:c r="D9" s="58"/>
      <x:c r="E9" s="58"/>
      <x:c r="F9" s="58"/>
      <x:c r="G9" s="58"/>
      <x:c r="H9" s="58"/>
      <x:c r="I9" s="58"/>
    </x:row>
    <x:row r="10" ht="30" customHeight="1">
      <x:c r="A10" s="59" t="inlineStr">
        <x:is>
          <x:t xml:space="preserve">Дата обнаружения дефекта</x:t>
        </x:is>
      </x:c>
      <x:c r="B10" s="60" t="inlineStr">
        <x:is>
          <x:t xml:space="preserve">{{ДАТА_ОБНАРУЖЕНИЯ_ДЕФЕКТА}}</x:t>
        </x:is>
      </x:c>
      <x:c r="C10" s="58"/>
      <x:c r="D10" s="49" t="inlineStr">
        <x:is>
          <x:t xml:space="preserve">как названа оппонентом, а не ваша оценка</x:t>
        </x:is>
      </x:c>
      <x:c r="E10" s="58"/>
      <x:c r="F10" s="58"/>
      <x:c r="G10" s="58"/>
      <x:c r="H10" s="58"/>
      <x:c r="I10" s="58"/>
    </x:row>
    <x:row r="11" ht="30" customHeight="1">
      <x:c r="A11" s="59" t="inlineStr">
        <x:is>
          <x:t xml:space="preserve">Реквизиты претензии или акта</x:t>
        </x:is>
      </x:c>
      <x:c r="B11" s="60" t="inlineStr">
        <x:is>
          <x:t xml:space="preserve">{{НОМЕР_ПРЕТЕНЗИИ}} от {{ДАТА_ПРЕТЕНЗИИ}}, получена {{ДАТА_ПОЛУЧЕНИЯ_ПРЕТЕНЗИИ}}</x:t>
        </x:is>
      </x:c>
      <x:c r="C11" s="58"/>
      <x:c r="D11" s="58"/>
      <x:c r="E11" s="58"/>
      <x:c r="F11" s="58"/>
      <x:c r="G11" s="58"/>
      <x:c r="H11" s="58"/>
      <x:c r="I11" s="58"/>
    </x:row>
    <x:row r="12" ht="30" customHeight="1">
      <x:c r="A12" s="59" t="inlineStr">
        <x:is>
          <x:t xml:space="preserve">Чужое заключение представлено</x:t>
        </x:is>
      </x:c>
      <x:c r="B12" s="60" t="inlineStr">
        <x:is>
          <x:t xml:space="preserve">да / нет</x:t>
        </x:is>
      </x:c>
      <x:c r="C12" s="58"/>
      <x:c r="D12" s="49" t="inlineStr">
        <x:is>
          <x:t xml:space="preserve">при «да» — {{РЕКВИЗИТЫ_ЗАКЛЮЧЕНИЯ}}, {{КЕМ_СОСТАВЛЕНО_ЗАКЛЮЧЕНИЕ}}</x:t>
        </x:is>
      </x:c>
      <x:c r="E12" s="58"/>
      <x:c r="F12" s="58"/>
      <x:c r="G12" s="58"/>
      <x:c r="H12" s="58"/>
      <x:c r="I12" s="58"/>
    </x:row>
    <x:row r="13" ht="30" customHeight="1">
      <x:c r="A13" s="59" t="inlineStr">
        <x:is>
          <x:t xml:space="preserve">Ведущий вид работ</x:t>
        </x:is>
      </x:c>
      <x:c r="B13" s="60" t="inlineStr">
        <x:is>
          <x:t xml:space="preserve"/>
        </x:is>
      </x:c>
      <x:c r="C13" s="58"/>
      <x:c r="D13" s="49" t="inlineStr">
        <x:is>
          <x:t xml:space="preserve">выбор из справочника листа «Виды»: определяет, какой блок обязательного минимума применяется</x:t>
        </x:is>
      </x:c>
      <x:c r="E13" s="58"/>
      <x:c r="F13" s="58"/>
      <x:c r="G13" s="58"/>
      <x:c r="H13" s="58"/>
      <x:c r="I13" s="58"/>
    </x:row>
    <x:row r="14" ht="30" customHeight="1">
      <x:c r="A14" s="59" t="inlineStr">
        <x:is>
          <x:t xml:space="preserve">Порог ожидания ответа на запрос, дней</x:t>
        </x:is>
      </x:c>
      <x:c r="B14" s="61" t="inlineStr">
        <x:is>
          <x:t xml:space="preserve"/>
        </x:is>
      </x:c>
      <x:c r="C14" s="58"/>
      <x:c r="D14" s="49" t="inlineStr">
        <x:is>
          <x:t xml:space="preserve">{{ПОРОГ_ОЖИДАНИЯ_ОТВЕТА_ДНЕЙ}} — число дней, после которого запрос без ответа подсвечивается жёлтым. Задаёте вы; пока поле пусто, жёлтая подсветка молчит</x:t>
        </x:is>
      </x:c>
      <x:c r="E14" s="58"/>
      <x:c r="F14" s="58"/>
      <x:c r="G14" s="58"/>
      <x:c r="H14" s="58"/>
      <x:c r="I14" s="58"/>
    </x:row>
    <x:row r="15">
      <x:c r="A15" s="58"/>
      <x:c r="B15" s="58"/>
      <x:c r="C15" s="58"/>
      <x:c r="D15" s="58"/>
      <x:c r="E15" s="58"/>
      <x:c r="F15" s="58"/>
      <x:c r="G15" s="58"/>
      <x:c r="H15" s="58"/>
      <x:c r="I15" s="58"/>
    </x:row>
    <x:row r="16" ht="60" customHeight="1">
      <x:c r="A16" s="49" t="inlineStr">
        <x:is>
          <x:t xml:space="preserve">Паспорт зоны заполняется один раз и подставляется в остальные листы. Файл ведётся по одной спорной зоне: на вторую зону возьмите вторую копию файла — сводка по двум зонам в одном файле смешала бы дыры разных споров. Вычисляемых значений на этом листе нет, все поля вводятся; строки не вставляйте и не удаляйте: ведущий вид работ и порог ожидания ответа адресуются с других листов по номеру строки.</x:t>
        </x:is>
      </x:c>
      <x:c r="B16" s="58"/>
      <x:c r="C16" s="58"/>
      <x:c r="D16" s="58"/>
      <x:c r="E16" s="58"/>
      <x:c r="F16" s="58"/>
      <x:c r="G16" s="58"/>
      <x:c r="H16" s="58"/>
      <x:c r="I16" s="58"/>
    </x:row>
    <x:row r="17">
      <x:c r="A17" s="58"/>
      <x:c r="B17" s="58"/>
      <x:c r="C17" s="58"/>
      <x:c r="D17" s="58"/>
      <x:c r="E17" s="58"/>
      <x:c r="F17" s="58"/>
      <x:c r="G17" s="58"/>
      <x:c r="H17" s="58"/>
      <x:c r="I17" s="58"/>
    </x:row>
    <x:row r="18">
      <x:c r="A18" s="58"/>
      <x:c r="B18" s="58"/>
      <x:c r="C18" s="58"/>
      <x:c r="D18" s="58"/>
      <x:c r="E18" s="58"/>
      <x:c r="F18" s="58"/>
      <x:c r="G18" s="58"/>
      <x:c r="H18" s="58"/>
      <x:c r="I18" s="58"/>
    </x:row>
    <x:row r="19">
      <x:c r="A19" s="58"/>
      <x:c r="B19" s="58"/>
      <x:c r="C19" s="58"/>
      <x:c r="D19" s="58"/>
      <x:c r="E19" s="58"/>
      <x:c r="F19" s="58"/>
      <x:c r="G19" s="58"/>
      <x:c r="H19" s="58"/>
      <x:c r="I19" s="58"/>
    </x:row>
    <x:row r="20">
      <x:c r="A20" s="58"/>
      <x:c r="B20" s="58"/>
      <x:c r="C20" s="58"/>
      <x:c r="D20" s="58"/>
      <x:c r="E20" s="58"/>
      <x:c r="F20" s="58"/>
      <x:c r="G20" s="58"/>
      <x:c r="H20" s="58"/>
      <x:c r="I20" s="58"/>
    </x:row>
    <x:row r="21">
      <x:c r="A21" s="58"/>
      <x:c r="B21" s="58"/>
      <x:c r="C21" s="58"/>
      <x:c r="D21" s="58"/>
      <x:c r="E21" s="58"/>
      <x:c r="F21" s="58"/>
      <x:c r="G21" s="58"/>
      <x:c r="H21" s="58"/>
      <x:c r="I21" s="58"/>
    </x:row>
    <x:row r="22">
      <x:c r="A22" s="58"/>
      <x:c r="B22" s="58"/>
      <x:c r="C22" s="58"/>
      <x:c r="D22" s="58"/>
      <x:c r="E22" s="58"/>
      <x:c r="F22" s="58"/>
      <x:c r="G22" s="58"/>
      <x:c r="H22" s="58"/>
      <x:c r="I22" s="58"/>
    </x:row>
    <x:row r="23">
      <x:c r="A23" s="58"/>
      <x:c r="B23" s="58"/>
      <x:c r="C23" s="58"/>
      <x:c r="D23" s="58"/>
      <x:c r="E23" s="58"/>
      <x:c r="F23" s="58"/>
      <x:c r="G23" s="58"/>
      <x:c r="H23" s="58"/>
      <x:c r="I23" s="58"/>
    </x:row>
    <x:row r="24">
      <x:c r="A24" s="58"/>
      <x:c r="B24" s="58"/>
      <x:c r="C24" s="58"/>
      <x:c r="D24" s="58"/>
      <x:c r="E24" s="58"/>
      <x:c r="F24" s="58"/>
      <x:c r="G24" s="58"/>
      <x:c r="H24" s="58"/>
      <x:c r="I24" s="58"/>
    </x:row>
    <x:row r="25">
      <x:c r="A25" s="58"/>
      <x:c r="B25" s="58"/>
      <x:c r="C25" s="58"/>
      <x:c r="D25" s="58"/>
      <x:c r="E25" s="58"/>
      <x:c r="F25" s="58"/>
      <x:c r="G25" s="58"/>
      <x:c r="H25" s="58"/>
      <x:c r="I25" s="58"/>
    </x:row>
    <x:row r="26">
      <x:c r="A26" s="58"/>
      <x:c r="B26" s="58"/>
      <x:c r="C26" s="58"/>
      <x:c r="D26" s="58"/>
      <x:c r="E26" s="58"/>
      <x:c r="F26" s="58"/>
      <x:c r="G26" s="58"/>
      <x:c r="H26" s="58"/>
      <x:c r="I26" s="58"/>
    </x:row>
    <x:row r="27">
      <x:c r="A27" s="58"/>
      <x:c r="B27" s="58"/>
      <x:c r="C27" s="58"/>
      <x:c r="D27" s="58"/>
      <x:c r="E27" s="58"/>
      <x:c r="F27" s="58"/>
      <x:c r="G27" s="58"/>
      <x:c r="H27" s="58"/>
      <x:c r="I27" s="58"/>
    </x:row>
    <x:row r="28">
      <x:c r="A28" s="58"/>
      <x:c r="B28" s="58"/>
      <x:c r="C28" s="58"/>
      <x:c r="D28" s="58"/>
      <x:c r="E28" s="58"/>
      <x:c r="F28" s="58"/>
      <x:c r="G28" s="58"/>
      <x:c r="H28" s="58"/>
      <x:c r="I28" s="58"/>
    </x:row>
  </x:sheetData>
  <x:mergeCells>
    <x:mergeCell ref="A3:D3"/>
    <x:mergeCell ref="A16:D16"/>
  </x:mergeCells>
  <x:dataValidations count="1">
    <x:dataValidation type="list" allowBlank="1" showDropDown="0" showInputMessage="0" showErrorMessage="0" error="Выберите ведущий вид работ из справочника листа «Виды»" sqref="B13">
      <x:formula1>'Виды'!$E$3:$E$8</x:formula1>
    </x:dataValidation>
  </x:dataValidations>
  <x:pageMargins left="0.3" right="0.3" top="0.4" bottom="0.4" header="0.2" footer="0.2"/>
  <x:pageSetup paperSize="9" orientation="landscape" fitToWidth="1" fitToHeight="0"/>
</x:worksheet>
</file>

<file path=xl/worksheets/sheet2.xml><?xml version="1.0" encoding="utf-8"?>
<x:worksheet xmlns:x="http://schemas.openxmlformats.org/spreadsheetml/2006/main">
  <x:sheetPr>
    <x:pageSetUpPr fitToPage="1"/>
  </x:sheetPr>
  <x:sheetViews>
    <x:sheetView workbookViewId="0">
      <x:pane ySplit="6" topLeftCell="A7" activePane="bottomLeft" state="frozen"/>
    </x:sheetView>
  </x:sheetViews>
  <x:sheetFormatPr baseColWidth="8" defaultRowHeight="15"/>
  <x:cols>
    <x:col min="1" max="1" width="5" customWidth="1"/>
    <x:col min="2" max="2" width="26" customWidth="1"/>
    <x:col min="3" max="3" width="30" customWidth="1"/>
    <x:col min="4" max="4" width="24" customWidth="1"/>
    <x:col min="5" max="5" width="13" customWidth="1"/>
    <x:col min="6" max="6" width="22" customWidth="1"/>
    <x:col min="7" max="7" width="12" customWidth="1"/>
    <x:col min="8" max="8" width="24" customWidth="1"/>
    <x:col min="9" max="9" width="22" customWidth="1"/>
    <x:col min="10" max="10" width="14" customWidth="1"/>
    <x:col min="11" max="11" width="13" customWidth="1"/>
    <x:col min="12" max="12" width="15" customWidth="1"/>
    <x:col min="13" max="13" width="22" customWidth="1"/>
    <x:col min="14" max="14" width="15" customWidth="1"/>
    <x:col min="15" max="15" width="15" customWidth="1"/>
    <x:col min="16" max="16" width="15" customWidth="1"/>
    <x:col min="17" max="17" width="13" customWidth="1"/>
    <x:col min="18" max="18" width="14" customWidth="1"/>
    <x:col min="19" max="19" width="34" customWidth="1"/>
    <x:col min="20" max="20" width="26" customWidth="1"/>
    <x:col min="21" max="21" width="34" customWidth="1"/>
  </x:cols>
  <x:sheetData>
    <x:row r="1" ht="31" customHeight="1">
      <x:c r="A1" s="76" t="inlineStr">
        <x:is>
          <x:t xml:space="preserve">Опись доказательств по дефекту</x:t>
        </x:is>
      </x:c>
      <x:c r="B1" s="76"/>
      <x:c r="C1" s="76"/>
      <x:c r="D1" s="76"/>
      <x:c r="E1" s="76"/>
      <x:c r="F1" s="76"/>
      <x:c r="G1" s="76"/>
      <x:c r="H1" s="76"/>
      <x:c r="I1" s="76"/>
      <x:c r="J1" s="76"/>
      <x:c r="K1" s="76"/>
      <x:c r="L1" s="76"/>
      <x:c r="M1" s="76"/>
      <x:c r="N1" s="76"/>
    </x:row>
    <x:row r="2">
      <x:c r="A2" s="88" t="inlineStr">
        <x:is>
          <x:t xml:space="preserve">Жёлтые колонки заполняете вы, по одной строке на документ. Колонки «№» и «Состояние» считаются сами. Заполняется по одной спорной зоне — той, что описана на листе «Спорная зона».</x:t>
        </x:is>
      </x:c>
      <x:c r="B2" s="58"/>
      <x:c r="C2" s="58"/>
      <x:c r="D2" s="58"/>
      <x:c r="E2" s="58"/>
      <x:c r="F2" s="58"/>
      <x:c r="G2" s="58"/>
      <x:c r="H2" s="58"/>
      <x:c r="I2" s="58"/>
      <x:c r="J2" s="58"/>
      <x:c r="K2" s="58"/>
      <x:c r="L2" s="58"/>
      <x:c r="M2" s="58"/>
      <x:c r="N2" s="58"/>
    </x:row>
    <x:row r="3" ht="30" customHeight="1">
      <x:c r="A3" s="146" t="inlineStr">
        <x:is>
          <x:t xml:space="preserve">Прочитайте до того, как заполнять</x:t>
        </x:is>
      </x:c>
      <x:c r="B3" s="146"/>
      <x:c r="C3" s="146"/>
      <x:c r="D3" s="146"/>
      <x:c r="E3" s="146"/>
      <x:c r="F3" s="146"/>
      <x:c r="G3" s="146"/>
      <x:c r="H3" s="146"/>
      <x:c r="I3" s="146"/>
      <x:c r="J3" s="146"/>
      <x:c r="K3" s="146"/>
      <x:c r="L3" s="146"/>
      <x:c r="M3" s="146"/>
      <x:c r="N3" s="146"/>
      <x:c r="O3" s="150"/>
      <x:c r="P3" s="150"/>
      <x:c r="Q3" s="150"/>
      <x:c r="R3" s="150"/>
      <x:c r="S3" s="150"/>
      <x:c r="T3" s="150"/>
      <x:c r="U3" s="150"/>
    </x:row>
    <x:row r="4" ht="48" customHeight="1">
      <x:c r="A4" s="164" t="str">
        <x:v>Порядок заполнения: внесите документы, относящиеся к спорной зоне, укажите их наличие, доказательственное значение и факт передачи эксперту.</x:v>
      </x:c>
      <x:c r="B4" s="168"/>
      <x:c r="C4" s="168"/>
      <x:c r="D4" s="168"/>
      <x:c r="E4" s="168"/>
      <x:c r="F4" s="168"/>
      <x:c r="G4" s="168"/>
      <x:c r="H4" s="168"/>
      <x:c r="I4" s="168"/>
      <x:c r="J4" s="168"/>
      <x:c r="K4" s="168"/>
      <x:c r="L4" s="168"/>
      <x:c r="M4" s="168"/>
      <x:c r="N4" s="168"/>
      <x:c r="O4" s="168"/>
      <x:c r="P4" s="168"/>
      <x:c r="Q4" s="168"/>
      <x:c r="R4" s="168"/>
      <x:c r="S4" s="168"/>
      <x:c r="T4" s="168"/>
      <x:c r="U4" s="168"/>
    </x:row>
    <x:row r="5">
      <x:c r="A5" s="58"/>
      <x:c r="B5" s="58"/>
      <x:c r="C5" s="58"/>
      <x:c r="D5" s="58"/>
      <x:c r="E5" s="58"/>
      <x:c r="F5" s="58"/>
      <x:c r="G5" s="58"/>
      <x:c r="H5" s="58"/>
      <x:c r="I5" s="58"/>
      <x:c r="J5" s="58"/>
      <x:c r="K5" s="58"/>
      <x:c r="L5" s="58"/>
      <x:c r="M5" s="58"/>
      <x:c r="N5" s="58"/>
    </x:row>
    <x:row r="6" ht="35" customHeight="1">
      <x:c r="A6" s="99" t="inlineStr">
        <x:is>
          <x:t xml:space="preserve">№</x:t>
        </x:is>
      </x:c>
      <x:c r="B6" s="99" t="inlineStr">
        <x:is>
          <x:t xml:space="preserve">Вид документа</x:t>
        </x:is>
      </x:c>
      <x:c r="C6" s="99" t="inlineStr">
        <x:is>
          <x:t xml:space="preserve">Наименование и реквизиты</x:t>
        </x:is>
      </x:c>
      <x:c r="D6" s="99" t="inlineStr">
        <x:is>
          <x:t xml:space="preserve">К чему относится</x:t>
        </x:is>
      </x:c>
      <x:c r="E6" s="99" t="inlineStr">
        <x:is>
          <x:t xml:space="preserve">Дата документа</x:t>
        </x:is>
      </x:c>
      <x:c r="F6" s="99" t="inlineStr">
        <x:is>
          <x:t xml:space="preserve">Кем подписан</x:t>
        </x:is>
      </x:c>
      <x:c r="G6" s="99" t="inlineStr">
        <x:is>
          <x:t xml:space="preserve">Наличие</x:t>
        </x:is>
      </x:c>
      <x:c r="H6" s="99" t="inlineStr">
        <x:is>
          <x:t xml:space="preserve">Где находится</x:t>
        </x:is>
      </x:c>
      <x:c r="I6" s="99" t="inlineStr">
        <x:is>
          <x:t xml:space="preserve">Что подтверждает</x:t>
        </x:is>
      </x:c>
      <x:c r="J6" s="99" t="inlineStr">
        <x:is>
          <x:t xml:space="preserve">Обязателен для причины</x:t>
        </x:is>
      </x:c>
      <x:c r="K6" s="99" t="inlineStr">
        <x:is>
          <x:t xml:space="preserve">Передан оппоненту</x:t>
        </x:is>
      </x:c>
      <x:c r="L6" s="99" t="inlineStr">
        <x:is>
          <x:t xml:space="preserve">Дата передачи оппоненту</x:t>
        </x:is>
      </x:c>
      <x:c r="M6" s="99" t="inlineStr">
        <x:is>
          <x:t xml:space="preserve">След передачи</x:t>
        </x:is>
      </x:c>
      <x:c r="N6" s="99" t="inlineStr">
        <x:is>
          <x:t xml:space="preserve">Передан эксперту или в дело</x:t>
        </x:is>
      </x:c>
      <x:c r="O6" s="8" t="inlineStr">
        <x:is>
          <x:t xml:space="preserve">Дата передачи эксперту</x:t>
        </x:is>
      </x:c>
      <x:c r="P6" s="8" t="inlineStr">
        <x:is>
          <x:t xml:space="preserve">Запрошен у другой стороны</x:t>
        </x:is>
      </x:c>
      <x:c r="Q6" s="8" t="inlineStr">
        <x:is>
          <x:t xml:space="preserve">Дата запроса</x:t>
        </x:is>
      </x:c>
      <x:c r="R6" s="8" t="inlineStr">
        <x:is>
          <x:t xml:space="preserve">Получен по запросу</x:t>
        </x:is>
      </x:c>
      <x:c r="S6" s="8" t="inlineStr">
        <x:is>
          <x:t xml:space="preserve">Что ещё относится к этому обстоятельству</x:t>
        </x:is>
      </x:c>
      <x:c r="T6" s="8" t="inlineStr">
        <x:is>
          <x:t xml:space="preserve">Примечание</x:t>
        </x:is>
      </x:c>
      <x:c r="U6" s="8" t="inlineStr">
        <x:is>
          <x:t xml:space="preserve">Состояние</x:t>
        </x:is>
      </x:c>
    </x:row>
    <x:row r="7">
      <x:c r="A7" s="95" t="str">
        <x:f>IF($B7="","",ROW()-6)</x:f>
      </x:c>
      <x:c r="B7" s="96" t="n"/>
      <x:c r="C7" s="96" t="n"/>
      <x:c r="D7" s="96" t="n"/>
      <x:c r="E7" s="97" t="n"/>
      <x:c r="F7" s="96" t="n"/>
      <x:c r="G7" s="96" t="n"/>
      <x:c r="H7" s="96" t="n"/>
      <x:c r="I7" s="96" t="n"/>
      <x:c r="J7" s="96" t="n"/>
      <x:c r="K7" s="96" t="n"/>
      <x:c r="L7" s="97" t="n"/>
      <x:c r="M7" s="96" t="n"/>
      <x:c r="N7" s="96" t="n"/>
      <x:c r="O7" s="11" t="n"/>
      <x:c r="P7" s="10" t="n"/>
      <x:c r="Q7" s="11" t="n"/>
      <x:c r="R7" s="10" t="n"/>
      <x:c r="S7" s="10" t="n"/>
      <x:c r="T7" s="10" t="n"/>
      <x:c r="U7" s="12" t="str">
        <x:f>IF($B7="","",IF(OR(AND($G7&lt;&gt;"оригинал",$G7&lt;&gt;"копия",$G7&lt;&gt;"скан",$G7&lt;&gt;"нет"),AND($J7&lt;&gt;"да",$J7&lt;&gt;"нет")),"НЕ ПРОВЕРЕНО: наличие или обязательность",IF(AND($N7="да",OR($O7="",$M7="")),"передан без следа: эксперт или дата",IF(AND($P7="да",$Q7=""),"НЕ ПРОВЕРЕНО: дата запроса",IF($B7="","",IF(AND($J7="да",$G7="нет",$P7&lt;&gt;"да"),"дыра: обязательного документа нет, запрос не направлен",IF(AND($G7="нет",$P7="да",$R7&lt;&gt;"да"),"запрошен, не получен",IF(AND($G7="нет",$J7&lt;&gt;"да"),"отсутствует, на причину не влияет",IF(AND(OR($K7="да",$N7="да"),$M7=""),"передан без следа",IF(AND($K7="да",$L7=""),"передан без следа","в порядке"))))))))))</x:f>
      </x:c>
    </x:row>
    <x:row r="8">
      <x:c r="A8" s="95" t="str">
        <x:f>IF($B8="","",ROW()-6)</x:f>
      </x:c>
      <x:c r="B8" s="96" t="n"/>
      <x:c r="C8" s="96" t="n"/>
      <x:c r="D8" s="96" t="n"/>
      <x:c r="E8" s="97" t="n"/>
      <x:c r="F8" s="96" t="n"/>
      <x:c r="G8" s="96" t="n"/>
      <x:c r="H8" s="96" t="n"/>
      <x:c r="I8" s="96" t="n"/>
      <x:c r="J8" s="96" t="n"/>
      <x:c r="K8" s="96" t="n"/>
      <x:c r="L8" s="97" t="n"/>
      <x:c r="M8" s="96" t="n"/>
      <x:c r="N8" s="96" t="n"/>
      <x:c r="O8" s="11" t="n"/>
      <x:c r="P8" s="10" t="n"/>
      <x:c r="Q8" s="11" t="n"/>
      <x:c r="R8" s="10" t="n"/>
      <x:c r="S8" s="10" t="n"/>
      <x:c r="T8" s="10" t="n"/>
      <x:c r="U8" s="12" t="str">
        <x:f>IF($B8="","",IF(OR(AND($G8&lt;&gt;"оригинал",$G8&lt;&gt;"копия",$G8&lt;&gt;"скан",$G8&lt;&gt;"нет"),AND($J8&lt;&gt;"да",$J8&lt;&gt;"нет")),"НЕ ПРОВЕРЕНО: наличие или обязательность",IF(AND($N8="да",OR($O8="",$M8="")),"передан без следа: эксперт или дата",IF(AND($P8="да",$Q8=""),"НЕ ПРОВЕРЕНО: дата запроса",IF($B8="","",IF(AND($J8="да",$G8="нет",$P8&lt;&gt;"да"),"дыра: обязательного документа нет, запрос не направлен",IF(AND($G8="нет",$P8="да",$R8&lt;&gt;"да"),"запрошен, не получен",IF(AND($G8="нет",$J8&lt;&gt;"да"),"отсутствует, на причину не влияет",IF(AND(OR($K8="да",$N8="да"),$M8=""),"передан без следа",IF(AND($K8="да",$L8=""),"передан без следа","в порядке"))))))))))</x:f>
      </x:c>
    </x:row>
    <x:row r="9">
      <x:c r="A9" s="95" t="str">
        <x:f>IF($B9="","",ROW()-6)</x:f>
      </x:c>
      <x:c r="B9" s="96" t="n"/>
      <x:c r="C9" s="96" t="n"/>
      <x:c r="D9" s="96" t="n"/>
      <x:c r="E9" s="97" t="n"/>
      <x:c r="F9" s="96" t="n"/>
      <x:c r="G9" s="96" t="n"/>
      <x:c r="H9" s="96" t="n"/>
      <x:c r="I9" s="96" t="n"/>
      <x:c r="J9" s="96" t="n"/>
      <x:c r="K9" s="96" t="n"/>
      <x:c r="L9" s="97" t="n"/>
      <x:c r="M9" s="96" t="n"/>
      <x:c r="N9" s="96" t="n"/>
      <x:c r="O9" s="11" t="n"/>
      <x:c r="P9" s="10" t="n"/>
      <x:c r="Q9" s="11" t="n"/>
      <x:c r="R9" s="10" t="n"/>
      <x:c r="S9" s="10" t="n"/>
      <x:c r="T9" s="10" t="n"/>
      <x:c r="U9" s="12" t="str">
        <x:f>IF($B9="","",IF(OR(AND($G9&lt;&gt;"оригинал",$G9&lt;&gt;"копия",$G9&lt;&gt;"скан",$G9&lt;&gt;"нет"),AND($J9&lt;&gt;"да",$J9&lt;&gt;"нет")),"НЕ ПРОВЕРЕНО: наличие или обязательность",IF(AND($N9="да",OR($O9="",$M9="")),"передан без следа: эксперт или дата",IF(AND($P9="да",$Q9=""),"НЕ ПРОВЕРЕНО: дата запроса",IF($B9="","",IF(AND($J9="да",$G9="нет",$P9&lt;&gt;"да"),"дыра: обязательного документа нет, запрос не направлен",IF(AND($G9="нет",$P9="да",$R9&lt;&gt;"да"),"запрошен, не получен",IF(AND($G9="нет",$J9&lt;&gt;"да"),"отсутствует, на причину не влияет",IF(AND(OR($K9="да",$N9="да"),$M9=""),"передан без следа",IF(AND($K9="да",$L9=""),"передан без следа","в порядке"))))))))))</x:f>
      </x:c>
    </x:row>
    <x:row r="10">
      <x:c r="A10" s="95" t="str">
        <x:f>IF($B10="","",ROW()-6)</x:f>
      </x:c>
      <x:c r="B10" s="96" t="n"/>
      <x:c r="C10" s="96" t="n"/>
      <x:c r="D10" s="96" t="n"/>
      <x:c r="E10" s="97" t="n"/>
      <x:c r="F10" s="96" t="n"/>
      <x:c r="G10" s="96" t="n"/>
      <x:c r="H10" s="96" t="n"/>
      <x:c r="I10" s="96" t="n"/>
      <x:c r="J10" s="96" t="n"/>
      <x:c r="K10" s="96" t="n"/>
      <x:c r="L10" s="97" t="n"/>
      <x:c r="M10" s="96" t="n"/>
      <x:c r="N10" s="96" t="n"/>
      <x:c r="O10" s="11" t="n"/>
      <x:c r="P10" s="10" t="n"/>
      <x:c r="Q10" s="11" t="n"/>
      <x:c r="R10" s="10" t="n"/>
      <x:c r="S10" s="10" t="n"/>
      <x:c r="T10" s="10" t="n"/>
      <x:c r="U10" s="12" t="str">
        <x:f>IF($B10="","",IF(OR(AND($G10&lt;&gt;"оригинал",$G10&lt;&gt;"копия",$G10&lt;&gt;"скан",$G10&lt;&gt;"нет"),AND($J10&lt;&gt;"да",$J10&lt;&gt;"нет")),"НЕ ПРОВЕРЕНО: наличие или обязательность",IF(AND($N10="да",OR($O10="",$M10="")),"передан без следа: эксперт или дата",IF(AND($P10="да",$Q10=""),"НЕ ПРОВЕРЕНО: дата запроса",IF($B10="","",IF(AND($J10="да",$G10="нет",$P10&lt;&gt;"да"),"дыра: обязательного документа нет, запрос не направлен",IF(AND($G10="нет",$P10="да",$R10&lt;&gt;"да"),"запрошен, не получен",IF(AND($G10="нет",$J10&lt;&gt;"да"),"отсутствует, на причину не влияет",IF(AND(OR($K10="да",$N10="да"),$M10=""),"передан без следа",IF(AND($K10="да",$L10=""),"передан без следа","в порядке"))))))))))</x:f>
      </x:c>
    </x:row>
    <x:row r="11">
      <x:c r="A11" s="95" t="str">
        <x:f>IF($B11="","",ROW()-6)</x:f>
      </x:c>
      <x:c r="B11" s="96" t="n"/>
      <x:c r="C11" s="96" t="n"/>
      <x:c r="D11" s="96" t="n"/>
      <x:c r="E11" s="97" t="n"/>
      <x:c r="F11" s="96" t="n"/>
      <x:c r="G11" s="96" t="n"/>
      <x:c r="H11" s="96" t="n"/>
      <x:c r="I11" s="96" t="n"/>
      <x:c r="J11" s="96" t="n"/>
      <x:c r="K11" s="96" t="n"/>
      <x:c r="L11" s="97" t="n"/>
      <x:c r="M11" s="96" t="n"/>
      <x:c r="N11" s="96" t="n"/>
      <x:c r="O11" s="11" t="n"/>
      <x:c r="P11" s="10" t="n"/>
      <x:c r="Q11" s="11" t="n"/>
      <x:c r="R11" s="10" t="n"/>
      <x:c r="S11" s="10" t="n"/>
      <x:c r="T11" s="10" t="n"/>
      <x:c r="U11" s="12" t="str">
        <x:f>IF($B11="","",IF(OR(AND($G11&lt;&gt;"оригинал",$G11&lt;&gt;"копия",$G11&lt;&gt;"скан",$G11&lt;&gt;"нет"),AND($J11&lt;&gt;"да",$J11&lt;&gt;"нет")),"НЕ ПРОВЕРЕНО: наличие или обязательность",IF(AND($N11="да",OR($O11="",$M11="")),"передан без следа: эксперт или дата",IF(AND($P11="да",$Q11=""),"НЕ ПРОВЕРЕНО: дата запроса",IF($B11="","",IF(AND($J11="да",$G11="нет",$P11&lt;&gt;"да"),"дыра: обязательного документа нет, запрос не направлен",IF(AND($G11="нет",$P11="да",$R11&lt;&gt;"да"),"запрошен, не получен",IF(AND($G11="нет",$J11&lt;&gt;"да"),"отсутствует, на причину не влияет",IF(AND(OR($K11="да",$N11="да"),$M11=""),"передан без следа",IF(AND($K11="да",$L11=""),"передан без следа","в порядке"))))))))))</x:f>
      </x:c>
    </x:row>
    <x:row r="12">
      <x:c r="A12" s="95" t="str">
        <x:f>IF($B12="","",ROW()-6)</x:f>
      </x:c>
      <x:c r="B12" s="96" t="n"/>
      <x:c r="C12" s="96" t="n"/>
      <x:c r="D12" s="96" t="n"/>
      <x:c r="E12" s="97" t="n"/>
      <x:c r="F12" s="96" t="n"/>
      <x:c r="G12" s="96" t="n"/>
      <x:c r="H12" s="96" t="n"/>
      <x:c r="I12" s="96" t="n"/>
      <x:c r="J12" s="96" t="n"/>
      <x:c r="K12" s="96" t="n"/>
      <x:c r="L12" s="97" t="n"/>
      <x:c r="M12" s="96" t="n"/>
      <x:c r="N12" s="96" t="n"/>
      <x:c r="O12" s="11" t="n"/>
      <x:c r="P12" s="10" t="n"/>
      <x:c r="Q12" s="11" t="n"/>
      <x:c r="R12" s="10" t="n"/>
      <x:c r="S12" s="10" t="n"/>
      <x:c r="T12" s="10" t="n"/>
      <x:c r="U12" s="12" t="str">
        <x:f>IF($B12="","",IF(OR(AND($G12&lt;&gt;"оригинал",$G12&lt;&gt;"копия",$G12&lt;&gt;"скан",$G12&lt;&gt;"нет"),AND($J12&lt;&gt;"да",$J12&lt;&gt;"нет")),"НЕ ПРОВЕРЕНО: наличие или обязательность",IF(AND($N12="да",OR($O12="",$M12="")),"передан без следа: эксперт или дата",IF(AND($P12="да",$Q12=""),"НЕ ПРОВЕРЕНО: дата запроса",IF($B12="","",IF(AND($J12="да",$G12="нет",$P12&lt;&gt;"да"),"дыра: обязательного документа нет, запрос не направлен",IF(AND($G12="нет",$P12="да",$R12&lt;&gt;"да"),"запрошен, не получен",IF(AND($G12="нет",$J12&lt;&gt;"да"),"отсутствует, на причину не влияет",IF(AND(OR($K12="да",$N12="да"),$M12=""),"передан без следа",IF(AND($K12="да",$L12=""),"передан без следа","в порядке"))))))))))</x:f>
      </x:c>
    </x:row>
    <x:row r="13">
      <x:c r="A13" s="95" t="str">
        <x:f>IF($B13="","",ROW()-6)</x:f>
      </x:c>
      <x:c r="B13" s="96" t="n"/>
      <x:c r="C13" s="96" t="n"/>
      <x:c r="D13" s="96" t="n"/>
      <x:c r="E13" s="97" t="n"/>
      <x:c r="F13" s="96" t="n"/>
      <x:c r="G13" s="96" t="n"/>
      <x:c r="H13" s="96" t="n"/>
      <x:c r="I13" s="96" t="n"/>
      <x:c r="J13" s="96" t="n"/>
      <x:c r="K13" s="96" t="n"/>
      <x:c r="L13" s="97" t="n"/>
      <x:c r="M13" s="96" t="n"/>
      <x:c r="N13" s="96" t="n"/>
      <x:c r="O13" s="11" t="n"/>
      <x:c r="P13" s="10" t="n"/>
      <x:c r="Q13" s="11" t="n"/>
      <x:c r="R13" s="10" t="n"/>
      <x:c r="S13" s="10" t="n"/>
      <x:c r="T13" s="10" t="n"/>
      <x:c r="U13" s="12" t="str">
        <x:f>IF($B13="","",IF(OR(AND($G13&lt;&gt;"оригинал",$G13&lt;&gt;"копия",$G13&lt;&gt;"скан",$G13&lt;&gt;"нет"),AND($J13&lt;&gt;"да",$J13&lt;&gt;"нет")),"НЕ ПРОВЕРЕНО: наличие или обязательность",IF(AND($N13="да",OR($O13="",$M13="")),"передан без следа: эксперт или дата",IF(AND($P13="да",$Q13=""),"НЕ ПРОВЕРЕНО: дата запроса",IF($B13="","",IF(AND($J13="да",$G13="нет",$P13&lt;&gt;"да"),"дыра: обязательного документа нет, запрос не направлен",IF(AND($G13="нет",$P13="да",$R13&lt;&gt;"да"),"запрошен, не получен",IF(AND($G13="нет",$J13&lt;&gt;"да"),"отсутствует, на причину не влияет",IF(AND(OR($K13="да",$N13="да"),$M13=""),"передан без следа",IF(AND($K13="да",$L13=""),"передан без следа","в порядке"))))))))))</x:f>
      </x:c>
    </x:row>
    <x:row r="14">
      <x:c r="A14" s="95" t="str">
        <x:f>IF($B14="","",ROW()-6)</x:f>
      </x:c>
      <x:c r="B14" s="96" t="n"/>
      <x:c r="C14" s="96" t="n"/>
      <x:c r="D14" s="96" t="n"/>
      <x:c r="E14" s="97" t="n"/>
      <x:c r="F14" s="96" t="n"/>
      <x:c r="G14" s="96" t="n"/>
      <x:c r="H14" s="96" t="n"/>
      <x:c r="I14" s="96" t="n"/>
      <x:c r="J14" s="96" t="n"/>
      <x:c r="K14" s="96" t="n"/>
      <x:c r="L14" s="97" t="n"/>
      <x:c r="M14" s="96" t="n"/>
      <x:c r="N14" s="96" t="n"/>
      <x:c r="O14" s="11" t="n"/>
      <x:c r="P14" s="10" t="n"/>
      <x:c r="Q14" s="11" t="n"/>
      <x:c r="R14" s="10" t="n"/>
      <x:c r="S14" s="10" t="n"/>
      <x:c r="T14" s="10" t="n"/>
      <x:c r="U14" s="12" t="str">
        <x:f>IF($B14="","",IF(OR(AND($G14&lt;&gt;"оригинал",$G14&lt;&gt;"копия",$G14&lt;&gt;"скан",$G14&lt;&gt;"нет"),AND($J14&lt;&gt;"да",$J14&lt;&gt;"нет")),"НЕ ПРОВЕРЕНО: наличие или обязательность",IF(AND($N14="да",OR($O14="",$M14="")),"передан без следа: эксперт или дата",IF(AND($P14="да",$Q14=""),"НЕ ПРОВЕРЕНО: дата запроса",IF($B14="","",IF(AND($J14="да",$G14="нет",$P14&lt;&gt;"да"),"дыра: обязательного документа нет, запрос не направлен",IF(AND($G14="нет",$P14="да",$R14&lt;&gt;"да"),"запрошен, не получен",IF(AND($G14="нет",$J14&lt;&gt;"да"),"отсутствует, на причину не влияет",IF(AND(OR($K14="да",$N14="да"),$M14=""),"передан без следа",IF(AND($K14="да",$L14=""),"передан без следа","в порядке"))))))))))</x:f>
      </x:c>
    </x:row>
    <x:row r="15">
      <x:c r="A15" s="95" t="str">
        <x:f>IF($B15="","",ROW()-6)</x:f>
      </x:c>
      <x:c r="B15" s="96" t="n"/>
      <x:c r="C15" s="96" t="n"/>
      <x:c r="D15" s="96" t="n"/>
      <x:c r="E15" s="97" t="n"/>
      <x:c r="F15" s="96" t="n"/>
      <x:c r="G15" s="96" t="n"/>
      <x:c r="H15" s="96" t="n"/>
      <x:c r="I15" s="96" t="n"/>
      <x:c r="J15" s="96" t="n"/>
      <x:c r="K15" s="96" t="n"/>
      <x:c r="L15" s="97" t="n"/>
      <x:c r="M15" s="96" t="n"/>
      <x:c r="N15" s="96" t="n"/>
      <x:c r="O15" s="11" t="n"/>
      <x:c r="P15" s="10" t="n"/>
      <x:c r="Q15" s="11" t="n"/>
      <x:c r="R15" s="10" t="n"/>
      <x:c r="S15" s="10" t="n"/>
      <x:c r="T15" s="10" t="n"/>
      <x:c r="U15" s="12" t="str">
        <x:f>IF($B15="","",IF(OR(AND($G15&lt;&gt;"оригинал",$G15&lt;&gt;"копия",$G15&lt;&gt;"скан",$G15&lt;&gt;"нет"),AND($J15&lt;&gt;"да",$J15&lt;&gt;"нет")),"НЕ ПРОВЕРЕНО: наличие или обязательность",IF(AND($N15="да",OR($O15="",$M15="")),"передан без следа: эксперт или дата",IF(AND($P15="да",$Q15=""),"НЕ ПРОВЕРЕНО: дата запроса",IF($B15="","",IF(AND($J15="да",$G15="нет",$P15&lt;&gt;"да"),"дыра: обязательного документа нет, запрос не направлен",IF(AND($G15="нет",$P15="да",$R15&lt;&gt;"да"),"запрошен, не получен",IF(AND($G15="нет",$J15&lt;&gt;"да"),"отсутствует, на причину не влияет",IF(AND(OR($K15="да",$N15="да"),$M15=""),"передан без следа",IF(AND($K15="да",$L15=""),"передан без следа","в порядке"))))))))))</x:f>
      </x:c>
    </x:row>
    <x:row r="16">
      <x:c r="A16" s="95" t="str">
        <x:f>IF($B16="","",ROW()-6)</x:f>
      </x:c>
      <x:c r="B16" s="96" t="n"/>
      <x:c r="C16" s="96" t="n"/>
      <x:c r="D16" s="96" t="n"/>
      <x:c r="E16" s="97" t="n"/>
      <x:c r="F16" s="96" t="n"/>
      <x:c r="G16" s="96" t="n"/>
      <x:c r="H16" s="96" t="n"/>
      <x:c r="I16" s="96" t="n"/>
      <x:c r="J16" s="96" t="n"/>
      <x:c r="K16" s="96" t="n"/>
      <x:c r="L16" s="97" t="n"/>
      <x:c r="M16" s="96" t="n"/>
      <x:c r="N16" s="96" t="n"/>
      <x:c r="O16" s="11" t="n"/>
      <x:c r="P16" s="10" t="n"/>
      <x:c r="Q16" s="11" t="n"/>
      <x:c r="R16" s="10" t="n"/>
      <x:c r="S16" s="10" t="n"/>
      <x:c r="T16" s="10" t="n"/>
      <x:c r="U16" s="12" t="str">
        <x:f>IF($B16="","",IF(OR(AND($G16&lt;&gt;"оригинал",$G16&lt;&gt;"копия",$G16&lt;&gt;"скан",$G16&lt;&gt;"нет"),AND($J16&lt;&gt;"да",$J16&lt;&gt;"нет")),"НЕ ПРОВЕРЕНО: наличие или обязательность",IF(AND($N16="да",OR($O16="",$M16="")),"передан без следа: эксперт или дата",IF(AND($P16="да",$Q16=""),"НЕ ПРОВЕРЕНО: дата запроса",IF($B16="","",IF(AND($J16="да",$G16="нет",$P16&lt;&gt;"да"),"дыра: обязательного документа нет, запрос не направлен",IF(AND($G16="нет",$P16="да",$R16&lt;&gt;"да"),"запрошен, не получен",IF(AND($G16="нет",$J16&lt;&gt;"да"),"отсутствует, на причину не влияет",IF(AND(OR($K16="да",$N16="да"),$M16=""),"передан без следа",IF(AND($K16="да",$L16=""),"передан без следа","в порядке"))))))))))</x:f>
      </x:c>
    </x:row>
    <x:row r="17">
      <x:c r="A17" s="95" t="str">
        <x:f>IF($B17="","",ROW()-6)</x:f>
      </x:c>
      <x:c r="B17" s="96" t="n"/>
      <x:c r="C17" s="96" t="n"/>
      <x:c r="D17" s="96" t="n"/>
      <x:c r="E17" s="97" t="n"/>
      <x:c r="F17" s="96" t="n"/>
      <x:c r="G17" s="96" t="n"/>
      <x:c r="H17" s="96" t="n"/>
      <x:c r="I17" s="96" t="n"/>
      <x:c r="J17" s="96" t="n"/>
      <x:c r="K17" s="96" t="n"/>
      <x:c r="L17" s="97" t="n"/>
      <x:c r="M17" s="96" t="n"/>
      <x:c r="N17" s="96" t="n"/>
      <x:c r="O17" s="11" t="n"/>
      <x:c r="P17" s="10" t="n"/>
      <x:c r="Q17" s="11" t="n"/>
      <x:c r="R17" s="10" t="n"/>
      <x:c r="S17" s="10" t="n"/>
      <x:c r="T17" s="10" t="n"/>
      <x:c r="U17" s="12" t="str">
        <x:f>IF($B17="","",IF(OR(AND($G17&lt;&gt;"оригинал",$G17&lt;&gt;"копия",$G17&lt;&gt;"скан",$G17&lt;&gt;"нет"),AND($J17&lt;&gt;"да",$J17&lt;&gt;"нет")),"НЕ ПРОВЕРЕНО: наличие или обязательность",IF(AND($N17="да",OR($O17="",$M17="")),"передан без следа: эксперт или дата",IF(AND($P17="да",$Q17=""),"НЕ ПРОВЕРЕНО: дата запроса",IF($B17="","",IF(AND($J17="да",$G17="нет",$P17&lt;&gt;"да"),"дыра: обязательного документа нет, запрос не направлен",IF(AND($G17="нет",$P17="да",$R17&lt;&gt;"да"),"запрошен, не получен",IF(AND($G17="нет",$J17&lt;&gt;"да"),"отсутствует, на причину не влияет",IF(AND(OR($K17="да",$N17="да"),$M17=""),"передан без следа",IF(AND($K17="да",$L17=""),"передан без следа","в порядке"))))))))))</x:f>
      </x:c>
    </x:row>
    <x:row r="18">
      <x:c r="A18" s="95" t="str">
        <x:f>IF($B18="","",ROW()-6)</x:f>
      </x:c>
      <x:c r="B18" s="96" t="n"/>
      <x:c r="C18" s="96" t="n"/>
      <x:c r="D18" s="96" t="n"/>
      <x:c r="E18" s="97" t="n"/>
      <x:c r="F18" s="96" t="n"/>
      <x:c r="G18" s="96" t="n"/>
      <x:c r="H18" s="96" t="n"/>
      <x:c r="I18" s="96" t="n"/>
      <x:c r="J18" s="96" t="n"/>
      <x:c r="K18" s="96" t="n"/>
      <x:c r="L18" s="97" t="n"/>
      <x:c r="M18" s="96" t="n"/>
      <x:c r="N18" s="96" t="n"/>
      <x:c r="O18" s="11" t="n"/>
      <x:c r="P18" s="10" t="n"/>
      <x:c r="Q18" s="11" t="n"/>
      <x:c r="R18" s="10" t="n"/>
      <x:c r="S18" s="10" t="n"/>
      <x:c r="T18" s="10" t="n"/>
      <x:c r="U18" s="12" t="str">
        <x:f>IF($B18="","",IF(OR(AND($G18&lt;&gt;"оригинал",$G18&lt;&gt;"копия",$G18&lt;&gt;"скан",$G18&lt;&gt;"нет"),AND($J18&lt;&gt;"да",$J18&lt;&gt;"нет")),"НЕ ПРОВЕРЕНО: наличие или обязательность",IF(AND($N18="да",OR($O18="",$M18="")),"передан без следа: эксперт или дата",IF(AND($P18="да",$Q18=""),"НЕ ПРОВЕРЕНО: дата запроса",IF($B18="","",IF(AND($J18="да",$G18="нет",$P18&lt;&gt;"да"),"дыра: обязательного документа нет, запрос не направлен",IF(AND($G18="нет",$P18="да",$R18&lt;&gt;"да"),"запрошен, не получен",IF(AND($G18="нет",$J18&lt;&gt;"да"),"отсутствует, на причину не влияет",IF(AND(OR($K18="да",$N18="да"),$M18=""),"передан без следа",IF(AND($K18="да",$L18=""),"передан без следа","в порядке"))))))))))</x:f>
      </x:c>
    </x:row>
    <x:row r="19">
      <x:c r="A19" s="95" t="str">
        <x:f>IF($B19="","",ROW()-6)</x:f>
      </x:c>
      <x:c r="B19" s="96" t="n"/>
      <x:c r="C19" s="96" t="n"/>
      <x:c r="D19" s="96" t="n"/>
      <x:c r="E19" s="97" t="n"/>
      <x:c r="F19" s="96" t="n"/>
      <x:c r="G19" s="96" t="n"/>
      <x:c r="H19" s="96" t="n"/>
      <x:c r="I19" s="96" t="n"/>
      <x:c r="J19" s="96" t="n"/>
      <x:c r="K19" s="96" t="n"/>
      <x:c r="L19" s="97" t="n"/>
      <x:c r="M19" s="96" t="n"/>
      <x:c r="N19" s="96" t="n"/>
      <x:c r="O19" s="11" t="n"/>
      <x:c r="P19" s="10" t="n"/>
      <x:c r="Q19" s="11" t="n"/>
      <x:c r="R19" s="10" t="n"/>
      <x:c r="S19" s="10" t="n"/>
      <x:c r="T19" s="10" t="n"/>
      <x:c r="U19" s="12" t="str">
        <x:f>IF($B19="","",IF(OR(AND($G19&lt;&gt;"оригинал",$G19&lt;&gt;"копия",$G19&lt;&gt;"скан",$G19&lt;&gt;"нет"),AND($J19&lt;&gt;"да",$J19&lt;&gt;"нет")),"НЕ ПРОВЕРЕНО: наличие или обязательность",IF(AND($N19="да",OR($O19="",$M19="")),"передан без следа: эксперт или дата",IF(AND($P19="да",$Q19=""),"НЕ ПРОВЕРЕНО: дата запроса",IF($B19="","",IF(AND($J19="да",$G19="нет",$P19&lt;&gt;"да"),"дыра: обязательного документа нет, запрос не направлен",IF(AND($G19="нет",$P19="да",$R19&lt;&gt;"да"),"запрошен, не получен",IF(AND($G19="нет",$J19&lt;&gt;"да"),"отсутствует, на причину не влияет",IF(AND(OR($K19="да",$N19="да"),$M19=""),"передан без следа",IF(AND($K19="да",$L19=""),"передан без следа","в порядке"))))))))))</x:f>
      </x:c>
    </x:row>
    <x:row r="20">
      <x:c r="A20" s="95" t="str">
        <x:f>IF($B20="","",ROW()-6)</x:f>
      </x:c>
      <x:c r="B20" s="96" t="n"/>
      <x:c r="C20" s="96" t="n"/>
      <x:c r="D20" s="96" t="n"/>
      <x:c r="E20" s="97" t="n"/>
      <x:c r="F20" s="96" t="n"/>
      <x:c r="G20" s="96" t="n"/>
      <x:c r="H20" s="96" t="n"/>
      <x:c r="I20" s="96" t="n"/>
      <x:c r="J20" s="96" t="n"/>
      <x:c r="K20" s="96" t="n"/>
      <x:c r="L20" s="97" t="n"/>
      <x:c r="M20" s="96" t="n"/>
      <x:c r="N20" s="96" t="n"/>
      <x:c r="O20" s="11" t="n"/>
      <x:c r="P20" s="10" t="n"/>
      <x:c r="Q20" s="11" t="n"/>
      <x:c r="R20" s="10" t="n"/>
      <x:c r="S20" s="10" t="n"/>
      <x:c r="T20" s="10" t="n"/>
      <x:c r="U20" s="12" t="str">
        <x:f>IF($B20="","",IF(OR(AND($G20&lt;&gt;"оригинал",$G20&lt;&gt;"копия",$G20&lt;&gt;"скан",$G20&lt;&gt;"нет"),AND($J20&lt;&gt;"да",$J20&lt;&gt;"нет")),"НЕ ПРОВЕРЕНО: наличие или обязательность",IF(AND($N20="да",OR($O20="",$M20="")),"передан без следа: эксперт или дата",IF(AND($P20="да",$Q20=""),"НЕ ПРОВЕРЕНО: дата запроса",IF($B20="","",IF(AND($J20="да",$G20="нет",$P20&lt;&gt;"да"),"дыра: обязательного документа нет, запрос не направлен",IF(AND($G20="нет",$P20="да",$R20&lt;&gt;"да"),"запрошен, не получен",IF(AND($G20="нет",$J20&lt;&gt;"да"),"отсутствует, на причину не влияет",IF(AND(OR($K20="да",$N20="да"),$M20=""),"передан без следа",IF(AND($K20="да",$L20=""),"передан без следа","в порядке"))))))))))</x:f>
      </x:c>
    </x:row>
    <x:row r="21">
      <x:c r="A21" s="95" t="str">
        <x:f>IF($B21="","",ROW()-6)</x:f>
      </x:c>
      <x:c r="B21" s="96" t="n"/>
      <x:c r="C21" s="96" t="n"/>
      <x:c r="D21" s="96" t="n"/>
      <x:c r="E21" s="97" t="n"/>
      <x:c r="F21" s="96" t="n"/>
      <x:c r="G21" s="96" t="n"/>
      <x:c r="H21" s="96" t="n"/>
      <x:c r="I21" s="96" t="n"/>
      <x:c r="J21" s="96" t="n"/>
      <x:c r="K21" s="96" t="n"/>
      <x:c r="L21" s="97" t="n"/>
      <x:c r="M21" s="96" t="n"/>
      <x:c r="N21" s="96" t="n"/>
      <x:c r="O21" s="11" t="n"/>
      <x:c r="P21" s="10" t="n"/>
      <x:c r="Q21" s="11" t="n"/>
      <x:c r="R21" s="10" t="n"/>
      <x:c r="S21" s="10" t="n"/>
      <x:c r="T21" s="10" t="n"/>
      <x:c r="U21" s="12" t="str">
        <x:f>IF($B21="","",IF(OR(AND($G21&lt;&gt;"оригинал",$G21&lt;&gt;"копия",$G21&lt;&gt;"скан",$G21&lt;&gt;"нет"),AND($J21&lt;&gt;"да",$J21&lt;&gt;"нет")),"НЕ ПРОВЕРЕНО: наличие или обязательность",IF(AND($N21="да",OR($O21="",$M21="")),"передан без следа: эксперт или дата",IF(AND($P21="да",$Q21=""),"НЕ ПРОВЕРЕНО: дата запроса",IF($B21="","",IF(AND($J21="да",$G21="нет",$P21&lt;&gt;"да"),"дыра: обязательного документа нет, запрос не направлен",IF(AND($G21="нет",$P21="да",$R21&lt;&gt;"да"),"запрошен, не получен",IF(AND($G21="нет",$J21&lt;&gt;"да"),"отсутствует, на причину не влияет",IF(AND(OR($K21="да",$N21="да"),$M21=""),"передан без следа",IF(AND($K21="да",$L21=""),"передан без следа","в порядке"))))))))))</x:f>
      </x:c>
    </x:row>
    <x:row r="22">
      <x:c r="A22" s="95" t="str">
        <x:f>IF($B22="","",ROW()-6)</x:f>
      </x:c>
      <x:c r="B22" s="96" t="n"/>
      <x:c r="C22" s="96" t="n"/>
      <x:c r="D22" s="96" t="n"/>
      <x:c r="E22" s="97" t="n"/>
      <x:c r="F22" s="96" t="n"/>
      <x:c r="G22" s="96" t="n"/>
      <x:c r="H22" s="96" t="n"/>
      <x:c r="I22" s="96" t="n"/>
      <x:c r="J22" s="96" t="n"/>
      <x:c r="K22" s="96" t="n"/>
      <x:c r="L22" s="97" t="n"/>
      <x:c r="M22" s="96" t="n"/>
      <x:c r="N22" s="96" t="n"/>
      <x:c r="O22" s="11" t="n"/>
      <x:c r="P22" s="10" t="n"/>
      <x:c r="Q22" s="11" t="n"/>
      <x:c r="R22" s="10" t="n"/>
      <x:c r="S22" s="10" t="n"/>
      <x:c r="T22" s="10" t="n"/>
      <x:c r="U22" s="12" t="str">
        <x:f>IF($B22="","",IF(OR(AND($G22&lt;&gt;"оригинал",$G22&lt;&gt;"копия",$G22&lt;&gt;"скан",$G22&lt;&gt;"нет"),AND($J22&lt;&gt;"да",$J22&lt;&gt;"нет")),"НЕ ПРОВЕРЕНО: наличие или обязательность",IF(AND($N22="да",OR($O22="",$M22="")),"передан без следа: эксперт или дата",IF(AND($P22="да",$Q22=""),"НЕ ПРОВЕРЕНО: дата запроса",IF($B22="","",IF(AND($J22="да",$G22="нет",$P22&lt;&gt;"да"),"дыра: обязательного документа нет, запрос не направлен",IF(AND($G22="нет",$P22="да",$R22&lt;&gt;"да"),"запрошен, не получен",IF(AND($G22="нет",$J22&lt;&gt;"да"),"отсутствует, на причину не влияет",IF(AND(OR($K22="да",$N22="да"),$M22=""),"передан без следа",IF(AND($K22="да",$L22=""),"передан без следа","в порядке"))))))))))</x:f>
      </x:c>
    </x:row>
    <x:row r="23">
      <x:c r="A23" s="95" t="str">
        <x:f>IF($B23="","",ROW()-6)</x:f>
      </x:c>
      <x:c r="B23" s="96" t="n"/>
      <x:c r="C23" s="96" t="n"/>
      <x:c r="D23" s="96" t="n"/>
      <x:c r="E23" s="97" t="n"/>
      <x:c r="F23" s="96" t="n"/>
      <x:c r="G23" s="96" t="n"/>
      <x:c r="H23" s="96" t="n"/>
      <x:c r="I23" s="96" t="n"/>
      <x:c r="J23" s="96" t="n"/>
      <x:c r="K23" s="96" t="n"/>
      <x:c r="L23" s="97" t="n"/>
      <x:c r="M23" s="96" t="n"/>
      <x:c r="N23" s="96" t="n"/>
      <x:c r="O23" s="11" t="n"/>
      <x:c r="P23" s="10" t="n"/>
      <x:c r="Q23" s="11" t="n"/>
      <x:c r="R23" s="10" t="n"/>
      <x:c r="S23" s="10" t="n"/>
      <x:c r="T23" s="10" t="n"/>
      <x:c r="U23" s="12" t="str">
        <x:f>IF($B23="","",IF(OR(AND($G23&lt;&gt;"оригинал",$G23&lt;&gt;"копия",$G23&lt;&gt;"скан",$G23&lt;&gt;"нет"),AND($J23&lt;&gt;"да",$J23&lt;&gt;"нет")),"НЕ ПРОВЕРЕНО: наличие или обязательность",IF(AND($N23="да",OR($O23="",$M23="")),"передан без следа: эксперт или дата",IF(AND($P23="да",$Q23=""),"НЕ ПРОВЕРЕНО: дата запроса",IF($B23="","",IF(AND($J23="да",$G23="нет",$P23&lt;&gt;"да"),"дыра: обязательного документа нет, запрос не направлен",IF(AND($G23="нет",$P23="да",$R23&lt;&gt;"да"),"запрошен, не получен",IF(AND($G23="нет",$J23&lt;&gt;"да"),"отсутствует, на причину не влияет",IF(AND(OR($K23="да",$N23="да"),$M23=""),"передан без следа",IF(AND($K23="да",$L23=""),"передан без следа","в порядке"))))))))))</x:f>
      </x:c>
    </x:row>
    <x:row r="24">
      <x:c r="A24" s="95" t="str">
        <x:f>IF($B24="","",ROW()-6)</x:f>
      </x:c>
      <x:c r="B24" s="96" t="n"/>
      <x:c r="C24" s="96" t="n"/>
      <x:c r="D24" s="96" t="n"/>
      <x:c r="E24" s="97" t="n"/>
      <x:c r="F24" s="96" t="n"/>
      <x:c r="G24" s="96" t="n"/>
      <x:c r="H24" s="96" t="n"/>
      <x:c r="I24" s="96" t="n"/>
      <x:c r="J24" s="96" t="n"/>
      <x:c r="K24" s="96" t="n"/>
      <x:c r="L24" s="97" t="n"/>
      <x:c r="M24" s="96" t="n"/>
      <x:c r="N24" s="96" t="n"/>
      <x:c r="O24" s="11" t="n"/>
      <x:c r="P24" s="10" t="n"/>
      <x:c r="Q24" s="11" t="n"/>
      <x:c r="R24" s="10" t="n"/>
      <x:c r="S24" s="10" t="n"/>
      <x:c r="T24" s="10" t="n"/>
      <x:c r="U24" s="12" t="str">
        <x:f>IF($B24="","",IF(OR(AND($G24&lt;&gt;"оригинал",$G24&lt;&gt;"копия",$G24&lt;&gt;"скан",$G24&lt;&gt;"нет"),AND($J24&lt;&gt;"да",$J24&lt;&gt;"нет")),"НЕ ПРОВЕРЕНО: наличие или обязательность",IF(AND($N24="да",OR($O24="",$M24="")),"передан без следа: эксперт или дата",IF(AND($P24="да",$Q24=""),"НЕ ПРОВЕРЕНО: дата запроса",IF($B24="","",IF(AND($J24="да",$G24="нет",$P24&lt;&gt;"да"),"дыра: обязательного документа нет, запрос не направлен",IF(AND($G24="нет",$P24="да",$R24&lt;&gt;"да"),"запрошен, не получен",IF(AND($G24="нет",$J24&lt;&gt;"да"),"отсутствует, на причину не влияет",IF(AND(OR($K24="да",$N24="да"),$M24=""),"передан без следа",IF(AND($K24="да",$L24=""),"передан без следа","в порядке"))))))))))</x:f>
      </x:c>
    </x:row>
    <x:row r="25">
      <x:c r="A25" s="95" t="str">
        <x:f>IF($B25="","",ROW()-6)</x:f>
      </x:c>
      <x:c r="B25" s="96" t="n"/>
      <x:c r="C25" s="96" t="n"/>
      <x:c r="D25" s="96" t="n"/>
      <x:c r="E25" s="97" t="n"/>
      <x:c r="F25" s="96" t="n"/>
      <x:c r="G25" s="96" t="n"/>
      <x:c r="H25" s="96" t="n"/>
      <x:c r="I25" s="96" t="n"/>
      <x:c r="J25" s="96" t="n"/>
      <x:c r="K25" s="96" t="n"/>
      <x:c r="L25" s="97" t="n"/>
      <x:c r="M25" s="96" t="n"/>
      <x:c r="N25" s="96" t="n"/>
      <x:c r="O25" s="11" t="n"/>
      <x:c r="P25" s="10" t="n"/>
      <x:c r="Q25" s="11" t="n"/>
      <x:c r="R25" s="10" t="n"/>
      <x:c r="S25" s="10" t="n"/>
      <x:c r="T25" s="10" t="n"/>
      <x:c r="U25" s="12" t="str">
        <x:f>IF($B25="","",IF(OR(AND($G25&lt;&gt;"оригинал",$G25&lt;&gt;"копия",$G25&lt;&gt;"скан",$G25&lt;&gt;"нет"),AND($J25&lt;&gt;"да",$J25&lt;&gt;"нет")),"НЕ ПРОВЕРЕНО: наличие или обязательность",IF(AND($N25="да",OR($O25="",$M25="")),"передан без следа: эксперт или дата",IF(AND($P25="да",$Q25=""),"НЕ ПРОВЕРЕНО: дата запроса",IF($B25="","",IF(AND($J25="да",$G25="нет",$P25&lt;&gt;"да"),"дыра: обязательного документа нет, запрос не направлен",IF(AND($G25="нет",$P25="да",$R25&lt;&gt;"да"),"запрошен, не получен",IF(AND($G25="нет",$J25&lt;&gt;"да"),"отсутствует, на причину не влияет",IF(AND(OR($K25="да",$N25="да"),$M25=""),"передан без следа",IF(AND($K25="да",$L25=""),"передан без следа","в порядке"))))))))))</x:f>
      </x:c>
    </x:row>
    <x:row r="26">
      <x:c r="A26" s="95" t="str">
        <x:f>IF($B26="","",ROW()-6)</x:f>
      </x:c>
      <x:c r="B26" s="96" t="n"/>
      <x:c r="C26" s="96" t="n"/>
      <x:c r="D26" s="96" t="n"/>
      <x:c r="E26" s="97" t="n"/>
      <x:c r="F26" s="96" t="n"/>
      <x:c r="G26" s="96" t="n"/>
      <x:c r="H26" s="96" t="n"/>
      <x:c r="I26" s="96" t="n"/>
      <x:c r="J26" s="96" t="n"/>
      <x:c r="K26" s="96" t="n"/>
      <x:c r="L26" s="97" t="n"/>
      <x:c r="M26" s="96" t="n"/>
      <x:c r="N26" s="96" t="n"/>
      <x:c r="O26" s="11" t="n"/>
      <x:c r="P26" s="10" t="n"/>
      <x:c r="Q26" s="11" t="n"/>
      <x:c r="R26" s="10" t="n"/>
      <x:c r="S26" s="10" t="n"/>
      <x:c r="T26" s="10" t="n"/>
      <x:c r="U26" s="12" t="str">
        <x:f>IF($B26="","",IF(OR(AND($G26&lt;&gt;"оригинал",$G26&lt;&gt;"копия",$G26&lt;&gt;"скан",$G26&lt;&gt;"нет"),AND($J26&lt;&gt;"да",$J26&lt;&gt;"нет")),"НЕ ПРОВЕРЕНО: наличие или обязательность",IF(AND($N26="да",OR($O26="",$M26="")),"передан без следа: эксперт или дата",IF(AND($P26="да",$Q26=""),"НЕ ПРОВЕРЕНО: дата запроса",IF($B26="","",IF(AND($J26="да",$G26="нет",$P26&lt;&gt;"да"),"дыра: обязательного документа нет, запрос не направлен",IF(AND($G26="нет",$P26="да",$R26&lt;&gt;"да"),"запрошен, не получен",IF(AND($G26="нет",$J26&lt;&gt;"да"),"отсутствует, на причину не влияет",IF(AND(OR($K26="да",$N26="да"),$M26=""),"передан без следа",IF(AND($K26="да",$L26=""),"передан без следа","в порядке"))))))))))</x:f>
      </x:c>
    </x:row>
    <x:row r="27">
      <x:c r="A27" s="95" t="str">
        <x:f>IF($B27="","",ROW()-6)</x:f>
      </x:c>
      <x:c r="B27" s="96" t="n"/>
      <x:c r="C27" s="96" t="n"/>
      <x:c r="D27" s="96" t="n"/>
      <x:c r="E27" s="97" t="n"/>
      <x:c r="F27" s="96" t="n"/>
      <x:c r="G27" s="96" t="n"/>
      <x:c r="H27" s="96" t="n"/>
      <x:c r="I27" s="96" t="n"/>
      <x:c r="J27" s="96" t="n"/>
      <x:c r="K27" s="96" t="n"/>
      <x:c r="L27" s="97" t="n"/>
      <x:c r="M27" s="96" t="n"/>
      <x:c r="N27" s="96" t="n"/>
      <x:c r="O27" s="11" t="n"/>
      <x:c r="P27" s="10" t="n"/>
      <x:c r="Q27" s="11" t="n"/>
      <x:c r="R27" s="10" t="n"/>
      <x:c r="S27" s="10" t="n"/>
      <x:c r="T27" s="10" t="n"/>
      <x:c r="U27" s="12" t="str">
        <x:f>IF($B27="","",IF(OR(AND($G27&lt;&gt;"оригинал",$G27&lt;&gt;"копия",$G27&lt;&gt;"скан",$G27&lt;&gt;"нет"),AND($J27&lt;&gt;"да",$J27&lt;&gt;"нет")),"НЕ ПРОВЕРЕНО: наличие или обязательность",IF(AND($N27="да",OR($O27="",$M27="")),"передан без следа: эксперт или дата",IF(AND($P27="да",$Q27=""),"НЕ ПРОВЕРЕНО: дата запроса",IF($B27="","",IF(AND($J27="да",$G27="нет",$P27&lt;&gt;"да"),"дыра: обязательного документа нет, запрос не направлен",IF(AND($G27="нет",$P27="да",$R27&lt;&gt;"да"),"запрошен, не получен",IF(AND($G27="нет",$J27&lt;&gt;"да"),"отсутствует, на причину не влияет",IF(AND(OR($K27="да",$N27="да"),$M27=""),"передан без следа",IF(AND($K27="да",$L27=""),"передан без следа","в порядке"))))))))))</x:f>
      </x:c>
    </x:row>
    <x:row r="28">
      <x:c r="A28" s="95" t="str">
        <x:f>IF($B28="","",ROW()-6)</x:f>
      </x:c>
      <x:c r="B28" s="96" t="n"/>
      <x:c r="C28" s="96" t="n"/>
      <x:c r="D28" s="96" t="n"/>
      <x:c r="E28" s="97" t="n"/>
      <x:c r="F28" s="96" t="n"/>
      <x:c r="G28" s="96" t="n"/>
      <x:c r="H28" s="96" t="n"/>
      <x:c r="I28" s="96" t="n"/>
      <x:c r="J28" s="96" t="n"/>
      <x:c r="K28" s="96" t="n"/>
      <x:c r="L28" s="97" t="n"/>
      <x:c r="M28" s="96" t="n"/>
      <x:c r="N28" s="96" t="n"/>
      <x:c r="O28" s="11" t="n"/>
      <x:c r="P28" s="10" t="n"/>
      <x:c r="Q28" s="11" t="n"/>
      <x:c r="R28" s="10" t="n"/>
      <x:c r="S28" s="10" t="n"/>
      <x:c r="T28" s="10" t="n"/>
      <x:c r="U28" s="12" t="str">
        <x:f>IF($B28="","",IF(OR(AND($G28&lt;&gt;"оригинал",$G28&lt;&gt;"копия",$G28&lt;&gt;"скан",$G28&lt;&gt;"нет"),AND($J28&lt;&gt;"да",$J28&lt;&gt;"нет")),"НЕ ПРОВЕРЕНО: наличие или обязательность",IF(AND($N28="да",OR($O28="",$M28="")),"передан без следа: эксперт или дата",IF(AND($P28="да",$Q28=""),"НЕ ПРОВЕРЕНО: дата запроса",IF($B28="","",IF(AND($J28="да",$G28="нет",$P28&lt;&gt;"да"),"дыра: обязательного документа нет, запрос не направлен",IF(AND($G28="нет",$P28="да",$R28&lt;&gt;"да"),"запрошен, не получен",IF(AND($G28="нет",$J28&lt;&gt;"да"),"отсутствует, на причину не влияет",IF(AND(OR($K28="да",$N28="да"),$M28=""),"передан без следа",IF(AND($K28="да",$L28=""),"передан без следа","в порядке"))))))))))</x:f>
      </x:c>
    </x:row>
    <x:row r="29">
      <x:c r="A29" s="95" t="str">
        <x:f>IF($B29="","",ROW()-6)</x:f>
      </x:c>
      <x:c r="B29" s="96" t="n"/>
      <x:c r="C29" s="96" t="n"/>
      <x:c r="D29" s="96" t="n"/>
      <x:c r="E29" s="97" t="n"/>
      <x:c r="F29" s="96" t="n"/>
      <x:c r="G29" s="96" t="n"/>
      <x:c r="H29" s="96" t="n"/>
      <x:c r="I29" s="96" t="n"/>
      <x:c r="J29" s="96" t="n"/>
      <x:c r="K29" s="96" t="n"/>
      <x:c r="L29" s="97" t="n"/>
      <x:c r="M29" s="96" t="n"/>
      <x:c r="N29" s="96" t="n"/>
      <x:c r="O29" s="11" t="n"/>
      <x:c r="P29" s="10" t="n"/>
      <x:c r="Q29" s="11" t="n"/>
      <x:c r="R29" s="10" t="n"/>
      <x:c r="S29" s="10" t="n"/>
      <x:c r="T29" s="10" t="n"/>
      <x:c r="U29" s="12" t="str">
        <x:f>IF($B29="","",IF(OR(AND($G29&lt;&gt;"оригинал",$G29&lt;&gt;"копия",$G29&lt;&gt;"скан",$G29&lt;&gt;"нет"),AND($J29&lt;&gt;"да",$J29&lt;&gt;"нет")),"НЕ ПРОВЕРЕНО: наличие или обязательность",IF(AND($N29="да",OR($O29="",$M29="")),"передан без следа: эксперт или дата",IF(AND($P29="да",$Q29=""),"НЕ ПРОВЕРЕНО: дата запроса",IF($B29="","",IF(AND($J29="да",$G29="нет",$P29&lt;&gt;"да"),"дыра: обязательного документа нет, запрос не направлен",IF(AND($G29="нет",$P29="да",$R29&lt;&gt;"да"),"запрошен, не получен",IF(AND($G29="нет",$J29&lt;&gt;"да"),"отсутствует, на причину не влияет",IF(AND(OR($K29="да",$N29="да"),$M29=""),"передан без следа",IF(AND($K29="да",$L29=""),"передан без следа","в порядке"))))))))))</x:f>
      </x:c>
    </x:row>
    <x:row r="30">
      <x:c r="A30" s="95" t="str">
        <x:f>IF($B30="","",ROW()-6)</x:f>
      </x:c>
      <x:c r="B30" s="96" t="n"/>
      <x:c r="C30" s="96" t="n"/>
      <x:c r="D30" s="96" t="n"/>
      <x:c r="E30" s="97" t="n"/>
      <x:c r="F30" s="96" t="n"/>
      <x:c r="G30" s="96" t="n"/>
      <x:c r="H30" s="96" t="n"/>
      <x:c r="I30" s="96" t="n"/>
      <x:c r="J30" s="96" t="n"/>
      <x:c r="K30" s="96" t="n"/>
      <x:c r="L30" s="97" t="n"/>
      <x:c r="M30" s="96" t="n"/>
      <x:c r="N30" s="96" t="n"/>
      <x:c r="O30" s="11" t="n"/>
      <x:c r="P30" s="10" t="n"/>
      <x:c r="Q30" s="11" t="n"/>
      <x:c r="R30" s="10" t="n"/>
      <x:c r="S30" s="10" t="n"/>
      <x:c r="T30" s="10" t="n"/>
      <x:c r="U30" s="12" t="str">
        <x:f>IF($B30="","",IF(OR(AND($G30&lt;&gt;"оригинал",$G30&lt;&gt;"копия",$G30&lt;&gt;"скан",$G30&lt;&gt;"нет"),AND($J30&lt;&gt;"да",$J30&lt;&gt;"нет")),"НЕ ПРОВЕРЕНО: наличие или обязательность",IF(AND($N30="да",OR($O30="",$M30="")),"передан без следа: эксперт или дата",IF(AND($P30="да",$Q30=""),"НЕ ПРОВЕРЕНО: дата запроса",IF($B30="","",IF(AND($J30="да",$G30="нет",$P30&lt;&gt;"да"),"дыра: обязательного документа нет, запрос не направлен",IF(AND($G30="нет",$P30="да",$R30&lt;&gt;"да"),"запрошен, не получен",IF(AND($G30="нет",$J30&lt;&gt;"да"),"отсутствует, на причину не влияет",IF(AND(OR($K30="да",$N30="да"),$M30=""),"передан без следа",IF(AND($K30="да",$L30=""),"передан без следа","в порядке"))))))))))</x:f>
      </x:c>
    </x:row>
    <x:row r="31">
      <x:c r="A31" s="95" t="str">
        <x:f>IF($B31="","",ROW()-6)</x:f>
      </x:c>
      <x:c r="B31" s="96" t="n"/>
      <x:c r="C31" s="96" t="n"/>
      <x:c r="D31" s="96" t="n"/>
      <x:c r="E31" s="97" t="n"/>
      <x:c r="F31" s="96" t="n"/>
      <x:c r="G31" s="96" t="n"/>
      <x:c r="H31" s="96" t="n"/>
      <x:c r="I31" s="96" t="n"/>
      <x:c r="J31" s="96" t="n"/>
      <x:c r="K31" s="96" t="n"/>
      <x:c r="L31" s="97" t="n"/>
      <x:c r="M31" s="96" t="n"/>
      <x:c r="N31" s="96" t="n"/>
      <x:c r="O31" s="11" t="n"/>
      <x:c r="P31" s="10" t="n"/>
      <x:c r="Q31" s="11" t="n"/>
      <x:c r="R31" s="10" t="n"/>
      <x:c r="S31" s="10" t="n"/>
      <x:c r="T31" s="10" t="n"/>
      <x:c r="U31" s="12" t="str">
        <x:f>IF($B31="","",IF(OR(AND($G31&lt;&gt;"оригинал",$G31&lt;&gt;"копия",$G31&lt;&gt;"скан",$G31&lt;&gt;"нет"),AND($J31&lt;&gt;"да",$J31&lt;&gt;"нет")),"НЕ ПРОВЕРЕНО: наличие или обязательность",IF(AND($N31="да",OR($O31="",$M31="")),"передан без следа: эксперт или дата",IF(AND($P31="да",$Q31=""),"НЕ ПРОВЕРЕНО: дата запроса",IF($B31="","",IF(AND($J31="да",$G31="нет",$P31&lt;&gt;"да"),"дыра: обязательного документа нет, запрос не направлен",IF(AND($G31="нет",$P31="да",$R31&lt;&gt;"да"),"запрошен, не получен",IF(AND($G31="нет",$J31&lt;&gt;"да"),"отсутствует, на причину не влияет",IF(AND(OR($K31="да",$N31="да"),$M31=""),"передан без следа",IF(AND($K31="да",$L31=""),"передан без следа","в порядке"))))))))))</x:f>
      </x:c>
    </x:row>
    <x:row r="32">
      <x:c r="A32" s="95" t="str">
        <x:f>IF($B32="","",ROW()-6)</x:f>
      </x:c>
      <x:c r="B32" s="96" t="n"/>
      <x:c r="C32" s="96" t="n"/>
      <x:c r="D32" s="96" t="n"/>
      <x:c r="E32" s="97" t="n"/>
      <x:c r="F32" s="96" t="n"/>
      <x:c r="G32" s="96" t="n"/>
      <x:c r="H32" s="96" t="n"/>
      <x:c r="I32" s="96" t="n"/>
      <x:c r="J32" s="96" t="n"/>
      <x:c r="K32" s="96" t="n"/>
      <x:c r="L32" s="97" t="n"/>
      <x:c r="M32" s="96" t="n"/>
      <x:c r="N32" s="96" t="n"/>
      <x:c r="O32" s="11" t="n"/>
      <x:c r="P32" s="10" t="n"/>
      <x:c r="Q32" s="11" t="n"/>
      <x:c r="R32" s="10" t="n"/>
      <x:c r="S32" s="10" t="n"/>
      <x:c r="T32" s="10" t="n"/>
      <x:c r="U32" s="12" t="str">
        <x:f>IF($B32="","",IF(OR(AND($G32&lt;&gt;"оригинал",$G32&lt;&gt;"копия",$G32&lt;&gt;"скан",$G32&lt;&gt;"нет"),AND($J32&lt;&gt;"да",$J32&lt;&gt;"нет")),"НЕ ПРОВЕРЕНО: наличие или обязательность",IF(AND($N32="да",OR($O32="",$M32="")),"передан без следа: эксперт или дата",IF(AND($P32="да",$Q32=""),"НЕ ПРОВЕРЕНО: дата запроса",IF($B32="","",IF(AND($J32="да",$G32="нет",$P32&lt;&gt;"да"),"дыра: обязательного документа нет, запрос не направлен",IF(AND($G32="нет",$P32="да",$R32&lt;&gt;"да"),"запрошен, не получен",IF(AND($G32="нет",$J32&lt;&gt;"да"),"отсутствует, на причину не влияет",IF(AND(OR($K32="да",$N32="да"),$M32=""),"передан без следа",IF(AND($K32="да",$L32=""),"передан без следа","в порядке"))))))))))</x:f>
      </x:c>
    </x:row>
    <x:row r="33">
      <x:c r="A33" s="95" t="str">
        <x:f>IF($B33="","",ROW()-6)</x:f>
      </x:c>
      <x:c r="B33" s="96" t="n"/>
      <x:c r="C33" s="96" t="n"/>
      <x:c r="D33" s="96" t="n"/>
      <x:c r="E33" s="97" t="n"/>
      <x:c r="F33" s="96" t="n"/>
      <x:c r="G33" s="96" t="n"/>
      <x:c r="H33" s="96" t="n"/>
      <x:c r="I33" s="96" t="n"/>
      <x:c r="J33" s="96" t="n"/>
      <x:c r="K33" s="96" t="n"/>
      <x:c r="L33" s="97" t="n"/>
      <x:c r="M33" s="96" t="n"/>
      <x:c r="N33" s="96" t="n"/>
      <x:c r="O33" s="11" t="n"/>
      <x:c r="P33" s="10" t="n"/>
      <x:c r="Q33" s="11" t="n"/>
      <x:c r="R33" s="10" t="n"/>
      <x:c r="S33" s="10" t="n"/>
      <x:c r="T33" s="10" t="n"/>
      <x:c r="U33" s="12" t="str">
        <x:f>IF($B33="","",IF(OR(AND($G33&lt;&gt;"оригинал",$G33&lt;&gt;"копия",$G33&lt;&gt;"скан",$G33&lt;&gt;"нет"),AND($J33&lt;&gt;"да",$J33&lt;&gt;"нет")),"НЕ ПРОВЕРЕНО: наличие или обязательность",IF(AND($N33="да",OR($O33="",$M33="")),"передан без следа: эксперт или дата",IF(AND($P33="да",$Q33=""),"НЕ ПРОВЕРЕНО: дата запроса",IF($B33="","",IF(AND($J33="да",$G33="нет",$P33&lt;&gt;"да"),"дыра: обязательного документа нет, запрос не направлен",IF(AND($G33="нет",$P33="да",$R33&lt;&gt;"да"),"запрошен, не получен",IF(AND($G33="нет",$J33&lt;&gt;"да"),"отсутствует, на причину не влияет",IF(AND(OR($K33="да",$N33="да"),$M33=""),"передан без следа",IF(AND($K33="да",$L33=""),"передан без следа","в порядке"))))))))))</x:f>
      </x:c>
    </x:row>
    <x:row r="34">
      <x:c r="A34" s="95" t="str">
        <x:f>IF($B34="","",ROW()-6)</x:f>
      </x:c>
      <x:c r="B34" s="96" t="n"/>
      <x:c r="C34" s="96" t="n"/>
      <x:c r="D34" s="96" t="n"/>
      <x:c r="E34" s="97" t="n"/>
      <x:c r="F34" s="96" t="n"/>
      <x:c r="G34" s="96" t="n"/>
      <x:c r="H34" s="96" t="n"/>
      <x:c r="I34" s="96" t="n"/>
      <x:c r="J34" s="96" t="n"/>
      <x:c r="K34" s="96" t="n"/>
      <x:c r="L34" s="97" t="n"/>
      <x:c r="M34" s="96" t="n"/>
      <x:c r="N34" s="96" t="n"/>
      <x:c r="O34" s="11" t="n"/>
      <x:c r="P34" s="10" t="n"/>
      <x:c r="Q34" s="11" t="n"/>
      <x:c r="R34" s="10" t="n"/>
      <x:c r="S34" s="10" t="n"/>
      <x:c r="T34" s="10" t="n"/>
      <x:c r="U34" s="12" t="str">
        <x:f>IF($B34="","",IF(OR(AND($G34&lt;&gt;"оригинал",$G34&lt;&gt;"копия",$G34&lt;&gt;"скан",$G34&lt;&gt;"нет"),AND($J34&lt;&gt;"да",$J34&lt;&gt;"нет")),"НЕ ПРОВЕРЕНО: наличие или обязательность",IF(AND($N34="да",OR($O34="",$M34="")),"передан без следа: эксперт или дата",IF(AND($P34="да",$Q34=""),"НЕ ПРОВЕРЕНО: дата запроса",IF($B34="","",IF(AND($J34="да",$G34="нет",$P34&lt;&gt;"да"),"дыра: обязательного документа нет, запрос не направлен",IF(AND($G34="нет",$P34="да",$R34&lt;&gt;"да"),"запрошен, не получен",IF(AND($G34="нет",$J34&lt;&gt;"да"),"отсутствует, на причину не влияет",IF(AND(OR($K34="да",$N34="да"),$M34=""),"передан без следа",IF(AND($K34="да",$L34=""),"передан без следа","в порядке"))))))))))</x:f>
      </x:c>
    </x:row>
    <x:row r="35">
      <x:c r="A35" s="95" t="str">
        <x:f>IF($B35="","",ROW()-6)</x:f>
      </x:c>
      <x:c r="B35" s="96" t="n"/>
      <x:c r="C35" s="96" t="n"/>
      <x:c r="D35" s="96" t="n"/>
      <x:c r="E35" s="97" t="n"/>
      <x:c r="F35" s="96" t="n"/>
      <x:c r="G35" s="96" t="n"/>
      <x:c r="H35" s="96" t="n"/>
      <x:c r="I35" s="96" t="n"/>
      <x:c r="J35" s="96" t="n"/>
      <x:c r="K35" s="96" t="n"/>
      <x:c r="L35" s="97" t="n"/>
      <x:c r="M35" s="96" t="n"/>
      <x:c r="N35" s="96" t="n"/>
      <x:c r="O35" s="11" t="n"/>
      <x:c r="P35" s="10" t="n"/>
      <x:c r="Q35" s="11" t="n"/>
      <x:c r="R35" s="10" t="n"/>
      <x:c r="S35" s="10" t="n"/>
      <x:c r="T35" s="10" t="n"/>
      <x:c r="U35" s="12" t="str">
        <x:f>IF($B35="","",IF(OR(AND($G35&lt;&gt;"оригинал",$G35&lt;&gt;"копия",$G35&lt;&gt;"скан",$G35&lt;&gt;"нет"),AND($J35&lt;&gt;"да",$J35&lt;&gt;"нет")),"НЕ ПРОВЕРЕНО: наличие или обязательность",IF(AND($N35="да",OR($O35="",$M35="")),"передан без следа: эксперт или дата",IF(AND($P35="да",$Q35=""),"НЕ ПРОВЕРЕНО: дата запроса",IF($B35="","",IF(AND($J35="да",$G35="нет",$P35&lt;&gt;"да"),"дыра: обязательного документа нет, запрос не направлен",IF(AND($G35="нет",$P35="да",$R35&lt;&gt;"да"),"запрошен, не получен",IF(AND($G35="нет",$J35&lt;&gt;"да"),"отсутствует, на причину не влияет",IF(AND(OR($K35="да",$N35="да"),$M35=""),"передан без следа",IF(AND($K35="да",$L35=""),"передан без следа","в порядке"))))))))))</x:f>
      </x:c>
    </x:row>
    <x:row r="36">
      <x:c r="A36" s="95" t="str">
        <x:f>IF($B36="","",ROW()-6)</x:f>
      </x:c>
      <x:c r="B36" s="96" t="n"/>
      <x:c r="C36" s="96" t="n"/>
      <x:c r="D36" s="96" t="n"/>
      <x:c r="E36" s="97" t="n"/>
      <x:c r="F36" s="96" t="n"/>
      <x:c r="G36" s="96" t="n"/>
      <x:c r="H36" s="96" t="n"/>
      <x:c r="I36" s="96" t="n"/>
      <x:c r="J36" s="96" t="n"/>
      <x:c r="K36" s="96" t="n"/>
      <x:c r="L36" s="97" t="n"/>
      <x:c r="M36" s="96" t="n"/>
      <x:c r="N36" s="96" t="n"/>
      <x:c r="O36" s="11" t="n"/>
      <x:c r="P36" s="10" t="n"/>
      <x:c r="Q36" s="11" t="n"/>
      <x:c r="R36" s="10" t="n"/>
      <x:c r="S36" s="10" t="n"/>
      <x:c r="T36" s="10" t="n"/>
      <x:c r="U36" s="12" t="str">
        <x:f>IF($B36="","",IF(OR(AND($G36&lt;&gt;"оригинал",$G36&lt;&gt;"копия",$G36&lt;&gt;"скан",$G36&lt;&gt;"нет"),AND($J36&lt;&gt;"да",$J36&lt;&gt;"нет")),"НЕ ПРОВЕРЕНО: наличие или обязательность",IF(AND($N36="да",OR($O36="",$M36="")),"передан без следа: эксперт или дата",IF(AND($P36="да",$Q36=""),"НЕ ПРОВЕРЕНО: дата запроса",IF($B36="","",IF(AND($J36="да",$G36="нет",$P36&lt;&gt;"да"),"дыра: обязательного документа нет, запрос не направлен",IF(AND($G36="нет",$P36="да",$R36&lt;&gt;"да"),"запрошен, не получен",IF(AND($G36="нет",$J36&lt;&gt;"да"),"отсутствует, на причину не влияет",IF(AND(OR($K36="да",$N36="да"),$M36=""),"передан без следа",IF(AND($K36="да",$L36=""),"передан без следа","в порядке"))))))))))</x:f>
      </x:c>
    </x:row>
    <x:row r="37">
      <x:c r="A37" s="95" t="str">
        <x:f>IF($B37="","",ROW()-6)</x:f>
      </x:c>
      <x:c r="B37" s="96" t="n"/>
      <x:c r="C37" s="96" t="n"/>
      <x:c r="D37" s="96" t="n"/>
      <x:c r="E37" s="97" t="n"/>
      <x:c r="F37" s="96" t="n"/>
      <x:c r="G37" s="96" t="n"/>
      <x:c r="H37" s="96" t="n"/>
      <x:c r="I37" s="96" t="n"/>
      <x:c r="J37" s="96" t="n"/>
      <x:c r="K37" s="96" t="n"/>
      <x:c r="L37" s="97" t="n"/>
      <x:c r="M37" s="96" t="n"/>
      <x:c r="N37" s="96" t="n"/>
      <x:c r="O37" s="11" t="n"/>
      <x:c r="P37" s="10" t="n"/>
      <x:c r="Q37" s="11" t="n"/>
      <x:c r="R37" s="10" t="n"/>
      <x:c r="S37" s="10" t="n"/>
      <x:c r="T37" s="10" t="n"/>
      <x:c r="U37" s="12" t="str">
        <x:f>IF($B37="","",IF(OR(AND($G37&lt;&gt;"оригинал",$G37&lt;&gt;"копия",$G37&lt;&gt;"скан",$G37&lt;&gt;"нет"),AND($J37&lt;&gt;"да",$J37&lt;&gt;"нет")),"НЕ ПРОВЕРЕНО: наличие или обязательность",IF(AND($N37="да",OR($O37="",$M37="")),"передан без следа: эксперт или дата",IF(AND($P37="да",$Q37=""),"НЕ ПРОВЕРЕНО: дата запроса",IF($B37="","",IF(AND($J37="да",$G37="нет",$P37&lt;&gt;"да"),"дыра: обязательного документа нет, запрос не направлен",IF(AND($G37="нет",$P37="да",$R37&lt;&gt;"да"),"запрошен, не получен",IF(AND($G37="нет",$J37&lt;&gt;"да"),"отсутствует, на причину не влияет",IF(AND(OR($K37="да",$N37="да"),$M37=""),"передан без следа",IF(AND($K37="да",$L37=""),"передан без следа","в порядке"))))))))))</x:f>
      </x:c>
    </x:row>
    <x:row r="38">
      <x:c r="A38" s="95" t="str">
        <x:f>IF($B38="","",ROW()-6)</x:f>
      </x:c>
      <x:c r="B38" s="96" t="n"/>
      <x:c r="C38" s="96" t="n"/>
      <x:c r="D38" s="96" t="n"/>
      <x:c r="E38" s="97" t="n"/>
      <x:c r="F38" s="96" t="n"/>
      <x:c r="G38" s="96" t="n"/>
      <x:c r="H38" s="96" t="n"/>
      <x:c r="I38" s="96" t="n"/>
      <x:c r="J38" s="96" t="n"/>
      <x:c r="K38" s="96" t="n"/>
      <x:c r="L38" s="97" t="n"/>
      <x:c r="M38" s="96" t="n"/>
      <x:c r="N38" s="96" t="n"/>
      <x:c r="O38" s="11" t="n"/>
      <x:c r="P38" s="10" t="n"/>
      <x:c r="Q38" s="11" t="n"/>
      <x:c r="R38" s="10" t="n"/>
      <x:c r="S38" s="10" t="n"/>
      <x:c r="T38" s="10" t="n"/>
      <x:c r="U38" s="12" t="str">
        <x:f>IF($B38="","",IF(OR(AND($G38&lt;&gt;"оригинал",$G38&lt;&gt;"копия",$G38&lt;&gt;"скан",$G38&lt;&gt;"нет"),AND($J38&lt;&gt;"да",$J38&lt;&gt;"нет")),"НЕ ПРОВЕРЕНО: наличие или обязательность",IF(AND($N38="да",OR($O38="",$M38="")),"передан без следа: эксперт или дата",IF(AND($P38="да",$Q38=""),"НЕ ПРОВЕРЕНО: дата запроса",IF($B38="","",IF(AND($J38="да",$G38="нет",$P38&lt;&gt;"да"),"дыра: обязательного документа нет, запрос не направлен",IF(AND($G38="нет",$P38="да",$R38&lt;&gt;"да"),"запрошен, не получен",IF(AND($G38="нет",$J38&lt;&gt;"да"),"отсутствует, на причину не влияет",IF(AND(OR($K38="да",$N38="да"),$M38=""),"передан без следа",IF(AND($K38="да",$L38=""),"передан без следа","в порядке"))))))))))</x:f>
      </x:c>
    </x:row>
    <x:row r="39">
      <x:c r="A39" s="95" t="str">
        <x:f>IF($B39="","",ROW()-6)</x:f>
      </x:c>
      <x:c r="B39" s="96" t="n"/>
      <x:c r="C39" s="96" t="n"/>
      <x:c r="D39" s="96" t="n"/>
      <x:c r="E39" s="97" t="n"/>
      <x:c r="F39" s="96" t="n"/>
      <x:c r="G39" s="96" t="n"/>
      <x:c r="H39" s="96" t="n"/>
      <x:c r="I39" s="96" t="n"/>
      <x:c r="J39" s="96" t="n"/>
      <x:c r="K39" s="96" t="n"/>
      <x:c r="L39" s="97" t="n"/>
      <x:c r="M39" s="96" t="n"/>
      <x:c r="N39" s="96" t="n"/>
      <x:c r="O39" s="11" t="n"/>
      <x:c r="P39" s="10" t="n"/>
      <x:c r="Q39" s="11" t="n"/>
      <x:c r="R39" s="10" t="n"/>
      <x:c r="S39" s="10" t="n"/>
      <x:c r="T39" s="10" t="n"/>
      <x:c r="U39" s="12" t="str">
        <x:f>IF($B39="","",IF(OR(AND($G39&lt;&gt;"оригинал",$G39&lt;&gt;"копия",$G39&lt;&gt;"скан",$G39&lt;&gt;"нет"),AND($J39&lt;&gt;"да",$J39&lt;&gt;"нет")),"НЕ ПРОВЕРЕНО: наличие или обязательность",IF(AND($N39="да",OR($O39="",$M39="")),"передан без следа: эксперт или дата",IF(AND($P39="да",$Q39=""),"НЕ ПРОВЕРЕНО: дата запроса",IF($B39="","",IF(AND($J39="да",$G39="нет",$P39&lt;&gt;"да"),"дыра: обязательного документа нет, запрос не направлен",IF(AND($G39="нет",$P39="да",$R39&lt;&gt;"да"),"запрошен, не получен",IF(AND($G39="нет",$J39&lt;&gt;"да"),"отсутствует, на причину не влияет",IF(AND(OR($K39="да",$N39="да"),$M39=""),"передан без следа",IF(AND($K39="да",$L39=""),"передан без следа","в порядке"))))))))))</x:f>
      </x:c>
    </x:row>
    <x:row r="40">
      <x:c r="A40" s="95" t="str">
        <x:f>IF($B40="","",ROW()-6)</x:f>
      </x:c>
      <x:c r="B40" s="96" t="n"/>
      <x:c r="C40" s="96" t="n"/>
      <x:c r="D40" s="96" t="n"/>
      <x:c r="E40" s="97" t="n"/>
      <x:c r="F40" s="96" t="n"/>
      <x:c r="G40" s="96" t="n"/>
      <x:c r="H40" s="96" t="n"/>
      <x:c r="I40" s="96" t="n"/>
      <x:c r="J40" s="96" t="n"/>
      <x:c r="K40" s="96" t="n"/>
      <x:c r="L40" s="97" t="n"/>
      <x:c r="M40" s="96" t="n"/>
      <x:c r="N40" s="96" t="n"/>
      <x:c r="O40" s="11" t="n"/>
      <x:c r="P40" s="10" t="n"/>
      <x:c r="Q40" s="11" t="n"/>
      <x:c r="R40" s="10" t="n"/>
      <x:c r="S40" s="10" t="n"/>
      <x:c r="T40" s="10" t="n"/>
      <x:c r="U40" s="12" t="str">
        <x:f>IF($B40="","",IF(OR(AND($G40&lt;&gt;"оригинал",$G40&lt;&gt;"копия",$G40&lt;&gt;"скан",$G40&lt;&gt;"нет"),AND($J40&lt;&gt;"да",$J40&lt;&gt;"нет")),"НЕ ПРОВЕРЕНО: наличие или обязательность",IF(AND($N40="да",OR($O40="",$M40="")),"передан без следа: эксперт или дата",IF(AND($P40="да",$Q40=""),"НЕ ПРОВЕРЕНО: дата запроса",IF($B40="","",IF(AND($J40="да",$G40="нет",$P40&lt;&gt;"да"),"дыра: обязательного документа нет, запрос не направлен",IF(AND($G40="нет",$P40="да",$R40&lt;&gt;"да"),"запрошен, не получен",IF(AND($G40="нет",$J40&lt;&gt;"да"),"отсутствует, на причину не влияет",IF(AND(OR($K40="да",$N40="да"),$M40=""),"передан без следа",IF(AND($K40="да",$L40=""),"передан без следа","в порядке"))))))))))</x:f>
      </x:c>
    </x:row>
    <x:row r="41">
      <x:c r="A41" s="95" t="str">
        <x:f>IF($B41="","",ROW()-6)</x:f>
      </x:c>
      <x:c r="B41" s="96" t="n"/>
      <x:c r="C41" s="96" t="n"/>
      <x:c r="D41" s="96" t="n"/>
      <x:c r="E41" s="97" t="n"/>
      <x:c r="F41" s="96" t="n"/>
      <x:c r="G41" s="96" t="n"/>
      <x:c r="H41" s="96" t="n"/>
      <x:c r="I41" s="96" t="n"/>
      <x:c r="J41" s="96" t="n"/>
      <x:c r="K41" s="96" t="n"/>
      <x:c r="L41" s="97" t="n"/>
      <x:c r="M41" s="96" t="n"/>
      <x:c r="N41" s="96" t="n"/>
      <x:c r="O41" s="11" t="n"/>
      <x:c r="P41" s="10" t="n"/>
      <x:c r="Q41" s="11" t="n"/>
      <x:c r="R41" s="10" t="n"/>
      <x:c r="S41" s="10" t="n"/>
      <x:c r="T41" s="10" t="n"/>
      <x:c r="U41" s="12" t="str">
        <x:f>IF($B41="","",IF(OR(AND($G41&lt;&gt;"оригинал",$G41&lt;&gt;"копия",$G41&lt;&gt;"скан",$G41&lt;&gt;"нет"),AND($J41&lt;&gt;"да",$J41&lt;&gt;"нет")),"НЕ ПРОВЕРЕНО: наличие или обязательность",IF(AND($N41="да",OR($O41="",$M41="")),"передан без следа: эксперт или дата",IF(AND($P41="да",$Q41=""),"НЕ ПРОВЕРЕНО: дата запроса",IF($B41="","",IF(AND($J41="да",$G41="нет",$P41&lt;&gt;"да"),"дыра: обязательного документа нет, запрос не направлен",IF(AND($G41="нет",$P41="да",$R41&lt;&gt;"да"),"запрошен, не получен",IF(AND($G41="нет",$J41&lt;&gt;"да"),"отсутствует, на причину не влияет",IF(AND(OR($K41="да",$N41="да"),$M41=""),"передан без следа",IF(AND($K41="да",$L41=""),"передан без следа","в порядке"))))))))))</x:f>
      </x:c>
    </x:row>
    <x:row r="42">
      <x:c r="A42" s="95" t="str">
        <x:f>IF($B42="","",ROW()-6)</x:f>
      </x:c>
      <x:c r="B42" s="96" t="n"/>
      <x:c r="C42" s="96" t="n"/>
      <x:c r="D42" s="96" t="n"/>
      <x:c r="E42" s="97" t="n"/>
      <x:c r="F42" s="96" t="n"/>
      <x:c r="G42" s="96" t="n"/>
      <x:c r="H42" s="96" t="n"/>
      <x:c r="I42" s="96" t="n"/>
      <x:c r="J42" s="96" t="n"/>
      <x:c r="K42" s="96" t="n"/>
      <x:c r="L42" s="97" t="n"/>
      <x:c r="M42" s="96" t="n"/>
      <x:c r="N42" s="96" t="n"/>
      <x:c r="O42" s="11" t="n"/>
      <x:c r="P42" s="10" t="n"/>
      <x:c r="Q42" s="11" t="n"/>
      <x:c r="R42" s="10" t="n"/>
      <x:c r="S42" s="10" t="n"/>
      <x:c r="T42" s="10" t="n"/>
      <x:c r="U42" s="12" t="str">
        <x:f>IF($B42="","",IF(OR(AND($G42&lt;&gt;"оригинал",$G42&lt;&gt;"копия",$G42&lt;&gt;"скан",$G42&lt;&gt;"нет"),AND($J42&lt;&gt;"да",$J42&lt;&gt;"нет")),"НЕ ПРОВЕРЕНО: наличие или обязательность",IF(AND($N42="да",OR($O42="",$M42="")),"передан без следа: эксперт или дата",IF(AND($P42="да",$Q42=""),"НЕ ПРОВЕРЕНО: дата запроса",IF($B42="","",IF(AND($J42="да",$G42="нет",$P42&lt;&gt;"да"),"дыра: обязательного документа нет, запрос не направлен",IF(AND($G42="нет",$P42="да",$R42&lt;&gt;"да"),"запрошен, не получен",IF(AND($G42="нет",$J42&lt;&gt;"да"),"отсутствует, на причину не влияет",IF(AND(OR($K42="да",$N42="да"),$M42=""),"передан без следа",IF(AND($K42="да",$L42=""),"передан без следа","в порядке"))))))))))</x:f>
      </x:c>
    </x:row>
    <x:row r="43">
      <x:c r="A43" s="95" t="str">
        <x:f>IF($B43="","",ROW()-6)</x:f>
      </x:c>
      <x:c r="B43" s="96" t="n"/>
      <x:c r="C43" s="96" t="n"/>
      <x:c r="D43" s="96" t="n"/>
      <x:c r="E43" s="97" t="n"/>
      <x:c r="F43" s="96" t="n"/>
      <x:c r="G43" s="96" t="n"/>
      <x:c r="H43" s="96" t="n"/>
      <x:c r="I43" s="96" t="n"/>
      <x:c r="J43" s="96" t="n"/>
      <x:c r="K43" s="96" t="n"/>
      <x:c r="L43" s="97" t="n"/>
      <x:c r="M43" s="96" t="n"/>
      <x:c r="N43" s="96" t="n"/>
      <x:c r="O43" s="11" t="n"/>
      <x:c r="P43" s="10" t="n"/>
      <x:c r="Q43" s="11" t="n"/>
      <x:c r="R43" s="10" t="n"/>
      <x:c r="S43" s="10" t="n"/>
      <x:c r="T43" s="10" t="n"/>
      <x:c r="U43" s="12" t="str">
        <x:f>IF($B43="","",IF(OR(AND($G43&lt;&gt;"оригинал",$G43&lt;&gt;"копия",$G43&lt;&gt;"скан",$G43&lt;&gt;"нет"),AND($J43&lt;&gt;"да",$J43&lt;&gt;"нет")),"НЕ ПРОВЕРЕНО: наличие или обязательность",IF(AND($N43="да",OR($O43="",$M43="")),"передан без следа: эксперт или дата",IF(AND($P43="да",$Q43=""),"НЕ ПРОВЕРЕНО: дата запроса",IF($B43="","",IF(AND($J43="да",$G43="нет",$P43&lt;&gt;"да"),"дыра: обязательного документа нет, запрос не направлен",IF(AND($G43="нет",$P43="да",$R43&lt;&gt;"да"),"запрошен, не получен",IF(AND($G43="нет",$J43&lt;&gt;"да"),"отсутствует, на причину не влияет",IF(AND(OR($K43="да",$N43="да"),$M43=""),"передан без следа",IF(AND($K43="да",$L43=""),"передан без следа","в порядке"))))))))))</x:f>
      </x:c>
    </x:row>
    <x:row r="44">
      <x:c r="A44" s="95" t="str">
        <x:f>IF($B44="","",ROW()-6)</x:f>
      </x:c>
      <x:c r="B44" s="96" t="n"/>
      <x:c r="C44" s="96" t="n"/>
      <x:c r="D44" s="96" t="n"/>
      <x:c r="E44" s="97" t="n"/>
      <x:c r="F44" s="96" t="n"/>
      <x:c r="G44" s="96" t="n"/>
      <x:c r="H44" s="96" t="n"/>
      <x:c r="I44" s="96" t="n"/>
      <x:c r="J44" s="96" t="n"/>
      <x:c r="K44" s="96" t="n"/>
      <x:c r="L44" s="97" t="n"/>
      <x:c r="M44" s="96" t="n"/>
      <x:c r="N44" s="96" t="n"/>
      <x:c r="O44" s="11" t="n"/>
      <x:c r="P44" s="10" t="n"/>
      <x:c r="Q44" s="11" t="n"/>
      <x:c r="R44" s="10" t="n"/>
      <x:c r="S44" s="10" t="n"/>
      <x:c r="T44" s="10" t="n"/>
      <x:c r="U44" s="12" t="str">
        <x:f>IF($B44="","",IF(OR(AND($G44&lt;&gt;"оригинал",$G44&lt;&gt;"копия",$G44&lt;&gt;"скан",$G44&lt;&gt;"нет"),AND($J44&lt;&gt;"да",$J44&lt;&gt;"нет")),"НЕ ПРОВЕРЕНО: наличие или обязательность",IF(AND($N44="да",OR($O44="",$M44="")),"передан без следа: эксперт или дата",IF(AND($P44="да",$Q44=""),"НЕ ПРОВЕРЕНО: дата запроса",IF($B44="","",IF(AND($J44="да",$G44="нет",$P44&lt;&gt;"да"),"дыра: обязательного документа нет, запрос не направлен",IF(AND($G44="нет",$P44="да",$R44&lt;&gt;"да"),"запрошен, не получен",IF(AND($G44="нет",$J44&lt;&gt;"да"),"отсутствует, на причину не влияет",IF(AND(OR($K44="да",$N44="да"),$M44=""),"передан без следа",IF(AND($K44="да",$L44=""),"передан без следа","в порядке"))))))))))</x:f>
      </x:c>
    </x:row>
    <x:row r="45">
      <x:c r="A45" s="95" t="str">
        <x:f>IF($B45="","",ROW()-6)</x:f>
      </x:c>
      <x:c r="B45" s="96" t="n"/>
      <x:c r="C45" s="96" t="n"/>
      <x:c r="D45" s="96" t="n"/>
      <x:c r="E45" s="97" t="n"/>
      <x:c r="F45" s="96" t="n"/>
      <x:c r="G45" s="96" t="n"/>
      <x:c r="H45" s="96" t="n"/>
      <x:c r="I45" s="96" t="n"/>
      <x:c r="J45" s="96" t="n"/>
      <x:c r="K45" s="96" t="n"/>
      <x:c r="L45" s="97" t="n"/>
      <x:c r="M45" s="96" t="n"/>
      <x:c r="N45" s="96" t="n"/>
      <x:c r="O45" s="11" t="n"/>
      <x:c r="P45" s="10" t="n"/>
      <x:c r="Q45" s="11" t="n"/>
      <x:c r="R45" s="10" t="n"/>
      <x:c r="S45" s="10" t="n"/>
      <x:c r="T45" s="10" t="n"/>
      <x:c r="U45" s="12" t="str">
        <x:f>IF($B45="","",IF(OR(AND($G45&lt;&gt;"оригинал",$G45&lt;&gt;"копия",$G45&lt;&gt;"скан",$G45&lt;&gt;"нет"),AND($J45&lt;&gt;"да",$J45&lt;&gt;"нет")),"НЕ ПРОВЕРЕНО: наличие или обязательность",IF(AND($N45="да",OR($O45="",$M45="")),"передан без следа: эксперт или дата",IF(AND($P45="да",$Q45=""),"НЕ ПРОВЕРЕНО: дата запроса",IF($B45="","",IF(AND($J45="да",$G45="нет",$P45&lt;&gt;"да"),"дыра: обязательного документа нет, запрос не направлен",IF(AND($G45="нет",$P45="да",$R45&lt;&gt;"да"),"запрошен, не получен",IF(AND($G45="нет",$J45&lt;&gt;"да"),"отсутствует, на причину не влияет",IF(AND(OR($K45="да",$N45="да"),$M45=""),"передан без следа",IF(AND($K45="да",$L45=""),"передан без следа","в порядке"))))))))))</x:f>
      </x:c>
    </x:row>
    <x:row r="46">
      <x:c r="A46" s="95" t="str">
        <x:f>IF($B46="","",ROW()-6)</x:f>
      </x:c>
      <x:c r="B46" s="96" t="n"/>
      <x:c r="C46" s="96" t="n"/>
      <x:c r="D46" s="96" t="n"/>
      <x:c r="E46" s="97" t="n"/>
      <x:c r="F46" s="96" t="n"/>
      <x:c r="G46" s="96" t="n"/>
      <x:c r="H46" s="96" t="n"/>
      <x:c r="I46" s="96" t="n"/>
      <x:c r="J46" s="96" t="n"/>
      <x:c r="K46" s="96" t="n"/>
      <x:c r="L46" s="97" t="n"/>
      <x:c r="M46" s="96" t="n"/>
      <x:c r="N46" s="96" t="n"/>
      <x:c r="O46" s="11" t="n"/>
      <x:c r="P46" s="10" t="n"/>
      <x:c r="Q46" s="11" t="n"/>
      <x:c r="R46" s="10" t="n"/>
      <x:c r="S46" s="10" t="n"/>
      <x:c r="T46" s="10" t="n"/>
      <x:c r="U46" s="12" t="str">
        <x:f>IF($B46="","",IF(OR(AND($G46&lt;&gt;"оригинал",$G46&lt;&gt;"копия",$G46&lt;&gt;"скан",$G46&lt;&gt;"нет"),AND($J46&lt;&gt;"да",$J46&lt;&gt;"нет")),"НЕ ПРОВЕРЕНО: наличие или обязательность",IF(AND($N46="да",OR($O46="",$M46="")),"передан без следа: эксперт или дата",IF(AND($P46="да",$Q46=""),"НЕ ПРОВЕРЕНО: дата запроса",IF($B46="","",IF(AND($J46="да",$G46="нет",$P46&lt;&gt;"да"),"дыра: обязательного документа нет, запрос не направлен",IF(AND($G46="нет",$P46="да",$R46&lt;&gt;"да"),"запрошен, не получен",IF(AND($G46="нет",$J46&lt;&gt;"да"),"отсутствует, на причину не влияет",IF(AND(OR($K46="да",$N46="да"),$M46=""),"передан без следа",IF(AND($K46="да",$L46=""),"передан без следа","в порядке"))))))))))</x:f>
      </x:c>
    </x:row>
    <x:row r="47">
      <x:c r="A47" s="95" t="str">
        <x:f>IF($B47="","",ROW()-6)</x:f>
      </x:c>
      <x:c r="B47" s="96" t="n"/>
      <x:c r="C47" s="96" t="n"/>
      <x:c r="D47" s="96" t="n"/>
      <x:c r="E47" s="97" t="n"/>
      <x:c r="F47" s="96" t="n"/>
      <x:c r="G47" s="96" t="n"/>
      <x:c r="H47" s="96" t="n"/>
      <x:c r="I47" s="96" t="n"/>
      <x:c r="J47" s="96" t="n"/>
      <x:c r="K47" s="96" t="n"/>
      <x:c r="L47" s="97" t="n"/>
      <x:c r="M47" s="96" t="n"/>
      <x:c r="N47" s="96" t="n"/>
      <x:c r="O47" s="11" t="n"/>
      <x:c r="P47" s="10" t="n"/>
      <x:c r="Q47" s="11" t="n"/>
      <x:c r="R47" s="10" t="n"/>
      <x:c r="S47" s="10" t="n"/>
      <x:c r="T47" s="10" t="n"/>
      <x:c r="U47" s="12" t="str">
        <x:f>IF($B47="","",IF(OR(AND($G47&lt;&gt;"оригинал",$G47&lt;&gt;"копия",$G47&lt;&gt;"скан",$G47&lt;&gt;"нет"),AND($J47&lt;&gt;"да",$J47&lt;&gt;"нет")),"НЕ ПРОВЕРЕНО: наличие или обязательность",IF(AND($N47="да",OR($O47="",$M47="")),"передан без следа: эксперт или дата",IF(AND($P47="да",$Q47=""),"НЕ ПРОВЕРЕНО: дата запроса",IF($B47="","",IF(AND($J47="да",$G47="нет",$P47&lt;&gt;"да"),"дыра: обязательного документа нет, запрос не направлен",IF(AND($G47="нет",$P47="да",$R47&lt;&gt;"да"),"запрошен, не получен",IF(AND($G47="нет",$J47&lt;&gt;"да"),"отсутствует, на причину не влияет",IF(AND(OR($K47="да",$N47="да"),$M47=""),"передан без следа",IF(AND($K47="да",$L47=""),"передан без следа","в порядке"))))))))))</x:f>
      </x:c>
    </x:row>
    <x:row r="48">
      <x:c r="A48" s="95" t="str">
        <x:f>IF($B48="","",ROW()-6)</x:f>
      </x:c>
      <x:c r="B48" s="96" t="n"/>
      <x:c r="C48" s="96" t="n"/>
      <x:c r="D48" s="96" t="n"/>
      <x:c r="E48" s="97" t="n"/>
      <x:c r="F48" s="96" t="n"/>
      <x:c r="G48" s="96" t="n"/>
      <x:c r="H48" s="96" t="n"/>
      <x:c r="I48" s="96" t="n"/>
      <x:c r="J48" s="96" t="n"/>
      <x:c r="K48" s="96" t="n"/>
      <x:c r="L48" s="97" t="n"/>
      <x:c r="M48" s="96" t="n"/>
      <x:c r="N48" s="96" t="n"/>
      <x:c r="O48" s="11" t="n"/>
      <x:c r="P48" s="10" t="n"/>
      <x:c r="Q48" s="11" t="n"/>
      <x:c r="R48" s="10" t="n"/>
      <x:c r="S48" s="10" t="n"/>
      <x:c r="T48" s="10" t="n"/>
      <x:c r="U48" s="12" t="str">
        <x:f>IF($B48="","",IF(OR(AND($G48&lt;&gt;"оригинал",$G48&lt;&gt;"копия",$G48&lt;&gt;"скан",$G48&lt;&gt;"нет"),AND($J48&lt;&gt;"да",$J48&lt;&gt;"нет")),"НЕ ПРОВЕРЕНО: наличие или обязательность",IF(AND($N48="да",OR($O48="",$M48="")),"передан без следа: эксперт или дата",IF(AND($P48="да",$Q48=""),"НЕ ПРОВЕРЕНО: дата запроса",IF($B48="","",IF(AND($J48="да",$G48="нет",$P48&lt;&gt;"да"),"дыра: обязательного документа нет, запрос не направлен",IF(AND($G48="нет",$P48="да",$R48&lt;&gt;"да"),"запрошен, не получен",IF(AND($G48="нет",$J48&lt;&gt;"да"),"отсутствует, на причину не влияет",IF(AND(OR($K48="да",$N48="да"),$M48=""),"передан без следа",IF(AND($K48="да",$L48=""),"передан без следа","в порядке"))))))))))</x:f>
      </x:c>
    </x:row>
    <x:row r="49">
      <x:c r="A49" s="95" t="str">
        <x:f>IF($B49="","",ROW()-6)</x:f>
      </x:c>
      <x:c r="B49" s="96" t="n"/>
      <x:c r="C49" s="96" t="n"/>
      <x:c r="D49" s="96" t="n"/>
      <x:c r="E49" s="97" t="n"/>
      <x:c r="F49" s="96" t="n"/>
      <x:c r="G49" s="96" t="n"/>
      <x:c r="H49" s="96" t="n"/>
      <x:c r="I49" s="96" t="n"/>
      <x:c r="J49" s="96" t="n"/>
      <x:c r="K49" s="96" t="n"/>
      <x:c r="L49" s="97" t="n"/>
      <x:c r="M49" s="96" t="n"/>
      <x:c r="N49" s="96" t="n"/>
      <x:c r="O49" s="11" t="n"/>
      <x:c r="P49" s="10" t="n"/>
      <x:c r="Q49" s="11" t="n"/>
      <x:c r="R49" s="10" t="n"/>
      <x:c r="S49" s="10" t="n"/>
      <x:c r="T49" s="10" t="n"/>
      <x:c r="U49" s="12" t="str">
        <x:f>IF($B49="","",IF(OR(AND($G49&lt;&gt;"оригинал",$G49&lt;&gt;"копия",$G49&lt;&gt;"скан",$G49&lt;&gt;"нет"),AND($J49&lt;&gt;"да",$J49&lt;&gt;"нет")),"НЕ ПРОВЕРЕНО: наличие или обязательность",IF(AND($N49="да",OR($O49="",$M49="")),"передан без следа: эксперт или дата",IF(AND($P49="да",$Q49=""),"НЕ ПРОВЕРЕНО: дата запроса",IF($B49="","",IF(AND($J49="да",$G49="нет",$P49&lt;&gt;"да"),"дыра: обязательного документа нет, запрос не направлен",IF(AND($G49="нет",$P49="да",$R49&lt;&gt;"да"),"запрошен, не получен",IF(AND($G49="нет",$J49&lt;&gt;"да"),"отсутствует, на причину не влияет",IF(AND(OR($K49="да",$N49="да"),$M49=""),"передан без следа",IF(AND($K49="да",$L49=""),"передан без следа","в порядке"))))))))))</x:f>
      </x:c>
    </x:row>
    <x:row r="50">
      <x:c r="A50" s="95" t="str">
        <x:f>IF($B50="","",ROW()-6)</x:f>
      </x:c>
      <x:c r="B50" s="96" t="n"/>
      <x:c r="C50" s="96" t="n"/>
      <x:c r="D50" s="96" t="n"/>
      <x:c r="E50" s="97" t="n"/>
      <x:c r="F50" s="96" t="n"/>
      <x:c r="G50" s="96" t="n"/>
      <x:c r="H50" s="96" t="n"/>
      <x:c r="I50" s="96" t="n"/>
      <x:c r="J50" s="96" t="n"/>
      <x:c r="K50" s="96" t="n"/>
      <x:c r="L50" s="97" t="n"/>
      <x:c r="M50" s="96" t="n"/>
      <x:c r="N50" s="96" t="n"/>
      <x:c r="O50" s="11" t="n"/>
      <x:c r="P50" s="10" t="n"/>
      <x:c r="Q50" s="11" t="n"/>
      <x:c r="R50" s="10" t="n"/>
      <x:c r="S50" s="10" t="n"/>
      <x:c r="T50" s="10" t="n"/>
      <x:c r="U50" s="12" t="str">
        <x:f>IF($B50="","",IF(OR(AND($G50&lt;&gt;"оригинал",$G50&lt;&gt;"копия",$G50&lt;&gt;"скан",$G50&lt;&gt;"нет"),AND($J50&lt;&gt;"да",$J50&lt;&gt;"нет")),"НЕ ПРОВЕРЕНО: наличие или обязательность",IF(AND($N50="да",OR($O50="",$M50="")),"передан без следа: эксперт или дата",IF(AND($P50="да",$Q50=""),"НЕ ПРОВЕРЕНО: дата запроса",IF($B50="","",IF(AND($J50="да",$G50="нет",$P50&lt;&gt;"да"),"дыра: обязательного документа нет, запрос не направлен",IF(AND($G50="нет",$P50="да",$R50&lt;&gt;"да"),"запрошен, не получен",IF(AND($G50="нет",$J50&lt;&gt;"да"),"отсутствует, на причину не влияет",IF(AND(OR($K50="да",$N50="да"),$M50=""),"передан без следа",IF(AND($K50="да",$L50=""),"передан без следа","в порядке"))))))))))</x:f>
      </x:c>
    </x:row>
    <x:row r="51">
      <x:c r="A51" s="95" t="str">
        <x:f>IF($B51="","",ROW()-6)</x:f>
      </x:c>
      <x:c r="B51" s="96" t="n"/>
      <x:c r="C51" s="96" t="n"/>
      <x:c r="D51" s="96" t="n"/>
      <x:c r="E51" s="97" t="n"/>
      <x:c r="F51" s="96" t="n"/>
      <x:c r="G51" s="96" t="n"/>
      <x:c r="H51" s="96" t="n"/>
      <x:c r="I51" s="96" t="n"/>
      <x:c r="J51" s="96" t="n"/>
      <x:c r="K51" s="96" t="n"/>
      <x:c r="L51" s="97" t="n"/>
      <x:c r="M51" s="96" t="n"/>
      <x:c r="N51" s="96" t="n"/>
      <x:c r="O51" s="11" t="n"/>
      <x:c r="P51" s="10" t="n"/>
      <x:c r="Q51" s="11" t="n"/>
      <x:c r="R51" s="10" t="n"/>
      <x:c r="S51" s="10" t="n"/>
      <x:c r="T51" s="10" t="n"/>
      <x:c r="U51" s="12" t="str">
        <x:f>IF($B51="","",IF(OR(AND($G51&lt;&gt;"оригинал",$G51&lt;&gt;"копия",$G51&lt;&gt;"скан",$G51&lt;&gt;"нет"),AND($J51&lt;&gt;"да",$J51&lt;&gt;"нет")),"НЕ ПРОВЕРЕНО: наличие или обязательность",IF(AND($N51="да",OR($O51="",$M51="")),"передан без следа: эксперт или дата",IF(AND($P51="да",$Q51=""),"НЕ ПРОВЕРЕНО: дата запроса",IF($B51="","",IF(AND($J51="да",$G51="нет",$P51&lt;&gt;"да"),"дыра: обязательного документа нет, запрос не направлен",IF(AND($G51="нет",$P51="да",$R51&lt;&gt;"да"),"запрошен, не получен",IF(AND($G51="нет",$J51&lt;&gt;"да"),"отсутствует, на причину не влияет",IF(AND(OR($K51="да",$N51="да"),$M51=""),"передан без следа",IF(AND($K51="да",$L51=""),"передан без следа","в порядке"))))))))))</x:f>
      </x:c>
    </x:row>
    <x:row r="52">
      <x:c r="A52" s="95" t="str">
        <x:f>IF($B52="","",ROW()-6)</x:f>
      </x:c>
      <x:c r="B52" s="96" t="n"/>
      <x:c r="C52" s="96" t="n"/>
      <x:c r="D52" s="96" t="n"/>
      <x:c r="E52" s="97" t="n"/>
      <x:c r="F52" s="96" t="n"/>
      <x:c r="G52" s="96" t="n"/>
      <x:c r="H52" s="96" t="n"/>
      <x:c r="I52" s="96" t="n"/>
      <x:c r="J52" s="96" t="n"/>
      <x:c r="K52" s="96" t="n"/>
      <x:c r="L52" s="97" t="n"/>
      <x:c r="M52" s="96" t="n"/>
      <x:c r="N52" s="96" t="n"/>
      <x:c r="O52" s="11" t="n"/>
      <x:c r="P52" s="10" t="n"/>
      <x:c r="Q52" s="11" t="n"/>
      <x:c r="R52" s="10" t="n"/>
      <x:c r="S52" s="10" t="n"/>
      <x:c r="T52" s="10" t="n"/>
      <x:c r="U52" s="12" t="str">
        <x:f>IF($B52="","",IF(OR(AND($G52&lt;&gt;"оригинал",$G52&lt;&gt;"копия",$G52&lt;&gt;"скан",$G52&lt;&gt;"нет"),AND($J52&lt;&gt;"да",$J52&lt;&gt;"нет")),"НЕ ПРОВЕРЕНО: наличие или обязательность",IF(AND($N52="да",OR($O52="",$M52="")),"передан без следа: эксперт или дата",IF(AND($P52="да",$Q52=""),"НЕ ПРОВЕРЕНО: дата запроса",IF($B52="","",IF(AND($J52="да",$G52="нет",$P52&lt;&gt;"да"),"дыра: обязательного документа нет, запрос не направлен",IF(AND($G52="нет",$P52="да",$R52&lt;&gt;"да"),"запрошен, не получен",IF(AND($G52="нет",$J52&lt;&gt;"да"),"отсутствует, на причину не влияет",IF(AND(OR($K52="да",$N52="да"),$M52=""),"передан без следа",IF(AND($K52="да",$L52=""),"передан без следа","в порядке"))))))))))</x:f>
      </x:c>
    </x:row>
    <x:row r="53">
      <x:c r="A53" s="95" t="str">
        <x:f>IF($B53="","",ROW()-6)</x:f>
      </x:c>
      <x:c r="B53" s="96" t="n"/>
      <x:c r="C53" s="96" t="n"/>
      <x:c r="D53" s="96" t="n"/>
      <x:c r="E53" s="97" t="n"/>
      <x:c r="F53" s="96" t="n"/>
      <x:c r="G53" s="96" t="n"/>
      <x:c r="H53" s="96" t="n"/>
      <x:c r="I53" s="96" t="n"/>
      <x:c r="J53" s="96" t="n"/>
      <x:c r="K53" s="96" t="n"/>
      <x:c r="L53" s="97" t="n"/>
      <x:c r="M53" s="96" t="n"/>
      <x:c r="N53" s="96" t="n"/>
      <x:c r="O53" s="11" t="n"/>
      <x:c r="P53" s="10" t="n"/>
      <x:c r="Q53" s="11" t="n"/>
      <x:c r="R53" s="10" t="n"/>
      <x:c r="S53" s="10" t="n"/>
      <x:c r="T53" s="10" t="n"/>
      <x:c r="U53" s="12" t="str">
        <x:f>IF($B53="","",IF(OR(AND($G53&lt;&gt;"оригинал",$G53&lt;&gt;"копия",$G53&lt;&gt;"скан",$G53&lt;&gt;"нет"),AND($J53&lt;&gt;"да",$J53&lt;&gt;"нет")),"НЕ ПРОВЕРЕНО: наличие или обязательность",IF(AND($N53="да",OR($O53="",$M53="")),"передан без следа: эксперт или дата",IF(AND($P53="да",$Q53=""),"НЕ ПРОВЕРЕНО: дата запроса",IF($B53="","",IF(AND($J53="да",$G53="нет",$P53&lt;&gt;"да"),"дыра: обязательного документа нет, запрос не направлен",IF(AND($G53="нет",$P53="да",$R53&lt;&gt;"да"),"запрошен, не получен",IF(AND($G53="нет",$J53&lt;&gt;"да"),"отсутствует, на причину не влияет",IF(AND(OR($K53="да",$N53="да"),$M53=""),"передан без следа",IF(AND($K53="да",$L53=""),"передан без следа","в порядке"))))))))))</x:f>
      </x:c>
    </x:row>
    <x:row r="54">
      <x:c r="A54" s="95" t="str">
        <x:f>IF($B54="","",ROW()-6)</x:f>
      </x:c>
      <x:c r="B54" s="96" t="n"/>
      <x:c r="C54" s="96" t="n"/>
      <x:c r="D54" s="96" t="n"/>
      <x:c r="E54" s="97" t="n"/>
      <x:c r="F54" s="96" t="n"/>
      <x:c r="G54" s="96" t="n"/>
      <x:c r="H54" s="96" t="n"/>
      <x:c r="I54" s="96" t="n"/>
      <x:c r="J54" s="96" t="n"/>
      <x:c r="K54" s="96" t="n"/>
      <x:c r="L54" s="97" t="n"/>
      <x:c r="M54" s="96" t="n"/>
      <x:c r="N54" s="96" t="n"/>
      <x:c r="O54" s="11" t="n"/>
      <x:c r="P54" s="10" t="n"/>
      <x:c r="Q54" s="11" t="n"/>
      <x:c r="R54" s="10" t="n"/>
      <x:c r="S54" s="10" t="n"/>
      <x:c r="T54" s="10" t="n"/>
      <x:c r="U54" s="12" t="str">
        <x:f>IF($B54="","",IF(OR(AND($G54&lt;&gt;"оригинал",$G54&lt;&gt;"копия",$G54&lt;&gt;"скан",$G54&lt;&gt;"нет"),AND($J54&lt;&gt;"да",$J54&lt;&gt;"нет")),"НЕ ПРОВЕРЕНО: наличие или обязательность",IF(AND($N54="да",OR($O54="",$M54="")),"передан без следа: эксперт или дата",IF(AND($P54="да",$Q54=""),"НЕ ПРОВЕРЕНО: дата запроса",IF($B54="","",IF(AND($J54="да",$G54="нет",$P54&lt;&gt;"да"),"дыра: обязательного документа нет, запрос не направлен",IF(AND($G54="нет",$P54="да",$R54&lt;&gt;"да"),"запрошен, не получен",IF(AND($G54="нет",$J54&lt;&gt;"да"),"отсутствует, на причину не влияет",IF(AND(OR($K54="да",$N54="да"),$M54=""),"передан без следа",IF(AND($K54="да",$L54=""),"передан без следа","в порядке"))))))))))</x:f>
      </x:c>
    </x:row>
    <x:row r="55">
      <x:c r="A55" s="95" t="str">
        <x:f>IF($B55="","",ROW()-6)</x:f>
      </x:c>
      <x:c r="B55" s="96" t="n"/>
      <x:c r="C55" s="96" t="n"/>
      <x:c r="D55" s="96" t="n"/>
      <x:c r="E55" s="97" t="n"/>
      <x:c r="F55" s="96" t="n"/>
      <x:c r="G55" s="96" t="n"/>
      <x:c r="H55" s="96" t="n"/>
      <x:c r="I55" s="96" t="n"/>
      <x:c r="J55" s="96" t="n"/>
      <x:c r="K55" s="96" t="n"/>
      <x:c r="L55" s="97" t="n"/>
      <x:c r="M55" s="96" t="n"/>
      <x:c r="N55" s="96" t="n"/>
      <x:c r="O55" s="11" t="n"/>
      <x:c r="P55" s="10" t="n"/>
      <x:c r="Q55" s="11" t="n"/>
      <x:c r="R55" s="10" t="n"/>
      <x:c r="S55" s="10" t="n"/>
      <x:c r="T55" s="10" t="n"/>
      <x:c r="U55" s="12" t="str">
        <x:f>IF($B55="","",IF(OR(AND($G55&lt;&gt;"оригинал",$G55&lt;&gt;"копия",$G55&lt;&gt;"скан",$G55&lt;&gt;"нет"),AND($J55&lt;&gt;"да",$J55&lt;&gt;"нет")),"НЕ ПРОВЕРЕНО: наличие или обязательность",IF(AND($N55="да",OR($O55="",$M55="")),"передан без следа: эксперт или дата",IF(AND($P55="да",$Q55=""),"НЕ ПРОВЕРЕНО: дата запроса",IF($B55="","",IF(AND($J55="да",$G55="нет",$P55&lt;&gt;"да"),"дыра: обязательного документа нет, запрос не направлен",IF(AND($G55="нет",$P55="да",$R55&lt;&gt;"да"),"запрошен, не получен",IF(AND($G55="нет",$J55&lt;&gt;"да"),"отсутствует, на причину не влияет",IF(AND(OR($K55="да",$N55="да"),$M55=""),"передан без следа",IF(AND($K55="да",$L55=""),"передан без следа","в порядке"))))))))))</x:f>
      </x:c>
    </x:row>
    <x:row r="56">
      <x:c r="A56" s="95" t="str">
        <x:f>IF($B56="","",ROW()-6)</x:f>
      </x:c>
      <x:c r="B56" s="96" t="n"/>
      <x:c r="C56" s="96" t="n"/>
      <x:c r="D56" s="96" t="n"/>
      <x:c r="E56" s="97" t="n"/>
      <x:c r="F56" s="96" t="n"/>
      <x:c r="G56" s="96" t="n"/>
      <x:c r="H56" s="96" t="n"/>
      <x:c r="I56" s="96" t="n"/>
      <x:c r="J56" s="96" t="n"/>
      <x:c r="K56" s="96" t="n"/>
      <x:c r="L56" s="97" t="n"/>
      <x:c r="M56" s="96" t="n"/>
      <x:c r="N56" s="96" t="n"/>
      <x:c r="O56" s="11" t="n"/>
      <x:c r="P56" s="10" t="n"/>
      <x:c r="Q56" s="11" t="n"/>
      <x:c r="R56" s="10" t="n"/>
      <x:c r="S56" s="10" t="n"/>
      <x:c r="T56" s="10" t="n"/>
      <x:c r="U56" s="12" t="str">
        <x:f>IF($B56="","",IF(OR(AND($G56&lt;&gt;"оригинал",$G56&lt;&gt;"копия",$G56&lt;&gt;"скан",$G56&lt;&gt;"нет"),AND($J56&lt;&gt;"да",$J56&lt;&gt;"нет")),"НЕ ПРОВЕРЕНО: наличие или обязательность",IF(AND($N56="да",OR($O56="",$M56="")),"передан без следа: эксперт или дата",IF(AND($P56="да",$Q56=""),"НЕ ПРОВЕРЕНО: дата запроса",IF($B56="","",IF(AND($J56="да",$G56="нет",$P56&lt;&gt;"да"),"дыра: обязательного документа нет, запрос не направлен",IF(AND($G56="нет",$P56="да",$R56&lt;&gt;"да"),"запрошен, не получен",IF(AND($G56="нет",$J56&lt;&gt;"да"),"отсутствует, на причину не влияет",IF(AND(OR($K56="да",$N56="да"),$M56=""),"передан без следа",IF(AND($K56="да",$L56=""),"передан без следа","в порядке"))))))))))</x:f>
      </x:c>
    </x:row>
    <x:row r="57">
      <x:c r="A57" s="95" t="str">
        <x:f>IF($B57="","",ROW()-6)</x:f>
      </x:c>
      <x:c r="B57" s="96" t="n"/>
      <x:c r="C57" s="96" t="n"/>
      <x:c r="D57" s="96" t="n"/>
      <x:c r="E57" s="97" t="n"/>
      <x:c r="F57" s="96" t="n"/>
      <x:c r="G57" s="96" t="n"/>
      <x:c r="H57" s="96" t="n"/>
      <x:c r="I57" s="96" t="n"/>
      <x:c r="J57" s="96" t="n"/>
      <x:c r="K57" s="96" t="n"/>
      <x:c r="L57" s="97" t="n"/>
      <x:c r="M57" s="96" t="n"/>
      <x:c r="N57" s="96" t="n"/>
      <x:c r="O57" s="11" t="n"/>
      <x:c r="P57" s="10" t="n"/>
      <x:c r="Q57" s="11" t="n"/>
      <x:c r="R57" s="10" t="n"/>
      <x:c r="S57" s="10" t="n"/>
      <x:c r="T57" s="10" t="n"/>
      <x:c r="U57" s="12" t="str">
        <x:f>IF($B57="","",IF(OR(AND($G57&lt;&gt;"оригинал",$G57&lt;&gt;"копия",$G57&lt;&gt;"скан",$G57&lt;&gt;"нет"),AND($J57&lt;&gt;"да",$J57&lt;&gt;"нет")),"НЕ ПРОВЕРЕНО: наличие или обязательность",IF(AND($N57="да",OR($O57="",$M57="")),"передан без следа: эксперт или дата",IF(AND($P57="да",$Q57=""),"НЕ ПРОВЕРЕНО: дата запроса",IF($B57="","",IF(AND($J57="да",$G57="нет",$P57&lt;&gt;"да"),"дыра: обязательного документа нет, запрос не направлен",IF(AND($G57="нет",$P57="да",$R57&lt;&gt;"да"),"запрошен, не получен",IF(AND($G57="нет",$J57&lt;&gt;"да"),"отсутствует, на причину не влияет",IF(AND(OR($K57="да",$N57="да"),$M57=""),"передан без следа",IF(AND($K57="да",$L57=""),"передан без следа","в порядке"))))))))))</x:f>
      </x:c>
    </x:row>
    <x:row r="58">
      <x:c r="A58" s="95" t="str">
        <x:f>IF($B58="","",ROW()-6)</x:f>
      </x:c>
      <x:c r="B58" s="96" t="n"/>
      <x:c r="C58" s="96" t="n"/>
      <x:c r="D58" s="96" t="n"/>
      <x:c r="E58" s="97" t="n"/>
      <x:c r="F58" s="96" t="n"/>
      <x:c r="G58" s="96" t="n"/>
      <x:c r="H58" s="96" t="n"/>
      <x:c r="I58" s="96" t="n"/>
      <x:c r="J58" s="96" t="n"/>
      <x:c r="K58" s="96" t="n"/>
      <x:c r="L58" s="97" t="n"/>
      <x:c r="M58" s="96" t="n"/>
      <x:c r="N58" s="96" t="n"/>
      <x:c r="O58" s="11" t="n"/>
      <x:c r="P58" s="10" t="n"/>
      <x:c r="Q58" s="11" t="n"/>
      <x:c r="R58" s="10" t="n"/>
      <x:c r="S58" s="10" t="n"/>
      <x:c r="T58" s="10" t="n"/>
      <x:c r="U58" s="12" t="str">
        <x:f>IF($B58="","",IF(OR(AND($G58&lt;&gt;"оригинал",$G58&lt;&gt;"копия",$G58&lt;&gt;"скан",$G58&lt;&gt;"нет"),AND($J58&lt;&gt;"да",$J58&lt;&gt;"нет")),"НЕ ПРОВЕРЕНО: наличие или обязательность",IF(AND($N58="да",OR($O58="",$M58="")),"передан без следа: эксперт или дата",IF(AND($P58="да",$Q58=""),"НЕ ПРОВЕРЕНО: дата запроса",IF($B58="","",IF(AND($J58="да",$G58="нет",$P58&lt;&gt;"да"),"дыра: обязательного документа нет, запрос не направлен",IF(AND($G58="нет",$P58="да",$R58&lt;&gt;"да"),"запрошен, не получен",IF(AND($G58="нет",$J58&lt;&gt;"да"),"отсутствует, на причину не влияет",IF(AND(OR($K58="да",$N58="да"),$M58=""),"передан без следа",IF(AND($K58="да",$L58=""),"передан без следа","в порядке"))))))))))</x:f>
      </x:c>
    </x:row>
    <x:row r="59">
      <x:c r="A59" s="95" t="str">
        <x:f>IF($B59="","",ROW()-6)</x:f>
      </x:c>
      <x:c r="B59" s="96" t="n"/>
      <x:c r="C59" s="96" t="n"/>
      <x:c r="D59" s="96" t="n"/>
      <x:c r="E59" s="97" t="n"/>
      <x:c r="F59" s="96" t="n"/>
      <x:c r="G59" s="96" t="n"/>
      <x:c r="H59" s="96" t="n"/>
      <x:c r="I59" s="96" t="n"/>
      <x:c r="J59" s="96" t="n"/>
      <x:c r="K59" s="96" t="n"/>
      <x:c r="L59" s="97" t="n"/>
      <x:c r="M59" s="96" t="n"/>
      <x:c r="N59" s="96" t="n"/>
      <x:c r="O59" s="11" t="n"/>
      <x:c r="P59" s="10" t="n"/>
      <x:c r="Q59" s="11" t="n"/>
      <x:c r="R59" s="10" t="n"/>
      <x:c r="S59" s="10" t="n"/>
      <x:c r="T59" s="10" t="n"/>
      <x:c r="U59" s="12" t="str">
        <x:f>IF($B59="","",IF(OR(AND($G59&lt;&gt;"оригинал",$G59&lt;&gt;"копия",$G59&lt;&gt;"скан",$G59&lt;&gt;"нет"),AND($J59&lt;&gt;"да",$J59&lt;&gt;"нет")),"НЕ ПРОВЕРЕНО: наличие или обязательность",IF(AND($N59="да",OR($O59="",$M59="")),"передан без следа: эксперт или дата",IF(AND($P59="да",$Q59=""),"НЕ ПРОВЕРЕНО: дата запроса",IF($B59="","",IF(AND($J59="да",$G59="нет",$P59&lt;&gt;"да"),"дыра: обязательного документа нет, запрос не направлен",IF(AND($G59="нет",$P59="да",$R59&lt;&gt;"да"),"запрошен, не получен",IF(AND($G59="нет",$J59&lt;&gt;"да"),"отсутствует, на причину не влияет",IF(AND(OR($K59="да",$N59="да"),$M59=""),"передан без следа",IF(AND($K59="да",$L59=""),"передан без следа","в порядке"))))))))))</x:f>
      </x:c>
    </x:row>
    <x:row r="60">
      <x:c r="A60" s="95" t="str">
        <x:f>IF($B60="","",ROW()-6)</x:f>
      </x:c>
      <x:c r="B60" s="96" t="n"/>
      <x:c r="C60" s="96" t="n"/>
      <x:c r="D60" s="96" t="n"/>
      <x:c r="E60" s="97" t="n"/>
      <x:c r="F60" s="96" t="n"/>
      <x:c r="G60" s="96" t="n"/>
      <x:c r="H60" s="96" t="n"/>
      <x:c r="I60" s="96" t="n"/>
      <x:c r="J60" s="96" t="n"/>
      <x:c r="K60" s="96" t="n"/>
      <x:c r="L60" s="97" t="n"/>
      <x:c r="M60" s="96" t="n"/>
      <x:c r="N60" s="96" t="n"/>
      <x:c r="O60" s="11" t="n"/>
      <x:c r="P60" s="10" t="n"/>
      <x:c r="Q60" s="11" t="n"/>
      <x:c r="R60" s="10" t="n"/>
      <x:c r="S60" s="10" t="n"/>
      <x:c r="T60" s="10" t="n"/>
      <x:c r="U60" s="12" t="str">
        <x:f>IF($B60="","",IF(OR(AND($G60&lt;&gt;"оригинал",$G60&lt;&gt;"копия",$G60&lt;&gt;"скан",$G60&lt;&gt;"нет"),AND($J60&lt;&gt;"да",$J60&lt;&gt;"нет")),"НЕ ПРОВЕРЕНО: наличие или обязательность",IF(AND($N60="да",OR($O60="",$M60="")),"передан без следа: эксперт или дата",IF(AND($P60="да",$Q60=""),"НЕ ПРОВЕРЕНО: дата запроса",IF($B60="","",IF(AND($J60="да",$G60="нет",$P60&lt;&gt;"да"),"дыра: обязательного документа нет, запрос не направлен",IF(AND($G60="нет",$P60="да",$R60&lt;&gt;"да"),"запрошен, не получен",IF(AND($G60="нет",$J60&lt;&gt;"да"),"отсутствует, на причину не влияет",IF(AND(OR($K60="да",$N60="да"),$M60=""),"передан без следа",IF(AND($K60="да",$L60=""),"передан без следа","в порядке"))))))))))</x:f>
      </x:c>
    </x:row>
    <x:row r="61">
      <x:c r="A61" s="95" t="str">
        <x:f>IF($B61="","",ROW()-6)</x:f>
      </x:c>
      <x:c r="B61" s="96" t="n"/>
      <x:c r="C61" s="96" t="n"/>
      <x:c r="D61" s="96" t="n"/>
      <x:c r="E61" s="97" t="n"/>
      <x:c r="F61" s="96" t="n"/>
      <x:c r="G61" s="96" t="n"/>
      <x:c r="H61" s="96" t="n"/>
      <x:c r="I61" s="96" t="n"/>
      <x:c r="J61" s="96" t="n"/>
      <x:c r="K61" s="96" t="n"/>
      <x:c r="L61" s="97" t="n"/>
      <x:c r="M61" s="96" t="n"/>
      <x:c r="N61" s="96" t="n"/>
      <x:c r="O61" s="11" t="n"/>
      <x:c r="P61" s="10" t="n"/>
      <x:c r="Q61" s="11" t="n"/>
      <x:c r="R61" s="10" t="n"/>
      <x:c r="S61" s="10" t="n"/>
      <x:c r="T61" s="10" t="n"/>
      <x:c r="U61" s="12" t="str">
        <x:f>IF($B61="","",IF(OR(AND($G61&lt;&gt;"оригинал",$G61&lt;&gt;"копия",$G61&lt;&gt;"скан",$G61&lt;&gt;"нет"),AND($J61&lt;&gt;"да",$J61&lt;&gt;"нет")),"НЕ ПРОВЕРЕНО: наличие или обязательность",IF(AND($N61="да",OR($O61="",$M61="")),"передан без следа: эксперт или дата",IF(AND($P61="да",$Q61=""),"НЕ ПРОВЕРЕНО: дата запроса",IF($B61="","",IF(AND($J61="да",$G61="нет",$P61&lt;&gt;"да"),"дыра: обязательного документа нет, запрос не направлен",IF(AND($G61="нет",$P61="да",$R61&lt;&gt;"да"),"запрошен, не получен",IF(AND($G61="нет",$J61&lt;&gt;"да"),"отсутствует, на причину не влияет",IF(AND(OR($K61="да",$N61="да"),$M61=""),"передан без следа",IF(AND($K61="да",$L61=""),"передан без следа","в порядке"))))))))))</x:f>
      </x:c>
    </x:row>
    <x:row r="62">
      <x:c r="A62" s="95" t="str">
        <x:f>IF($B62="","",ROW()-6)</x:f>
      </x:c>
      <x:c r="B62" s="96" t="n"/>
      <x:c r="C62" s="96" t="n"/>
      <x:c r="D62" s="96" t="n"/>
      <x:c r="E62" s="97" t="n"/>
      <x:c r="F62" s="96" t="n"/>
      <x:c r="G62" s="96" t="n"/>
      <x:c r="H62" s="96" t="n"/>
      <x:c r="I62" s="96" t="n"/>
      <x:c r="J62" s="96" t="n"/>
      <x:c r="K62" s="96" t="n"/>
      <x:c r="L62" s="97" t="n"/>
      <x:c r="M62" s="96" t="n"/>
      <x:c r="N62" s="96" t="n"/>
      <x:c r="O62" s="11" t="n"/>
      <x:c r="P62" s="10" t="n"/>
      <x:c r="Q62" s="11" t="n"/>
      <x:c r="R62" s="10" t="n"/>
      <x:c r="S62" s="10" t="n"/>
      <x:c r="T62" s="10" t="n"/>
      <x:c r="U62" s="12" t="str">
        <x:f>IF($B62="","",IF(OR(AND($G62&lt;&gt;"оригинал",$G62&lt;&gt;"копия",$G62&lt;&gt;"скан",$G62&lt;&gt;"нет"),AND($J62&lt;&gt;"да",$J62&lt;&gt;"нет")),"НЕ ПРОВЕРЕНО: наличие или обязательность",IF(AND($N62="да",OR($O62="",$M62="")),"передан без следа: эксперт или дата",IF(AND($P62="да",$Q62=""),"НЕ ПРОВЕРЕНО: дата запроса",IF($B62="","",IF(AND($J62="да",$G62="нет",$P62&lt;&gt;"да"),"дыра: обязательного документа нет, запрос не направлен",IF(AND($G62="нет",$P62="да",$R62&lt;&gt;"да"),"запрошен, не получен",IF(AND($G62="нет",$J62&lt;&gt;"да"),"отсутствует, на причину не влияет",IF(AND(OR($K62="да",$N62="да"),$M62=""),"передан без следа",IF(AND($K62="да",$L62=""),"передан без следа","в порядке"))))))))))</x:f>
      </x:c>
    </x:row>
    <x:row r="63">
      <x:c r="A63" s="95" t="str">
        <x:f>IF($B63="","",ROW()-6)</x:f>
      </x:c>
      <x:c r="B63" s="96" t="n"/>
      <x:c r="C63" s="96" t="n"/>
      <x:c r="D63" s="96" t="n"/>
      <x:c r="E63" s="97" t="n"/>
      <x:c r="F63" s="96" t="n"/>
      <x:c r="G63" s="96" t="n"/>
      <x:c r="H63" s="96" t="n"/>
      <x:c r="I63" s="96" t="n"/>
      <x:c r="J63" s="96" t="n"/>
      <x:c r="K63" s="96" t="n"/>
      <x:c r="L63" s="97" t="n"/>
      <x:c r="M63" s="96" t="n"/>
      <x:c r="N63" s="96" t="n"/>
      <x:c r="O63" s="11" t="n"/>
      <x:c r="P63" s="10" t="n"/>
      <x:c r="Q63" s="11" t="n"/>
      <x:c r="R63" s="10" t="n"/>
      <x:c r="S63" s="10" t="n"/>
      <x:c r="T63" s="10" t="n"/>
      <x:c r="U63" s="12" t="str">
        <x:f>IF($B63="","",IF(OR(AND($G63&lt;&gt;"оригинал",$G63&lt;&gt;"копия",$G63&lt;&gt;"скан",$G63&lt;&gt;"нет"),AND($J63&lt;&gt;"да",$J63&lt;&gt;"нет")),"НЕ ПРОВЕРЕНО: наличие или обязательность",IF(AND($N63="да",OR($O63="",$M63="")),"передан без следа: эксперт или дата",IF(AND($P63="да",$Q63=""),"НЕ ПРОВЕРЕНО: дата запроса",IF($B63="","",IF(AND($J63="да",$G63="нет",$P63&lt;&gt;"да"),"дыра: обязательного документа нет, запрос не направлен",IF(AND($G63="нет",$P63="да",$R63&lt;&gt;"да"),"запрошен, не получен",IF(AND($G63="нет",$J63&lt;&gt;"да"),"отсутствует, на причину не влияет",IF(AND(OR($K63="да",$N63="да"),$M63=""),"передан без следа",IF(AND($K63="да",$L63=""),"передан без следа","в порядке"))))))))))</x:f>
      </x:c>
    </x:row>
    <x:row r="64">
      <x:c r="A64" s="95" t="str">
        <x:f>IF($B64="","",ROW()-6)</x:f>
      </x:c>
      <x:c r="B64" s="96" t="n"/>
      <x:c r="C64" s="96" t="n"/>
      <x:c r="D64" s="96" t="n"/>
      <x:c r="E64" s="97" t="n"/>
      <x:c r="F64" s="96" t="n"/>
      <x:c r="G64" s="96" t="n"/>
      <x:c r="H64" s="96" t="n"/>
      <x:c r="I64" s="96" t="n"/>
      <x:c r="J64" s="96" t="n"/>
      <x:c r="K64" s="96" t="n"/>
      <x:c r="L64" s="97" t="n"/>
      <x:c r="M64" s="96" t="n"/>
      <x:c r="N64" s="96" t="n"/>
      <x:c r="O64" s="11" t="n"/>
      <x:c r="P64" s="10" t="n"/>
      <x:c r="Q64" s="11" t="n"/>
      <x:c r="R64" s="10" t="n"/>
      <x:c r="S64" s="10" t="n"/>
      <x:c r="T64" s="10" t="n"/>
      <x:c r="U64" s="12" t="str">
        <x:f>IF($B64="","",IF(OR(AND($G64&lt;&gt;"оригинал",$G64&lt;&gt;"копия",$G64&lt;&gt;"скан",$G64&lt;&gt;"нет"),AND($J64&lt;&gt;"да",$J64&lt;&gt;"нет")),"НЕ ПРОВЕРЕНО: наличие или обязательность",IF(AND($N64="да",OR($O64="",$M64="")),"передан без следа: эксперт или дата",IF(AND($P64="да",$Q64=""),"НЕ ПРОВЕРЕНО: дата запроса",IF($B64="","",IF(AND($J64="да",$G64="нет",$P64&lt;&gt;"да"),"дыра: обязательного документа нет, запрос не направлен",IF(AND($G64="нет",$P64="да",$R64&lt;&gt;"да"),"запрошен, не получен",IF(AND($G64="нет",$J64&lt;&gt;"да"),"отсутствует, на причину не влияет",IF(AND(OR($K64="да",$N64="да"),$M64=""),"передан без следа",IF(AND($K64="да",$L64=""),"передан без следа","в порядке"))))))))))</x:f>
      </x:c>
    </x:row>
    <x:row r="65">
      <x:c r="A65" s="95" t="str">
        <x:f>IF($B65="","",ROW()-6)</x:f>
      </x:c>
      <x:c r="B65" s="96" t="n"/>
      <x:c r="C65" s="96" t="n"/>
      <x:c r="D65" s="96" t="n"/>
      <x:c r="E65" s="97" t="n"/>
      <x:c r="F65" s="96" t="n"/>
      <x:c r="G65" s="96" t="n"/>
      <x:c r="H65" s="96" t="n"/>
      <x:c r="I65" s="96" t="n"/>
      <x:c r="J65" s="96" t="n"/>
      <x:c r="K65" s="96" t="n"/>
      <x:c r="L65" s="97" t="n"/>
      <x:c r="M65" s="96" t="n"/>
      <x:c r="N65" s="96" t="n"/>
      <x:c r="O65" s="11" t="n"/>
      <x:c r="P65" s="10" t="n"/>
      <x:c r="Q65" s="11" t="n"/>
      <x:c r="R65" s="10" t="n"/>
      <x:c r="S65" s="10" t="n"/>
      <x:c r="T65" s="10" t="n"/>
      <x:c r="U65" s="12" t="str">
        <x:f>IF($B65="","",IF(OR(AND($G65&lt;&gt;"оригинал",$G65&lt;&gt;"копия",$G65&lt;&gt;"скан",$G65&lt;&gt;"нет"),AND($J65&lt;&gt;"да",$J65&lt;&gt;"нет")),"НЕ ПРОВЕРЕНО: наличие или обязательность",IF(AND($N65="да",OR($O65="",$M65="")),"передан без следа: эксперт или дата",IF(AND($P65="да",$Q65=""),"НЕ ПРОВЕРЕНО: дата запроса",IF($B65="","",IF(AND($J65="да",$G65="нет",$P65&lt;&gt;"да"),"дыра: обязательного документа нет, запрос не направлен",IF(AND($G65="нет",$P65="да",$R65&lt;&gt;"да"),"запрошен, не получен",IF(AND($G65="нет",$J65&lt;&gt;"да"),"отсутствует, на причину не влияет",IF(AND(OR($K65="да",$N65="да"),$M65=""),"передан без следа",IF(AND($K65="да",$L65=""),"передан без следа","в порядке"))))))))))</x:f>
      </x:c>
    </x:row>
    <x:row r="66">
      <x:c r="A66" s="95" t="str">
        <x:f>IF($B66="","",ROW()-6)</x:f>
      </x:c>
      <x:c r="B66" s="96" t="n"/>
      <x:c r="C66" s="96" t="n"/>
      <x:c r="D66" s="96" t="n"/>
      <x:c r="E66" s="97" t="n"/>
      <x:c r="F66" s="96" t="n"/>
      <x:c r="G66" s="96" t="n"/>
      <x:c r="H66" s="96" t="n"/>
      <x:c r="I66" s="96" t="n"/>
      <x:c r="J66" s="96" t="n"/>
      <x:c r="K66" s="96" t="n"/>
      <x:c r="L66" s="97" t="n"/>
      <x:c r="M66" s="96" t="n"/>
      <x:c r="N66" s="96" t="n"/>
      <x:c r="O66" s="11" t="n"/>
      <x:c r="P66" s="10" t="n"/>
      <x:c r="Q66" s="11" t="n"/>
      <x:c r="R66" s="10" t="n"/>
      <x:c r="S66" s="10" t="n"/>
      <x:c r="T66" s="10" t="n"/>
      <x:c r="U66" s="12" t="str">
        <x:f>IF($B66="","",IF(OR(AND($G66&lt;&gt;"оригинал",$G66&lt;&gt;"копия",$G66&lt;&gt;"скан",$G66&lt;&gt;"нет"),AND($J66&lt;&gt;"да",$J66&lt;&gt;"нет")),"НЕ ПРОВЕРЕНО: наличие или обязательность",IF(AND($N66="да",OR($O66="",$M66="")),"передан без следа: эксперт или дата",IF(AND($P66="да",$Q66=""),"НЕ ПРОВЕРЕНО: дата запроса",IF($B66="","",IF(AND($J66="да",$G66="нет",$P66&lt;&gt;"да"),"дыра: обязательного документа нет, запрос не направлен",IF(AND($G66="нет",$P66="да",$R66&lt;&gt;"да"),"запрошен, не получен",IF(AND($G66="нет",$J66&lt;&gt;"да"),"отсутствует, на причину не влияет",IF(AND(OR($K66="да",$N66="да"),$M66=""),"передан без следа",IF(AND($K66="да",$L66=""),"передан без следа","в порядке"))))))))))</x:f>
      </x:c>
    </x:row>
    <x:row r="67">
      <x:c r="A67" s="95" t="str">
        <x:f>IF($B67="","",ROW()-6)</x:f>
      </x:c>
      <x:c r="B67" s="96" t="n"/>
      <x:c r="C67" s="96" t="n"/>
      <x:c r="D67" s="96" t="n"/>
      <x:c r="E67" s="97" t="n"/>
      <x:c r="F67" s="96" t="n"/>
      <x:c r="G67" s="96" t="n"/>
      <x:c r="H67" s="96" t="n"/>
      <x:c r="I67" s="96" t="n"/>
      <x:c r="J67" s="96" t="n"/>
      <x:c r="K67" s="96" t="n"/>
      <x:c r="L67" s="97" t="n"/>
      <x:c r="M67" s="96" t="n"/>
      <x:c r="N67" s="96" t="n"/>
      <x:c r="O67" s="11" t="n"/>
      <x:c r="P67" s="10" t="n"/>
      <x:c r="Q67" s="11" t="n"/>
      <x:c r="R67" s="10" t="n"/>
      <x:c r="S67" s="10" t="n"/>
      <x:c r="T67" s="10" t="n"/>
      <x:c r="U67" s="12" t="str">
        <x:f>IF($B67="","",IF(OR(AND($G67&lt;&gt;"оригинал",$G67&lt;&gt;"копия",$G67&lt;&gt;"скан",$G67&lt;&gt;"нет"),AND($J67&lt;&gt;"да",$J67&lt;&gt;"нет")),"НЕ ПРОВЕРЕНО: наличие или обязательность",IF(AND($N67="да",OR($O67="",$M67="")),"передан без следа: эксперт или дата",IF(AND($P67="да",$Q67=""),"НЕ ПРОВЕРЕНО: дата запроса",IF($B67="","",IF(AND($J67="да",$G67="нет",$P67&lt;&gt;"да"),"дыра: обязательного документа нет, запрос не направлен",IF(AND($G67="нет",$P67="да",$R67&lt;&gt;"да"),"запрошен, не получен",IF(AND($G67="нет",$J67&lt;&gt;"да"),"отсутствует, на причину не влияет",IF(AND(OR($K67="да",$N67="да"),$M67=""),"передан без следа",IF(AND($K67="да",$L67=""),"передан без следа","в порядке"))))))))))</x:f>
      </x:c>
    </x:row>
    <x:row r="68">
      <x:c r="A68" s="95" t="str">
        <x:f>IF($B68="","",ROW()-6)</x:f>
      </x:c>
      <x:c r="B68" s="96" t="n"/>
      <x:c r="C68" s="96" t="n"/>
      <x:c r="D68" s="96" t="n"/>
      <x:c r="E68" s="97" t="n"/>
      <x:c r="F68" s="96" t="n"/>
      <x:c r="G68" s="96" t="n"/>
      <x:c r="H68" s="96" t="n"/>
      <x:c r="I68" s="96" t="n"/>
      <x:c r="J68" s="96" t="n"/>
      <x:c r="K68" s="96" t="n"/>
      <x:c r="L68" s="97" t="n"/>
      <x:c r="M68" s="96" t="n"/>
      <x:c r="N68" s="96" t="n"/>
      <x:c r="O68" s="11" t="n"/>
      <x:c r="P68" s="10" t="n"/>
      <x:c r="Q68" s="11" t="n"/>
      <x:c r="R68" s="10" t="n"/>
      <x:c r="S68" s="10" t="n"/>
      <x:c r="T68" s="10" t="n"/>
      <x:c r="U68" s="12" t="str">
        <x:f>IF($B68="","",IF(OR(AND($G68&lt;&gt;"оригинал",$G68&lt;&gt;"копия",$G68&lt;&gt;"скан",$G68&lt;&gt;"нет"),AND($J68&lt;&gt;"да",$J68&lt;&gt;"нет")),"НЕ ПРОВЕРЕНО: наличие или обязательность",IF(AND($N68="да",OR($O68="",$M68="")),"передан без следа: эксперт или дата",IF(AND($P68="да",$Q68=""),"НЕ ПРОВЕРЕНО: дата запроса",IF($B68="","",IF(AND($J68="да",$G68="нет",$P68&lt;&gt;"да"),"дыра: обязательного документа нет, запрос не направлен",IF(AND($G68="нет",$P68="да",$R68&lt;&gt;"да"),"запрошен, не получен",IF(AND($G68="нет",$J68&lt;&gt;"да"),"отсутствует, на причину не влияет",IF(AND(OR($K68="да",$N68="да"),$M68=""),"передан без следа",IF(AND($K68="да",$L68=""),"передан без следа","в порядке"))))))))))</x:f>
      </x:c>
    </x:row>
    <x:row r="69">
      <x:c r="A69" s="95" t="str">
        <x:f>IF($B69="","",ROW()-6)</x:f>
      </x:c>
      <x:c r="B69" s="96" t="n"/>
      <x:c r="C69" s="96" t="n"/>
      <x:c r="D69" s="96" t="n"/>
      <x:c r="E69" s="97" t="n"/>
      <x:c r="F69" s="96" t="n"/>
      <x:c r="G69" s="96" t="n"/>
      <x:c r="H69" s="96" t="n"/>
      <x:c r="I69" s="96" t="n"/>
      <x:c r="J69" s="96" t="n"/>
      <x:c r="K69" s="96" t="n"/>
      <x:c r="L69" s="97" t="n"/>
      <x:c r="M69" s="96" t="n"/>
      <x:c r="N69" s="96" t="n"/>
      <x:c r="O69" s="11" t="n"/>
      <x:c r="P69" s="10" t="n"/>
      <x:c r="Q69" s="11" t="n"/>
      <x:c r="R69" s="10" t="n"/>
      <x:c r="S69" s="10" t="n"/>
      <x:c r="T69" s="10" t="n"/>
      <x:c r="U69" s="12" t="str">
        <x:f>IF($B69="","",IF(OR(AND($G69&lt;&gt;"оригинал",$G69&lt;&gt;"копия",$G69&lt;&gt;"скан",$G69&lt;&gt;"нет"),AND($J69&lt;&gt;"да",$J69&lt;&gt;"нет")),"НЕ ПРОВЕРЕНО: наличие или обязательность",IF(AND($N69="да",OR($O69="",$M69="")),"передан без следа: эксперт или дата",IF(AND($P69="да",$Q69=""),"НЕ ПРОВЕРЕНО: дата запроса",IF($B69="","",IF(AND($J69="да",$G69="нет",$P69&lt;&gt;"да"),"дыра: обязательного документа нет, запрос не направлен",IF(AND($G69="нет",$P69="да",$R69&lt;&gt;"да"),"запрошен, не получен",IF(AND($G69="нет",$J69&lt;&gt;"да"),"отсутствует, на причину не влияет",IF(AND(OR($K69="да",$N69="да"),$M69=""),"передан без следа",IF(AND($K69="да",$L69=""),"передан без следа","в порядке"))))))))))</x:f>
      </x:c>
    </x:row>
    <x:row r="70">
      <x:c r="A70" s="95" t="str">
        <x:f>IF($B70="","",ROW()-6)</x:f>
      </x:c>
      <x:c r="B70" s="96" t="n"/>
      <x:c r="C70" s="96" t="n"/>
      <x:c r="D70" s="96" t="n"/>
      <x:c r="E70" s="97" t="n"/>
      <x:c r="F70" s="96" t="n"/>
      <x:c r="G70" s="96" t="n"/>
      <x:c r="H70" s="96" t="n"/>
      <x:c r="I70" s="96" t="n"/>
      <x:c r="J70" s="96" t="n"/>
      <x:c r="K70" s="96" t="n"/>
      <x:c r="L70" s="97" t="n"/>
      <x:c r="M70" s="96" t="n"/>
      <x:c r="N70" s="96" t="n"/>
      <x:c r="O70" s="11" t="n"/>
      <x:c r="P70" s="10" t="n"/>
      <x:c r="Q70" s="11" t="n"/>
      <x:c r="R70" s="10" t="n"/>
      <x:c r="S70" s="10" t="n"/>
      <x:c r="T70" s="10" t="n"/>
      <x:c r="U70" s="12" t="str">
        <x:f>IF($B70="","",IF(OR(AND($G70&lt;&gt;"оригинал",$G70&lt;&gt;"копия",$G70&lt;&gt;"скан",$G70&lt;&gt;"нет"),AND($J70&lt;&gt;"да",$J70&lt;&gt;"нет")),"НЕ ПРОВЕРЕНО: наличие или обязательность",IF(AND($N70="да",OR($O70="",$M70="")),"передан без следа: эксперт или дата",IF(AND($P70="да",$Q70=""),"НЕ ПРОВЕРЕНО: дата запроса",IF($B70="","",IF(AND($J70="да",$G70="нет",$P70&lt;&gt;"да"),"дыра: обязательного документа нет, запрос не направлен",IF(AND($G70="нет",$P70="да",$R70&lt;&gt;"да"),"запрошен, не получен",IF(AND($G70="нет",$J70&lt;&gt;"да"),"отсутствует, на причину не влияет",IF(AND(OR($K70="да",$N70="да"),$M70=""),"передан без следа",IF(AND($K70="да",$L70=""),"передан без следа","в порядке"))))))))))</x:f>
      </x:c>
    </x:row>
    <x:row r="71">
      <x:c r="A71" s="95" t="str">
        <x:f>IF($B71="","",ROW()-6)</x:f>
      </x:c>
      <x:c r="B71" s="96" t="n"/>
      <x:c r="C71" s="96" t="n"/>
      <x:c r="D71" s="96" t="n"/>
      <x:c r="E71" s="97" t="n"/>
      <x:c r="F71" s="96" t="n"/>
      <x:c r="G71" s="96" t="n"/>
      <x:c r="H71" s="96" t="n"/>
      <x:c r="I71" s="96" t="n"/>
      <x:c r="J71" s="96" t="n"/>
      <x:c r="K71" s="96" t="n"/>
      <x:c r="L71" s="97" t="n"/>
      <x:c r="M71" s="96" t="n"/>
      <x:c r="N71" s="96" t="n"/>
      <x:c r="O71" s="11" t="n"/>
      <x:c r="P71" s="10" t="n"/>
      <x:c r="Q71" s="11" t="n"/>
      <x:c r="R71" s="10" t="n"/>
      <x:c r="S71" s="10" t="n"/>
      <x:c r="T71" s="10" t="n"/>
      <x:c r="U71" s="12" t="str">
        <x:f>IF($B71="","",IF(OR(AND($G71&lt;&gt;"оригинал",$G71&lt;&gt;"копия",$G71&lt;&gt;"скан",$G71&lt;&gt;"нет"),AND($J71&lt;&gt;"да",$J71&lt;&gt;"нет")),"НЕ ПРОВЕРЕНО: наличие или обязательность",IF(AND($N71="да",OR($O71="",$M71="")),"передан без следа: эксперт или дата",IF(AND($P71="да",$Q71=""),"НЕ ПРОВЕРЕНО: дата запроса",IF($B71="","",IF(AND($J71="да",$G71="нет",$P71&lt;&gt;"да"),"дыра: обязательного документа нет, запрос не направлен",IF(AND($G71="нет",$P71="да",$R71&lt;&gt;"да"),"запрошен, не получен",IF(AND($G71="нет",$J71&lt;&gt;"да"),"отсутствует, на причину не влияет",IF(AND(OR($K71="да",$N71="да"),$M71=""),"передан без следа",IF(AND($K71="да",$L71=""),"передан без следа","в порядке"))))))))))</x:f>
      </x:c>
    </x:row>
    <x:row r="72">
      <x:c r="A72" s="95" t="str">
        <x:f>IF($B72="","",ROW()-6)</x:f>
      </x:c>
      <x:c r="B72" s="96" t="n"/>
      <x:c r="C72" s="96" t="n"/>
      <x:c r="D72" s="96" t="n"/>
      <x:c r="E72" s="97" t="n"/>
      <x:c r="F72" s="96" t="n"/>
      <x:c r="G72" s="96" t="n"/>
      <x:c r="H72" s="96" t="n"/>
      <x:c r="I72" s="96" t="n"/>
      <x:c r="J72" s="96" t="n"/>
      <x:c r="K72" s="96" t="n"/>
      <x:c r="L72" s="97" t="n"/>
      <x:c r="M72" s="96" t="n"/>
      <x:c r="N72" s="96" t="n"/>
      <x:c r="O72" s="11" t="n"/>
      <x:c r="P72" s="10" t="n"/>
      <x:c r="Q72" s="11" t="n"/>
      <x:c r="R72" s="10" t="n"/>
      <x:c r="S72" s="10" t="n"/>
      <x:c r="T72" s="10" t="n"/>
      <x:c r="U72" s="12" t="str">
        <x:f>IF($B72="","",IF(OR(AND($G72&lt;&gt;"оригинал",$G72&lt;&gt;"копия",$G72&lt;&gt;"скан",$G72&lt;&gt;"нет"),AND($J72&lt;&gt;"да",$J72&lt;&gt;"нет")),"НЕ ПРОВЕРЕНО: наличие или обязательность",IF(AND($N72="да",OR($O72="",$M72="")),"передан без следа: эксперт или дата",IF(AND($P72="да",$Q72=""),"НЕ ПРОВЕРЕНО: дата запроса",IF($B72="","",IF(AND($J72="да",$G72="нет",$P72&lt;&gt;"да"),"дыра: обязательного документа нет, запрос не направлен",IF(AND($G72="нет",$P72="да",$R72&lt;&gt;"да"),"запрошен, не получен",IF(AND($G72="нет",$J72&lt;&gt;"да"),"отсутствует, на причину не влияет",IF(AND(OR($K72="да",$N72="да"),$M72=""),"передан без следа",IF(AND($K72="да",$L72=""),"передан без следа","в порядке"))))))))))</x:f>
      </x:c>
    </x:row>
    <x:row r="73">
      <x:c r="A73" s="95" t="str">
        <x:f>IF($B73="","",ROW()-6)</x:f>
      </x:c>
      <x:c r="B73" s="96" t="n"/>
      <x:c r="C73" s="96" t="n"/>
      <x:c r="D73" s="96" t="n"/>
      <x:c r="E73" s="97" t="n"/>
      <x:c r="F73" s="96" t="n"/>
      <x:c r="G73" s="96" t="n"/>
      <x:c r="H73" s="96" t="n"/>
      <x:c r="I73" s="96" t="n"/>
      <x:c r="J73" s="96" t="n"/>
      <x:c r="K73" s="96" t="n"/>
      <x:c r="L73" s="97" t="n"/>
      <x:c r="M73" s="96" t="n"/>
      <x:c r="N73" s="96" t="n"/>
      <x:c r="O73" s="11" t="n"/>
      <x:c r="P73" s="10" t="n"/>
      <x:c r="Q73" s="11" t="n"/>
      <x:c r="R73" s="10" t="n"/>
      <x:c r="S73" s="10" t="n"/>
      <x:c r="T73" s="10" t="n"/>
      <x:c r="U73" s="12" t="str">
        <x:f>IF($B73="","",IF(OR(AND($G73&lt;&gt;"оригинал",$G73&lt;&gt;"копия",$G73&lt;&gt;"скан",$G73&lt;&gt;"нет"),AND($J73&lt;&gt;"да",$J73&lt;&gt;"нет")),"НЕ ПРОВЕРЕНО: наличие или обязательность",IF(AND($N73="да",OR($O73="",$M73="")),"передан без следа: эксперт или дата",IF(AND($P73="да",$Q73=""),"НЕ ПРОВЕРЕНО: дата запроса",IF($B73="","",IF(AND($J73="да",$G73="нет",$P73&lt;&gt;"да"),"дыра: обязательного документа нет, запрос не направлен",IF(AND($G73="нет",$P73="да",$R73&lt;&gt;"да"),"запрошен, не получен",IF(AND($G73="нет",$J73&lt;&gt;"да"),"отсутствует, на причину не влияет",IF(AND(OR($K73="да",$N73="да"),$M73=""),"передан без следа",IF(AND($K73="да",$L73=""),"передан без следа","в порядке"))))))))))</x:f>
      </x:c>
    </x:row>
    <x:row r="74">
      <x:c r="A74" s="95" t="str">
        <x:f>IF($B74="","",ROW()-6)</x:f>
      </x:c>
      <x:c r="B74" s="96" t="n"/>
      <x:c r="C74" s="96" t="n"/>
      <x:c r="D74" s="96" t="n"/>
      <x:c r="E74" s="97" t="n"/>
      <x:c r="F74" s="96" t="n"/>
      <x:c r="G74" s="96" t="n"/>
      <x:c r="H74" s="96" t="n"/>
      <x:c r="I74" s="96" t="n"/>
      <x:c r="J74" s="96" t="n"/>
      <x:c r="K74" s="96" t="n"/>
      <x:c r="L74" s="97" t="n"/>
      <x:c r="M74" s="96" t="n"/>
      <x:c r="N74" s="96" t="n"/>
      <x:c r="O74" s="11" t="n"/>
      <x:c r="P74" s="10" t="n"/>
      <x:c r="Q74" s="11" t="n"/>
      <x:c r="R74" s="10" t="n"/>
      <x:c r="S74" s="10" t="n"/>
      <x:c r="T74" s="10" t="n"/>
      <x:c r="U74" s="12" t="str">
        <x:f>IF($B74="","",IF(OR(AND($G74&lt;&gt;"оригинал",$G74&lt;&gt;"копия",$G74&lt;&gt;"скан",$G74&lt;&gt;"нет"),AND($J74&lt;&gt;"да",$J74&lt;&gt;"нет")),"НЕ ПРОВЕРЕНО: наличие или обязательность",IF(AND($N74="да",OR($O74="",$M74="")),"передан без следа: эксперт или дата",IF(AND($P74="да",$Q74=""),"НЕ ПРОВЕРЕНО: дата запроса",IF($B74="","",IF(AND($J74="да",$G74="нет",$P74&lt;&gt;"да"),"дыра: обязательного документа нет, запрос не направлен",IF(AND($G74="нет",$P74="да",$R74&lt;&gt;"да"),"запрошен, не получен",IF(AND($G74="нет",$J74&lt;&gt;"да"),"отсутствует, на причину не влияет",IF(AND(OR($K74="да",$N74="да"),$M74=""),"передан без следа",IF(AND($K74="да",$L74=""),"передан без следа","в порядке"))))))))))</x:f>
      </x:c>
    </x:row>
    <x:row r="75">
      <x:c r="A75" s="95" t="str">
        <x:f>IF($B75="","",ROW()-6)</x:f>
      </x:c>
      <x:c r="B75" s="96" t="n"/>
      <x:c r="C75" s="96" t="n"/>
      <x:c r="D75" s="96" t="n"/>
      <x:c r="E75" s="97" t="n"/>
      <x:c r="F75" s="96" t="n"/>
      <x:c r="G75" s="96" t="n"/>
      <x:c r="H75" s="96" t="n"/>
      <x:c r="I75" s="96" t="n"/>
      <x:c r="J75" s="96" t="n"/>
      <x:c r="K75" s="96" t="n"/>
      <x:c r="L75" s="97" t="n"/>
      <x:c r="M75" s="96" t="n"/>
      <x:c r="N75" s="96" t="n"/>
      <x:c r="O75" s="11" t="n"/>
      <x:c r="P75" s="10" t="n"/>
      <x:c r="Q75" s="11" t="n"/>
      <x:c r="R75" s="10" t="n"/>
      <x:c r="S75" s="10" t="n"/>
      <x:c r="T75" s="10" t="n"/>
      <x:c r="U75" s="12" t="str">
        <x:f>IF($B75="","",IF(OR(AND($G75&lt;&gt;"оригинал",$G75&lt;&gt;"копия",$G75&lt;&gt;"скан",$G75&lt;&gt;"нет"),AND($J75&lt;&gt;"да",$J75&lt;&gt;"нет")),"НЕ ПРОВЕРЕНО: наличие или обязательность",IF(AND($N75="да",OR($O75="",$M75="")),"передан без следа: эксперт или дата",IF(AND($P75="да",$Q75=""),"НЕ ПРОВЕРЕНО: дата запроса",IF($B75="","",IF(AND($J75="да",$G75="нет",$P75&lt;&gt;"да"),"дыра: обязательного документа нет, запрос не направлен",IF(AND($G75="нет",$P75="да",$R75&lt;&gt;"да"),"запрошен, не получен",IF(AND($G75="нет",$J75&lt;&gt;"да"),"отсутствует, на причину не влияет",IF(AND(OR($K75="да",$N75="да"),$M75=""),"передан без следа",IF(AND($K75="да",$L75=""),"передан без следа","в порядке"))))))))))</x:f>
      </x:c>
    </x:row>
    <x:row r="76">
      <x:c r="A76" s="95" t="str">
        <x:f>IF($B76="","",ROW()-6)</x:f>
      </x:c>
      <x:c r="B76" s="96" t="n"/>
      <x:c r="C76" s="96" t="n"/>
      <x:c r="D76" s="96" t="n"/>
      <x:c r="E76" s="97" t="n"/>
      <x:c r="F76" s="96" t="n"/>
      <x:c r="G76" s="96" t="n"/>
      <x:c r="H76" s="96" t="n"/>
      <x:c r="I76" s="96" t="n"/>
      <x:c r="J76" s="96" t="n"/>
      <x:c r="K76" s="96" t="n"/>
      <x:c r="L76" s="97" t="n"/>
      <x:c r="M76" s="96" t="n"/>
      <x:c r="N76" s="96" t="n"/>
      <x:c r="O76" s="11" t="n"/>
      <x:c r="P76" s="10" t="n"/>
      <x:c r="Q76" s="11" t="n"/>
      <x:c r="R76" s="10" t="n"/>
      <x:c r="S76" s="10" t="n"/>
      <x:c r="T76" s="10" t="n"/>
      <x:c r="U76" s="12" t="str">
        <x:f>IF($B76="","",IF(OR(AND($G76&lt;&gt;"оригинал",$G76&lt;&gt;"копия",$G76&lt;&gt;"скан",$G76&lt;&gt;"нет"),AND($J76&lt;&gt;"да",$J76&lt;&gt;"нет")),"НЕ ПРОВЕРЕНО: наличие или обязательность",IF(AND($N76="да",OR($O76="",$M76="")),"передан без следа: эксперт или дата",IF(AND($P76="да",$Q76=""),"НЕ ПРОВЕРЕНО: дата запроса",IF($B76="","",IF(AND($J76="да",$G76="нет",$P76&lt;&gt;"да"),"дыра: обязательного документа нет, запрос не направлен",IF(AND($G76="нет",$P76="да",$R76&lt;&gt;"да"),"запрошен, не получен",IF(AND($G76="нет",$J76&lt;&gt;"да"),"отсутствует, на причину не влияет",IF(AND(OR($K76="да",$N76="да"),$M76=""),"передан без следа",IF(AND($K76="да",$L76=""),"передан без следа","в порядке"))))))))))</x:f>
      </x:c>
    </x:row>
    <x:row r="77">
      <x:c r="A77" s="95" t="str">
        <x:f>IF($B77="","",ROW()-6)</x:f>
      </x:c>
      <x:c r="B77" s="96" t="n"/>
      <x:c r="C77" s="96" t="n"/>
      <x:c r="D77" s="96" t="n"/>
      <x:c r="E77" s="97" t="n"/>
      <x:c r="F77" s="96" t="n"/>
      <x:c r="G77" s="96" t="n"/>
      <x:c r="H77" s="96" t="n"/>
      <x:c r="I77" s="96" t="n"/>
      <x:c r="J77" s="96" t="n"/>
      <x:c r="K77" s="96" t="n"/>
      <x:c r="L77" s="97" t="n"/>
      <x:c r="M77" s="96" t="n"/>
      <x:c r="N77" s="96" t="n"/>
      <x:c r="O77" s="11" t="n"/>
      <x:c r="P77" s="10" t="n"/>
      <x:c r="Q77" s="11" t="n"/>
      <x:c r="R77" s="10" t="n"/>
      <x:c r="S77" s="10" t="n"/>
      <x:c r="T77" s="10" t="n"/>
      <x:c r="U77" s="12" t="str">
        <x:f>IF($B77="","",IF(OR(AND($G77&lt;&gt;"оригинал",$G77&lt;&gt;"копия",$G77&lt;&gt;"скан",$G77&lt;&gt;"нет"),AND($J77&lt;&gt;"да",$J77&lt;&gt;"нет")),"НЕ ПРОВЕРЕНО: наличие или обязательность",IF(AND($N77="да",OR($O77="",$M77="")),"передан без следа: эксперт или дата",IF(AND($P77="да",$Q77=""),"НЕ ПРОВЕРЕНО: дата запроса",IF($B77="","",IF(AND($J77="да",$G77="нет",$P77&lt;&gt;"да"),"дыра: обязательного документа нет, запрос не направлен",IF(AND($G77="нет",$P77="да",$R77&lt;&gt;"да"),"запрошен, не получен",IF(AND($G77="нет",$J77&lt;&gt;"да"),"отсутствует, на причину не влияет",IF(AND(OR($K77="да",$N77="да"),$M77=""),"передан без следа",IF(AND($K77="да",$L77=""),"передан без следа","в порядке"))))))))))</x:f>
      </x:c>
    </x:row>
    <x:row r="78">
      <x:c r="A78" s="95" t="str">
        <x:f>IF($B78="","",ROW()-6)</x:f>
      </x:c>
      <x:c r="B78" s="96" t="n"/>
      <x:c r="C78" s="96" t="n"/>
      <x:c r="D78" s="96" t="n"/>
      <x:c r="E78" s="97" t="n"/>
      <x:c r="F78" s="96" t="n"/>
      <x:c r="G78" s="96" t="n"/>
      <x:c r="H78" s="96" t="n"/>
      <x:c r="I78" s="96" t="n"/>
      <x:c r="J78" s="96" t="n"/>
      <x:c r="K78" s="96" t="n"/>
      <x:c r="L78" s="97" t="n"/>
      <x:c r="M78" s="96" t="n"/>
      <x:c r="N78" s="96" t="n"/>
      <x:c r="O78" s="11" t="n"/>
      <x:c r="P78" s="10" t="n"/>
      <x:c r="Q78" s="11" t="n"/>
      <x:c r="R78" s="10" t="n"/>
      <x:c r="S78" s="10" t="n"/>
      <x:c r="T78" s="10" t="n"/>
      <x:c r="U78" s="12" t="str">
        <x:f>IF($B78="","",IF(OR(AND($G78&lt;&gt;"оригинал",$G78&lt;&gt;"копия",$G78&lt;&gt;"скан",$G78&lt;&gt;"нет"),AND($J78&lt;&gt;"да",$J78&lt;&gt;"нет")),"НЕ ПРОВЕРЕНО: наличие или обязательность",IF(AND($N78="да",OR($O78="",$M78="")),"передан без следа: эксперт или дата",IF(AND($P78="да",$Q78=""),"НЕ ПРОВЕРЕНО: дата запроса",IF($B78="","",IF(AND($J78="да",$G78="нет",$P78&lt;&gt;"да"),"дыра: обязательного документа нет, запрос не направлен",IF(AND($G78="нет",$P78="да",$R78&lt;&gt;"да"),"запрошен, не получен",IF(AND($G78="нет",$J78&lt;&gt;"да"),"отсутствует, на причину не влияет",IF(AND(OR($K78="да",$N78="да"),$M78=""),"передан без следа",IF(AND($K78="да",$L78=""),"передан без следа","в порядке"))))))))))</x:f>
      </x:c>
    </x:row>
    <x:row r="79">
      <x:c r="A79" s="95" t="str">
        <x:f>IF($B79="","",ROW()-6)</x:f>
      </x:c>
      <x:c r="B79" s="96" t="n"/>
      <x:c r="C79" s="96" t="n"/>
      <x:c r="D79" s="96" t="n"/>
      <x:c r="E79" s="97" t="n"/>
      <x:c r="F79" s="96" t="n"/>
      <x:c r="G79" s="96" t="n"/>
      <x:c r="H79" s="96" t="n"/>
      <x:c r="I79" s="96" t="n"/>
      <x:c r="J79" s="96" t="n"/>
      <x:c r="K79" s="96" t="n"/>
      <x:c r="L79" s="97" t="n"/>
      <x:c r="M79" s="96" t="n"/>
      <x:c r="N79" s="96" t="n"/>
      <x:c r="O79" s="11" t="n"/>
      <x:c r="P79" s="10" t="n"/>
      <x:c r="Q79" s="11" t="n"/>
      <x:c r="R79" s="10" t="n"/>
      <x:c r="S79" s="10" t="n"/>
      <x:c r="T79" s="10" t="n"/>
      <x:c r="U79" s="12" t="str">
        <x:f>IF($B79="","",IF(OR(AND($G79&lt;&gt;"оригинал",$G79&lt;&gt;"копия",$G79&lt;&gt;"скан",$G79&lt;&gt;"нет"),AND($J79&lt;&gt;"да",$J79&lt;&gt;"нет")),"НЕ ПРОВЕРЕНО: наличие или обязательность",IF(AND($N79="да",OR($O79="",$M79="")),"передан без следа: эксперт или дата",IF(AND($P79="да",$Q79=""),"НЕ ПРОВЕРЕНО: дата запроса",IF($B79="","",IF(AND($J79="да",$G79="нет",$P79&lt;&gt;"да"),"дыра: обязательного документа нет, запрос не направлен",IF(AND($G79="нет",$P79="да",$R79&lt;&gt;"да"),"запрошен, не получен",IF(AND($G79="нет",$J79&lt;&gt;"да"),"отсутствует, на причину не влияет",IF(AND(OR($K79="да",$N79="да"),$M79=""),"передан без следа",IF(AND($K79="да",$L79=""),"передан без следа","в порядке"))))))))))</x:f>
      </x:c>
    </x:row>
    <x:row r="80">
      <x:c r="A80" s="95" t="str">
        <x:f>IF($B80="","",ROW()-6)</x:f>
      </x:c>
      <x:c r="B80" s="96" t="n"/>
      <x:c r="C80" s="96" t="n"/>
      <x:c r="D80" s="96" t="n"/>
      <x:c r="E80" s="97" t="n"/>
      <x:c r="F80" s="96" t="n"/>
      <x:c r="G80" s="96" t="n"/>
      <x:c r="H80" s="96" t="n"/>
      <x:c r="I80" s="96" t="n"/>
      <x:c r="J80" s="96" t="n"/>
      <x:c r="K80" s="96" t="n"/>
      <x:c r="L80" s="97" t="n"/>
      <x:c r="M80" s="96" t="n"/>
      <x:c r="N80" s="96" t="n"/>
      <x:c r="O80" s="11" t="n"/>
      <x:c r="P80" s="10" t="n"/>
      <x:c r="Q80" s="11" t="n"/>
      <x:c r="R80" s="10" t="n"/>
      <x:c r="S80" s="10" t="n"/>
      <x:c r="T80" s="10" t="n"/>
      <x:c r="U80" s="12" t="str">
        <x:f>IF($B80="","",IF(OR(AND($G80&lt;&gt;"оригинал",$G80&lt;&gt;"копия",$G80&lt;&gt;"скан",$G80&lt;&gt;"нет"),AND($J80&lt;&gt;"да",$J80&lt;&gt;"нет")),"НЕ ПРОВЕРЕНО: наличие или обязательность",IF(AND($N80="да",OR($O80="",$M80="")),"передан без следа: эксперт или дата",IF(AND($P80="да",$Q80=""),"НЕ ПРОВЕРЕНО: дата запроса",IF($B80="","",IF(AND($J80="да",$G80="нет",$P80&lt;&gt;"да"),"дыра: обязательного документа нет, запрос не направлен",IF(AND($G80="нет",$P80="да",$R80&lt;&gt;"да"),"запрошен, не получен",IF(AND($G80="нет",$J80&lt;&gt;"да"),"отсутствует, на причину не влияет",IF(AND(OR($K80="да",$N80="да"),$M80=""),"передан без следа",IF(AND($K80="да",$L80=""),"передан без следа","в порядке"))))))))))</x:f>
      </x:c>
    </x:row>
    <x:row r="81">
      <x:c r="A81" s="95" t="str">
        <x:f>IF($B81="","",ROW()-6)</x:f>
      </x:c>
      <x:c r="B81" s="96" t="n"/>
      <x:c r="C81" s="96" t="n"/>
      <x:c r="D81" s="96" t="n"/>
      <x:c r="E81" s="97" t="n"/>
      <x:c r="F81" s="96" t="n"/>
      <x:c r="G81" s="96" t="n"/>
      <x:c r="H81" s="96" t="n"/>
      <x:c r="I81" s="96" t="n"/>
      <x:c r="J81" s="96" t="n"/>
      <x:c r="K81" s="96" t="n"/>
      <x:c r="L81" s="97" t="n"/>
      <x:c r="M81" s="96" t="n"/>
      <x:c r="N81" s="96" t="n"/>
      <x:c r="O81" s="11" t="n"/>
      <x:c r="P81" s="10" t="n"/>
      <x:c r="Q81" s="11" t="n"/>
      <x:c r="R81" s="10" t="n"/>
      <x:c r="S81" s="10" t="n"/>
      <x:c r="T81" s="10" t="n"/>
      <x:c r="U81" s="12" t="str">
        <x:f>IF($B81="","",IF(OR(AND($G81&lt;&gt;"оригинал",$G81&lt;&gt;"копия",$G81&lt;&gt;"скан",$G81&lt;&gt;"нет"),AND($J81&lt;&gt;"да",$J81&lt;&gt;"нет")),"НЕ ПРОВЕРЕНО: наличие или обязательность",IF(AND($N81="да",OR($O81="",$M81="")),"передан без следа: эксперт или дата",IF(AND($P81="да",$Q81=""),"НЕ ПРОВЕРЕНО: дата запроса",IF($B81="","",IF(AND($J81="да",$G81="нет",$P81&lt;&gt;"да"),"дыра: обязательного документа нет, запрос не направлен",IF(AND($G81="нет",$P81="да",$R81&lt;&gt;"да"),"запрошен, не получен",IF(AND($G81="нет",$J81&lt;&gt;"да"),"отсутствует, на причину не влияет",IF(AND(OR($K81="да",$N81="да"),$M81=""),"передан без следа",IF(AND($K81="да",$L81=""),"передан без следа","в порядке"))))))))))</x:f>
      </x:c>
    </x:row>
    <x:row r="82">
      <x:c r="A82" s="95" t="str">
        <x:f>IF($B82="","",ROW()-6)</x:f>
      </x:c>
      <x:c r="B82" s="96" t="n"/>
      <x:c r="C82" s="96" t="n"/>
      <x:c r="D82" s="96" t="n"/>
      <x:c r="E82" s="97" t="n"/>
      <x:c r="F82" s="96" t="n"/>
      <x:c r="G82" s="96" t="n"/>
      <x:c r="H82" s="96" t="n"/>
      <x:c r="I82" s="96" t="n"/>
      <x:c r="J82" s="96" t="n"/>
      <x:c r="K82" s="96" t="n"/>
      <x:c r="L82" s="97" t="n"/>
      <x:c r="M82" s="96" t="n"/>
      <x:c r="N82" s="96" t="n"/>
      <x:c r="O82" s="11" t="n"/>
      <x:c r="P82" s="10" t="n"/>
      <x:c r="Q82" s="11" t="n"/>
      <x:c r="R82" s="10" t="n"/>
      <x:c r="S82" s="10" t="n"/>
      <x:c r="T82" s="10" t="n"/>
      <x:c r="U82" s="12" t="str">
        <x:f>IF($B82="","",IF(OR(AND($G82&lt;&gt;"оригинал",$G82&lt;&gt;"копия",$G82&lt;&gt;"скан",$G82&lt;&gt;"нет"),AND($J82&lt;&gt;"да",$J82&lt;&gt;"нет")),"НЕ ПРОВЕРЕНО: наличие или обязательность",IF(AND($N82="да",OR($O82="",$M82="")),"передан без следа: эксперт или дата",IF(AND($P82="да",$Q82=""),"НЕ ПРОВЕРЕНО: дата запроса",IF($B82="","",IF(AND($J82="да",$G82="нет",$P82&lt;&gt;"да"),"дыра: обязательного документа нет, запрос не направлен",IF(AND($G82="нет",$P82="да",$R82&lt;&gt;"да"),"запрошен, не получен",IF(AND($G82="нет",$J82&lt;&gt;"да"),"отсутствует, на причину не влияет",IF(AND(OR($K82="да",$N82="да"),$M82=""),"передан без следа",IF(AND($K82="да",$L82=""),"передан без следа","в порядке"))))))))))</x:f>
      </x:c>
    </x:row>
    <x:row r="83">
      <x:c r="A83" s="95" t="str">
        <x:f>IF($B83="","",ROW()-6)</x:f>
      </x:c>
      <x:c r="B83" s="96" t="n"/>
      <x:c r="C83" s="96" t="n"/>
      <x:c r="D83" s="96" t="n"/>
      <x:c r="E83" s="97" t="n"/>
      <x:c r="F83" s="96" t="n"/>
      <x:c r="G83" s="96" t="n"/>
      <x:c r="H83" s="96" t="n"/>
      <x:c r="I83" s="96" t="n"/>
      <x:c r="J83" s="96" t="n"/>
      <x:c r="K83" s="96" t="n"/>
      <x:c r="L83" s="97" t="n"/>
      <x:c r="M83" s="96" t="n"/>
      <x:c r="N83" s="96" t="n"/>
      <x:c r="O83" s="11" t="n"/>
      <x:c r="P83" s="10" t="n"/>
      <x:c r="Q83" s="11" t="n"/>
      <x:c r="R83" s="10" t="n"/>
      <x:c r="S83" s="10" t="n"/>
      <x:c r="T83" s="10" t="n"/>
      <x:c r="U83" s="12" t="str">
        <x:f>IF($B83="","",IF(OR(AND($G83&lt;&gt;"оригинал",$G83&lt;&gt;"копия",$G83&lt;&gt;"скан",$G83&lt;&gt;"нет"),AND($J83&lt;&gt;"да",$J83&lt;&gt;"нет")),"НЕ ПРОВЕРЕНО: наличие или обязательность",IF(AND($N83="да",OR($O83="",$M83="")),"передан без следа: эксперт или дата",IF(AND($P83="да",$Q83=""),"НЕ ПРОВЕРЕНО: дата запроса",IF($B83="","",IF(AND($J83="да",$G83="нет",$P83&lt;&gt;"да"),"дыра: обязательного документа нет, запрос не направлен",IF(AND($G83="нет",$P83="да",$R83&lt;&gt;"да"),"запрошен, не получен",IF(AND($G83="нет",$J83&lt;&gt;"да"),"отсутствует, на причину не влияет",IF(AND(OR($K83="да",$N83="да"),$M83=""),"передан без следа",IF(AND($K83="да",$L83=""),"передан без следа","в порядке"))))))))))</x:f>
      </x:c>
    </x:row>
    <x:row r="84">
      <x:c r="A84" s="95" t="str">
        <x:f>IF($B84="","",ROW()-6)</x:f>
      </x:c>
      <x:c r="B84" s="96" t="n"/>
      <x:c r="C84" s="96" t="n"/>
      <x:c r="D84" s="96" t="n"/>
      <x:c r="E84" s="97" t="n"/>
      <x:c r="F84" s="96" t="n"/>
      <x:c r="G84" s="96" t="n"/>
      <x:c r="H84" s="96" t="n"/>
      <x:c r="I84" s="96" t="n"/>
      <x:c r="J84" s="96" t="n"/>
      <x:c r="K84" s="96" t="n"/>
      <x:c r="L84" s="97" t="n"/>
      <x:c r="M84" s="96" t="n"/>
      <x:c r="N84" s="96" t="n"/>
      <x:c r="O84" s="11" t="n"/>
      <x:c r="P84" s="10" t="n"/>
      <x:c r="Q84" s="11" t="n"/>
      <x:c r="R84" s="10" t="n"/>
      <x:c r="S84" s="10" t="n"/>
      <x:c r="T84" s="10" t="n"/>
      <x:c r="U84" s="12" t="str">
        <x:f>IF($B84="","",IF(OR(AND($G84&lt;&gt;"оригинал",$G84&lt;&gt;"копия",$G84&lt;&gt;"скан",$G84&lt;&gt;"нет"),AND($J84&lt;&gt;"да",$J84&lt;&gt;"нет")),"НЕ ПРОВЕРЕНО: наличие или обязательность",IF(AND($N84="да",OR($O84="",$M84="")),"передан без следа: эксперт или дата",IF(AND($P84="да",$Q84=""),"НЕ ПРОВЕРЕНО: дата запроса",IF($B84="","",IF(AND($J84="да",$G84="нет",$P84&lt;&gt;"да"),"дыра: обязательного документа нет, запрос не направлен",IF(AND($G84="нет",$P84="да",$R84&lt;&gt;"да"),"запрошен, не получен",IF(AND($G84="нет",$J84&lt;&gt;"да"),"отсутствует, на причину не влияет",IF(AND(OR($K84="да",$N84="да"),$M84=""),"передан без следа",IF(AND($K84="да",$L84=""),"передан без следа","в порядке"))))))))))</x:f>
      </x:c>
    </x:row>
    <x:row r="85">
      <x:c r="A85" s="95" t="str">
        <x:f>IF($B85="","",ROW()-6)</x:f>
      </x:c>
      <x:c r="B85" s="96" t="n"/>
      <x:c r="C85" s="96" t="n"/>
      <x:c r="D85" s="96" t="n"/>
      <x:c r="E85" s="97" t="n"/>
      <x:c r="F85" s="96" t="n"/>
      <x:c r="G85" s="96" t="n"/>
      <x:c r="H85" s="96" t="n"/>
      <x:c r="I85" s="96" t="n"/>
      <x:c r="J85" s="96" t="n"/>
      <x:c r="K85" s="96" t="n"/>
      <x:c r="L85" s="97" t="n"/>
      <x:c r="M85" s="96" t="n"/>
      <x:c r="N85" s="96" t="n"/>
      <x:c r="O85" s="11" t="n"/>
      <x:c r="P85" s="10" t="n"/>
      <x:c r="Q85" s="11" t="n"/>
      <x:c r="R85" s="10" t="n"/>
      <x:c r="S85" s="10" t="n"/>
      <x:c r="T85" s="10" t="n"/>
      <x:c r="U85" s="12" t="str">
        <x:f>IF($B85="","",IF(OR(AND($G85&lt;&gt;"оригинал",$G85&lt;&gt;"копия",$G85&lt;&gt;"скан",$G85&lt;&gt;"нет"),AND($J85&lt;&gt;"да",$J85&lt;&gt;"нет")),"НЕ ПРОВЕРЕНО: наличие или обязательность",IF(AND($N85="да",OR($O85="",$M85="")),"передан без следа: эксперт или дата",IF(AND($P85="да",$Q85=""),"НЕ ПРОВЕРЕНО: дата запроса",IF($B85="","",IF(AND($J85="да",$G85="нет",$P85&lt;&gt;"да"),"дыра: обязательного документа нет, запрос не направлен",IF(AND($G85="нет",$P85="да",$R85&lt;&gt;"да"),"запрошен, не получен",IF(AND($G85="нет",$J85&lt;&gt;"да"),"отсутствует, на причину не влияет",IF(AND(OR($K85="да",$N85="да"),$M85=""),"передан без следа",IF(AND($K85="да",$L85=""),"передан без следа","в порядке"))))))))))</x:f>
      </x:c>
    </x:row>
    <x:row r="86">
      <x:c r="A86" s="95" t="str">
        <x:f>IF($B86="","",ROW()-6)</x:f>
      </x:c>
      <x:c r="B86" s="96" t="n"/>
      <x:c r="C86" s="96" t="n"/>
      <x:c r="D86" s="96" t="n"/>
      <x:c r="E86" s="97" t="n"/>
      <x:c r="F86" s="96" t="n"/>
      <x:c r="G86" s="96" t="n"/>
      <x:c r="H86" s="96" t="n"/>
      <x:c r="I86" s="96" t="n"/>
      <x:c r="J86" s="96" t="n"/>
      <x:c r="K86" s="96" t="n"/>
      <x:c r="L86" s="97" t="n"/>
      <x:c r="M86" s="96" t="n"/>
      <x:c r="N86" s="96" t="n"/>
      <x:c r="O86" s="11" t="n"/>
      <x:c r="P86" s="10" t="n"/>
      <x:c r="Q86" s="11" t="n"/>
      <x:c r="R86" s="10" t="n"/>
      <x:c r="S86" s="10" t="n"/>
      <x:c r="T86" s="10" t="n"/>
      <x:c r="U86" s="12" t="str">
        <x:f>IF($B86="","",IF(OR(AND($G86&lt;&gt;"оригинал",$G86&lt;&gt;"копия",$G86&lt;&gt;"скан",$G86&lt;&gt;"нет"),AND($J86&lt;&gt;"да",$J86&lt;&gt;"нет")),"НЕ ПРОВЕРЕНО: наличие или обязательность",IF(AND($N86="да",OR($O86="",$M86="")),"передан без следа: эксперт или дата",IF(AND($P86="да",$Q86=""),"НЕ ПРОВЕРЕНО: дата запроса",IF($B86="","",IF(AND($J86="да",$G86="нет",$P86&lt;&gt;"да"),"дыра: обязательного документа нет, запрос не направлен",IF(AND($G86="нет",$P86="да",$R86&lt;&gt;"да"),"запрошен, не получен",IF(AND($G86="нет",$J86&lt;&gt;"да"),"отсутствует, на причину не влияет",IF(AND(OR($K86="да",$N86="да"),$M86=""),"передан без следа",IF(AND($K86="да",$L86=""),"передан без следа","в порядке"))))))))))</x:f>
      </x:c>
    </x:row>
    <x:row r="87">
      <x:c r="A87" s="95" t="str">
        <x:f>IF($B87="","",ROW()-6)</x:f>
      </x:c>
      <x:c r="B87" s="96" t="n"/>
      <x:c r="C87" s="96" t="n"/>
      <x:c r="D87" s="96" t="n"/>
      <x:c r="E87" s="97" t="n"/>
      <x:c r="F87" s="96" t="n"/>
      <x:c r="G87" s="96" t="n"/>
      <x:c r="H87" s="96" t="n"/>
      <x:c r="I87" s="96" t="n"/>
      <x:c r="J87" s="96" t="n"/>
      <x:c r="K87" s="96" t="n"/>
      <x:c r="L87" s="97" t="n"/>
      <x:c r="M87" s="96" t="n"/>
      <x:c r="N87" s="96" t="n"/>
      <x:c r="O87" s="11" t="n"/>
      <x:c r="P87" s="10" t="n"/>
      <x:c r="Q87" s="11" t="n"/>
      <x:c r="R87" s="10" t="n"/>
      <x:c r="S87" s="10" t="n"/>
      <x:c r="T87" s="10" t="n"/>
      <x:c r="U87" s="12" t="str">
        <x:f>IF($B87="","",IF(OR(AND($G87&lt;&gt;"оригинал",$G87&lt;&gt;"копия",$G87&lt;&gt;"скан",$G87&lt;&gt;"нет"),AND($J87&lt;&gt;"да",$J87&lt;&gt;"нет")),"НЕ ПРОВЕРЕНО: наличие или обязательность",IF(AND($N87="да",OR($O87="",$M87="")),"передан без следа: эксперт или дата",IF(AND($P87="да",$Q87=""),"НЕ ПРОВЕРЕНО: дата запроса",IF($B87="","",IF(AND($J87="да",$G87="нет",$P87&lt;&gt;"да"),"дыра: обязательного документа нет, запрос не направлен",IF(AND($G87="нет",$P87="да",$R87&lt;&gt;"да"),"запрошен, не получен",IF(AND($G87="нет",$J87&lt;&gt;"да"),"отсутствует, на причину не влияет",IF(AND(OR($K87="да",$N87="да"),$M87=""),"передан без следа",IF(AND($K87="да",$L87=""),"передан без следа","в порядке"))))))))))</x:f>
      </x:c>
    </x:row>
    <x:row r="88">
      <x:c r="A88" s="95" t="str">
        <x:f>IF($B88="","",ROW()-6)</x:f>
      </x:c>
      <x:c r="B88" s="96" t="n"/>
      <x:c r="C88" s="96" t="n"/>
      <x:c r="D88" s="96" t="n"/>
      <x:c r="E88" s="97" t="n"/>
      <x:c r="F88" s="96" t="n"/>
      <x:c r="G88" s="96" t="n"/>
      <x:c r="H88" s="96" t="n"/>
      <x:c r="I88" s="96" t="n"/>
      <x:c r="J88" s="96" t="n"/>
      <x:c r="K88" s="96" t="n"/>
      <x:c r="L88" s="97" t="n"/>
      <x:c r="M88" s="96" t="n"/>
      <x:c r="N88" s="96" t="n"/>
      <x:c r="O88" s="11" t="n"/>
      <x:c r="P88" s="10" t="n"/>
      <x:c r="Q88" s="11" t="n"/>
      <x:c r="R88" s="10" t="n"/>
      <x:c r="S88" s="10" t="n"/>
      <x:c r="T88" s="10" t="n"/>
      <x:c r="U88" s="12" t="str">
        <x:f>IF($B88="","",IF(OR(AND($G88&lt;&gt;"оригинал",$G88&lt;&gt;"копия",$G88&lt;&gt;"скан",$G88&lt;&gt;"нет"),AND($J88&lt;&gt;"да",$J88&lt;&gt;"нет")),"НЕ ПРОВЕРЕНО: наличие или обязательность",IF(AND($N88="да",OR($O88="",$M88="")),"передан без следа: эксперт или дата",IF(AND($P88="да",$Q88=""),"НЕ ПРОВЕРЕНО: дата запроса",IF($B88="","",IF(AND($J88="да",$G88="нет",$P88&lt;&gt;"да"),"дыра: обязательного документа нет, запрос не направлен",IF(AND($G88="нет",$P88="да",$R88&lt;&gt;"да"),"запрошен, не получен",IF(AND($G88="нет",$J88&lt;&gt;"да"),"отсутствует, на причину не влияет",IF(AND(OR($K88="да",$N88="да"),$M88=""),"передан без следа",IF(AND($K88="да",$L88=""),"передан без следа","в порядке"))))))))))</x:f>
      </x:c>
    </x:row>
    <x:row r="89">
      <x:c r="A89" s="95" t="str">
        <x:f>IF($B89="","",ROW()-6)</x:f>
      </x:c>
      <x:c r="B89" s="96" t="n"/>
      <x:c r="C89" s="96" t="n"/>
      <x:c r="D89" s="96" t="n"/>
      <x:c r="E89" s="97" t="n"/>
      <x:c r="F89" s="96" t="n"/>
      <x:c r="G89" s="96" t="n"/>
      <x:c r="H89" s="96" t="n"/>
      <x:c r="I89" s="96" t="n"/>
      <x:c r="J89" s="96" t="n"/>
      <x:c r="K89" s="96" t="n"/>
      <x:c r="L89" s="97" t="n"/>
      <x:c r="M89" s="96" t="n"/>
      <x:c r="N89" s="96" t="n"/>
      <x:c r="O89" s="11" t="n"/>
      <x:c r="P89" s="10" t="n"/>
      <x:c r="Q89" s="11" t="n"/>
      <x:c r="R89" s="10" t="n"/>
      <x:c r="S89" s="10" t="n"/>
      <x:c r="T89" s="10" t="n"/>
      <x:c r="U89" s="12" t="str">
        <x:f>IF($B89="","",IF(OR(AND($G89&lt;&gt;"оригинал",$G89&lt;&gt;"копия",$G89&lt;&gt;"скан",$G89&lt;&gt;"нет"),AND($J89&lt;&gt;"да",$J89&lt;&gt;"нет")),"НЕ ПРОВЕРЕНО: наличие или обязательность",IF(AND($N89="да",OR($O89="",$M89="")),"передан без следа: эксперт или дата",IF(AND($P89="да",$Q89=""),"НЕ ПРОВЕРЕНО: дата запроса",IF($B89="","",IF(AND($J89="да",$G89="нет",$P89&lt;&gt;"да"),"дыра: обязательного документа нет, запрос не направлен",IF(AND($G89="нет",$P89="да",$R89&lt;&gt;"да"),"запрошен, не получен",IF(AND($G89="нет",$J89&lt;&gt;"да"),"отсутствует, на причину не влияет",IF(AND(OR($K89="да",$N89="да"),$M89=""),"передан без следа",IF(AND($K89="да",$L89=""),"передан без следа","в порядке"))))))))))</x:f>
      </x:c>
    </x:row>
    <x:row r="90">
      <x:c r="A90" s="95" t="str">
        <x:f>IF($B90="","",ROW()-6)</x:f>
      </x:c>
      <x:c r="B90" s="96" t="n"/>
      <x:c r="C90" s="96" t="n"/>
      <x:c r="D90" s="96" t="n"/>
      <x:c r="E90" s="97" t="n"/>
      <x:c r="F90" s="96" t="n"/>
      <x:c r="G90" s="96" t="n"/>
      <x:c r="H90" s="96" t="n"/>
      <x:c r="I90" s="96" t="n"/>
      <x:c r="J90" s="96" t="n"/>
      <x:c r="K90" s="96" t="n"/>
      <x:c r="L90" s="97" t="n"/>
      <x:c r="M90" s="96" t="n"/>
      <x:c r="N90" s="96" t="n"/>
      <x:c r="O90" s="11" t="n"/>
      <x:c r="P90" s="10" t="n"/>
      <x:c r="Q90" s="11" t="n"/>
      <x:c r="R90" s="10" t="n"/>
      <x:c r="S90" s="10" t="n"/>
      <x:c r="T90" s="10" t="n"/>
      <x:c r="U90" s="12" t="str">
        <x:f>IF($B90="","",IF(OR(AND($G90&lt;&gt;"оригинал",$G90&lt;&gt;"копия",$G90&lt;&gt;"скан",$G90&lt;&gt;"нет"),AND($J90&lt;&gt;"да",$J90&lt;&gt;"нет")),"НЕ ПРОВЕРЕНО: наличие или обязательность",IF(AND($N90="да",OR($O90="",$M90="")),"передан без следа: эксперт или дата",IF(AND($P90="да",$Q90=""),"НЕ ПРОВЕРЕНО: дата запроса",IF($B90="","",IF(AND($J90="да",$G90="нет",$P90&lt;&gt;"да"),"дыра: обязательного документа нет, запрос не направлен",IF(AND($G90="нет",$P90="да",$R90&lt;&gt;"да"),"запрошен, не получен",IF(AND($G90="нет",$J90&lt;&gt;"да"),"отсутствует, на причину не влияет",IF(AND(OR($K90="да",$N90="да"),$M90=""),"передан без следа",IF(AND($K90="да",$L90=""),"передан без следа","в порядке"))))))))))</x:f>
      </x:c>
    </x:row>
    <x:row r="91">
      <x:c r="A91" s="95" t="str">
        <x:f>IF($B91="","",ROW()-6)</x:f>
      </x:c>
      <x:c r="B91" s="96" t="n"/>
      <x:c r="C91" s="96" t="n"/>
      <x:c r="D91" s="96" t="n"/>
      <x:c r="E91" s="97" t="n"/>
      <x:c r="F91" s="96" t="n"/>
      <x:c r="G91" s="96" t="n"/>
      <x:c r="H91" s="96" t="n"/>
      <x:c r="I91" s="96" t="n"/>
      <x:c r="J91" s="96" t="n"/>
      <x:c r="K91" s="96" t="n"/>
      <x:c r="L91" s="97" t="n"/>
      <x:c r="M91" s="96" t="n"/>
      <x:c r="N91" s="96" t="n"/>
      <x:c r="O91" s="11" t="n"/>
      <x:c r="P91" s="10" t="n"/>
      <x:c r="Q91" s="11" t="n"/>
      <x:c r="R91" s="10" t="n"/>
      <x:c r="S91" s="10" t="n"/>
      <x:c r="T91" s="10" t="n"/>
      <x:c r="U91" s="12" t="str">
        <x:f>IF($B91="","",IF(OR(AND($G91&lt;&gt;"оригинал",$G91&lt;&gt;"копия",$G91&lt;&gt;"скан",$G91&lt;&gt;"нет"),AND($J91&lt;&gt;"да",$J91&lt;&gt;"нет")),"НЕ ПРОВЕРЕНО: наличие или обязательность",IF(AND($N91="да",OR($O91="",$M91="")),"передан без следа: эксперт или дата",IF(AND($P91="да",$Q91=""),"НЕ ПРОВЕРЕНО: дата запроса",IF($B91="","",IF(AND($J91="да",$G91="нет",$P91&lt;&gt;"да"),"дыра: обязательного документа нет, запрос не направлен",IF(AND($G91="нет",$P91="да",$R91&lt;&gt;"да"),"запрошен, не получен",IF(AND($G91="нет",$J91&lt;&gt;"да"),"отсутствует, на причину не влияет",IF(AND(OR($K91="да",$N91="да"),$M91=""),"передан без следа",IF(AND($K91="да",$L91=""),"передан без следа","в порядке"))))))))))</x:f>
      </x:c>
    </x:row>
    <x:row r="92">
      <x:c r="A92" s="95" t="str">
        <x:f>IF($B92="","",ROW()-6)</x:f>
      </x:c>
      <x:c r="B92" s="96" t="n"/>
      <x:c r="C92" s="96" t="n"/>
      <x:c r="D92" s="96" t="n"/>
      <x:c r="E92" s="97" t="n"/>
      <x:c r="F92" s="96" t="n"/>
      <x:c r="G92" s="96" t="n"/>
      <x:c r="H92" s="96" t="n"/>
      <x:c r="I92" s="96" t="n"/>
      <x:c r="J92" s="96" t="n"/>
      <x:c r="K92" s="96" t="n"/>
      <x:c r="L92" s="97" t="n"/>
      <x:c r="M92" s="96" t="n"/>
      <x:c r="N92" s="96" t="n"/>
      <x:c r="O92" s="11" t="n"/>
      <x:c r="P92" s="10" t="n"/>
      <x:c r="Q92" s="11" t="n"/>
      <x:c r="R92" s="10" t="n"/>
      <x:c r="S92" s="10" t="n"/>
      <x:c r="T92" s="10" t="n"/>
      <x:c r="U92" s="12" t="str">
        <x:f>IF($B92="","",IF(OR(AND($G92&lt;&gt;"оригинал",$G92&lt;&gt;"копия",$G92&lt;&gt;"скан",$G92&lt;&gt;"нет"),AND($J92&lt;&gt;"да",$J92&lt;&gt;"нет")),"НЕ ПРОВЕРЕНО: наличие или обязательность",IF(AND($N92="да",OR($O92="",$M92="")),"передан без следа: эксперт или дата",IF(AND($P92="да",$Q92=""),"НЕ ПРОВЕРЕНО: дата запроса",IF($B92="","",IF(AND($J92="да",$G92="нет",$P92&lt;&gt;"да"),"дыра: обязательного документа нет, запрос не направлен",IF(AND($G92="нет",$P92="да",$R92&lt;&gt;"да"),"запрошен, не получен",IF(AND($G92="нет",$J92&lt;&gt;"да"),"отсутствует, на причину не влияет",IF(AND(OR($K92="да",$N92="да"),$M92=""),"передан без следа",IF(AND($K92="да",$L92=""),"передан без следа","в порядке"))))))))))</x:f>
      </x:c>
    </x:row>
    <x:row r="93">
      <x:c r="A93" s="95" t="str">
        <x:f>IF($B93="","",ROW()-6)</x:f>
      </x:c>
      <x:c r="B93" s="96" t="n"/>
      <x:c r="C93" s="96" t="n"/>
      <x:c r="D93" s="96" t="n"/>
      <x:c r="E93" s="97" t="n"/>
      <x:c r="F93" s="96" t="n"/>
      <x:c r="G93" s="96" t="n"/>
      <x:c r="H93" s="96" t="n"/>
      <x:c r="I93" s="96" t="n"/>
      <x:c r="J93" s="96" t="n"/>
      <x:c r="K93" s="96" t="n"/>
      <x:c r="L93" s="97" t="n"/>
      <x:c r="M93" s="96" t="n"/>
      <x:c r="N93" s="96" t="n"/>
      <x:c r="O93" s="11" t="n"/>
      <x:c r="P93" s="10" t="n"/>
      <x:c r="Q93" s="11" t="n"/>
      <x:c r="R93" s="10" t="n"/>
      <x:c r="S93" s="10" t="n"/>
      <x:c r="T93" s="10" t="n"/>
      <x:c r="U93" s="12" t="str">
        <x:f>IF($B93="","",IF(OR(AND($G93&lt;&gt;"оригинал",$G93&lt;&gt;"копия",$G93&lt;&gt;"скан",$G93&lt;&gt;"нет"),AND($J93&lt;&gt;"да",$J93&lt;&gt;"нет")),"НЕ ПРОВЕРЕНО: наличие или обязательность",IF(AND($N93="да",OR($O93="",$M93="")),"передан без следа: эксперт или дата",IF(AND($P93="да",$Q93=""),"НЕ ПРОВЕРЕНО: дата запроса",IF($B93="","",IF(AND($J93="да",$G93="нет",$P93&lt;&gt;"да"),"дыра: обязательного документа нет, запрос не направлен",IF(AND($G93="нет",$P93="да",$R93&lt;&gt;"да"),"запрошен, не получен",IF(AND($G93="нет",$J93&lt;&gt;"да"),"отсутствует, на причину не влияет",IF(AND(OR($K93="да",$N93="да"),$M93=""),"передан без следа",IF(AND($K93="да",$L93=""),"передан без следа","в порядке"))))))))))</x:f>
      </x:c>
    </x:row>
    <x:row r="94">
      <x:c r="A94" s="95" t="str">
        <x:f>IF($B94="","",ROW()-6)</x:f>
      </x:c>
      <x:c r="B94" s="96" t="n"/>
      <x:c r="C94" s="96" t="n"/>
      <x:c r="D94" s="96" t="n"/>
      <x:c r="E94" s="97" t="n"/>
      <x:c r="F94" s="96" t="n"/>
      <x:c r="G94" s="96" t="n"/>
      <x:c r="H94" s="96" t="n"/>
      <x:c r="I94" s="96" t="n"/>
      <x:c r="J94" s="96" t="n"/>
      <x:c r="K94" s="96" t="n"/>
      <x:c r="L94" s="97" t="n"/>
      <x:c r="M94" s="96" t="n"/>
      <x:c r="N94" s="96" t="n"/>
      <x:c r="O94" s="11" t="n"/>
      <x:c r="P94" s="10" t="n"/>
      <x:c r="Q94" s="11" t="n"/>
      <x:c r="R94" s="10" t="n"/>
      <x:c r="S94" s="10" t="n"/>
      <x:c r="T94" s="10" t="n"/>
      <x:c r="U94" s="12" t="str">
        <x:f>IF($B94="","",IF(OR(AND($G94&lt;&gt;"оригинал",$G94&lt;&gt;"копия",$G94&lt;&gt;"скан",$G94&lt;&gt;"нет"),AND($J94&lt;&gt;"да",$J94&lt;&gt;"нет")),"НЕ ПРОВЕРЕНО: наличие или обязательность",IF(AND($N94="да",OR($O94="",$M94="")),"передан без следа: эксперт или дата",IF(AND($P94="да",$Q94=""),"НЕ ПРОВЕРЕНО: дата запроса",IF($B94="","",IF(AND($J94="да",$G94="нет",$P94&lt;&gt;"да"),"дыра: обязательного документа нет, запрос не направлен",IF(AND($G94="нет",$P94="да",$R94&lt;&gt;"да"),"запрошен, не получен",IF(AND($G94="нет",$J94&lt;&gt;"да"),"отсутствует, на причину не влияет",IF(AND(OR($K94="да",$N94="да"),$M94=""),"передан без следа",IF(AND($K94="да",$L94=""),"передан без следа","в порядке"))))))))))</x:f>
      </x:c>
    </x:row>
    <x:row r="95">
      <x:c r="A95" s="95" t="str">
        <x:f>IF($B95="","",ROW()-6)</x:f>
      </x:c>
      <x:c r="B95" s="96" t="n"/>
      <x:c r="C95" s="96" t="n"/>
      <x:c r="D95" s="96" t="n"/>
      <x:c r="E95" s="97" t="n"/>
      <x:c r="F95" s="96" t="n"/>
      <x:c r="G95" s="96" t="n"/>
      <x:c r="H95" s="96" t="n"/>
      <x:c r="I95" s="96" t="n"/>
      <x:c r="J95" s="96" t="n"/>
      <x:c r="K95" s="96" t="n"/>
      <x:c r="L95" s="97" t="n"/>
      <x:c r="M95" s="96" t="n"/>
      <x:c r="N95" s="96" t="n"/>
      <x:c r="O95" s="11" t="n"/>
      <x:c r="P95" s="10" t="n"/>
      <x:c r="Q95" s="11" t="n"/>
      <x:c r="R95" s="10" t="n"/>
      <x:c r="S95" s="10" t="n"/>
      <x:c r="T95" s="10" t="n"/>
      <x:c r="U95" s="12" t="str">
        <x:f>IF($B95="","",IF(OR(AND($G95&lt;&gt;"оригинал",$G95&lt;&gt;"копия",$G95&lt;&gt;"скан",$G95&lt;&gt;"нет"),AND($J95&lt;&gt;"да",$J95&lt;&gt;"нет")),"НЕ ПРОВЕРЕНО: наличие или обязательность",IF(AND($N95="да",OR($O95="",$M95="")),"передан без следа: эксперт или дата",IF(AND($P95="да",$Q95=""),"НЕ ПРОВЕРЕНО: дата запроса",IF($B95="","",IF(AND($J95="да",$G95="нет",$P95&lt;&gt;"да"),"дыра: обязательного документа нет, запрос не направлен",IF(AND($G95="нет",$P95="да",$R95&lt;&gt;"да"),"запрошен, не получен",IF(AND($G95="нет",$J95&lt;&gt;"да"),"отсутствует, на причину не влияет",IF(AND(OR($K95="да",$N95="да"),$M95=""),"передан без следа",IF(AND($K95="да",$L95=""),"передан без следа","в порядке"))))))))))</x:f>
      </x:c>
    </x:row>
    <x:row r="96">
      <x:c r="A96" s="95" t="str">
        <x:f>IF($B96="","",ROW()-6)</x:f>
      </x:c>
      <x:c r="B96" s="96" t="n"/>
      <x:c r="C96" s="96" t="n"/>
      <x:c r="D96" s="96" t="n"/>
      <x:c r="E96" s="97" t="n"/>
      <x:c r="F96" s="96" t="n"/>
      <x:c r="G96" s="96" t="n"/>
      <x:c r="H96" s="96" t="n"/>
      <x:c r="I96" s="96" t="n"/>
      <x:c r="J96" s="96" t="n"/>
      <x:c r="K96" s="96" t="n"/>
      <x:c r="L96" s="97" t="n"/>
      <x:c r="M96" s="96" t="n"/>
      <x:c r="N96" s="96" t="n"/>
      <x:c r="O96" s="11" t="n"/>
      <x:c r="P96" s="10" t="n"/>
      <x:c r="Q96" s="11" t="n"/>
      <x:c r="R96" s="10" t="n"/>
      <x:c r="S96" s="10" t="n"/>
      <x:c r="T96" s="10" t="n"/>
      <x:c r="U96" s="12" t="str">
        <x:f>IF($B96="","",IF(OR(AND($G96&lt;&gt;"оригинал",$G96&lt;&gt;"копия",$G96&lt;&gt;"скан",$G96&lt;&gt;"нет"),AND($J96&lt;&gt;"да",$J96&lt;&gt;"нет")),"НЕ ПРОВЕРЕНО: наличие или обязательность",IF(AND($N96="да",OR($O96="",$M96="")),"передан без следа: эксперт или дата",IF(AND($P96="да",$Q96=""),"НЕ ПРОВЕРЕНО: дата запроса",IF($B96="","",IF(AND($J96="да",$G96="нет",$P96&lt;&gt;"да"),"дыра: обязательного документа нет, запрос не направлен",IF(AND($G96="нет",$P96="да",$R96&lt;&gt;"да"),"запрошен, не получен",IF(AND($G96="нет",$J96&lt;&gt;"да"),"отсутствует, на причину не влияет",IF(AND(OR($K96="да",$N96="да"),$M96=""),"передан без следа",IF(AND($K96="да",$L96=""),"передан без следа","в порядке"))))))))))</x:f>
      </x:c>
    </x:row>
    <x:row r="97">
      <x:c r="A97" s="95" t="str">
        <x:f>IF($B97="","",ROW()-6)</x:f>
      </x:c>
      <x:c r="B97" s="96" t="n"/>
      <x:c r="C97" s="96" t="n"/>
      <x:c r="D97" s="96" t="n"/>
      <x:c r="E97" s="97" t="n"/>
      <x:c r="F97" s="96" t="n"/>
      <x:c r="G97" s="96" t="n"/>
      <x:c r="H97" s="96" t="n"/>
      <x:c r="I97" s="96" t="n"/>
      <x:c r="J97" s="96" t="n"/>
      <x:c r="K97" s="96" t="n"/>
      <x:c r="L97" s="97" t="n"/>
      <x:c r="M97" s="96" t="n"/>
      <x:c r="N97" s="96" t="n"/>
      <x:c r="O97" s="11" t="n"/>
      <x:c r="P97" s="10" t="n"/>
      <x:c r="Q97" s="11" t="n"/>
      <x:c r="R97" s="10" t="n"/>
      <x:c r="S97" s="10" t="n"/>
      <x:c r="T97" s="10" t="n"/>
      <x:c r="U97" s="12" t="str">
        <x:f>IF($B97="","",IF(OR(AND($G97&lt;&gt;"оригинал",$G97&lt;&gt;"копия",$G97&lt;&gt;"скан",$G97&lt;&gt;"нет"),AND($J97&lt;&gt;"да",$J97&lt;&gt;"нет")),"НЕ ПРОВЕРЕНО: наличие или обязательность",IF(AND($N97="да",OR($O97="",$M97="")),"передан без следа: эксперт или дата",IF(AND($P97="да",$Q97=""),"НЕ ПРОВЕРЕНО: дата запроса",IF($B97="","",IF(AND($J97="да",$G97="нет",$P97&lt;&gt;"да"),"дыра: обязательного документа нет, запрос не направлен",IF(AND($G97="нет",$P97="да",$R97&lt;&gt;"да"),"запрошен, не получен",IF(AND($G97="нет",$J97&lt;&gt;"да"),"отсутствует, на причину не влияет",IF(AND(OR($K97="да",$N97="да"),$M97=""),"передан без следа",IF(AND($K97="да",$L97=""),"передан без следа","в порядке"))))))))))</x:f>
      </x:c>
    </x:row>
    <x:row r="98">
      <x:c r="A98" s="95" t="str">
        <x:f>IF($B98="","",ROW()-6)</x:f>
      </x:c>
      <x:c r="B98" s="96" t="n"/>
      <x:c r="C98" s="96" t="n"/>
      <x:c r="D98" s="96" t="n"/>
      <x:c r="E98" s="97" t="n"/>
      <x:c r="F98" s="96" t="n"/>
      <x:c r="G98" s="96" t="n"/>
      <x:c r="H98" s="96" t="n"/>
      <x:c r="I98" s="96" t="n"/>
      <x:c r="J98" s="96" t="n"/>
      <x:c r="K98" s="96" t="n"/>
      <x:c r="L98" s="97" t="n"/>
      <x:c r="M98" s="96" t="n"/>
      <x:c r="N98" s="96" t="n"/>
      <x:c r="O98" s="11" t="n"/>
      <x:c r="P98" s="10" t="n"/>
      <x:c r="Q98" s="11" t="n"/>
      <x:c r="R98" s="10" t="n"/>
      <x:c r="S98" s="10" t="n"/>
      <x:c r="T98" s="10" t="n"/>
      <x:c r="U98" s="12" t="str">
        <x:f>IF($B98="","",IF(OR(AND($G98&lt;&gt;"оригинал",$G98&lt;&gt;"копия",$G98&lt;&gt;"скан",$G98&lt;&gt;"нет"),AND($J98&lt;&gt;"да",$J98&lt;&gt;"нет")),"НЕ ПРОВЕРЕНО: наличие или обязательность",IF(AND($N98="да",OR($O98="",$M98="")),"передан без следа: эксперт или дата",IF(AND($P98="да",$Q98=""),"НЕ ПРОВЕРЕНО: дата запроса",IF($B98="","",IF(AND($J98="да",$G98="нет",$P98&lt;&gt;"да"),"дыра: обязательного документа нет, запрос не направлен",IF(AND($G98="нет",$P98="да",$R98&lt;&gt;"да"),"запрошен, не получен",IF(AND($G98="нет",$J98&lt;&gt;"да"),"отсутствует, на причину не влияет",IF(AND(OR($K98="да",$N98="да"),$M98=""),"передан без следа",IF(AND($K98="да",$L98=""),"передан без следа","в порядке"))))))))))</x:f>
      </x:c>
    </x:row>
    <x:row r="99">
      <x:c r="A99" s="95" t="str">
        <x:f>IF($B99="","",ROW()-6)</x:f>
      </x:c>
      <x:c r="B99" s="96" t="n"/>
      <x:c r="C99" s="96" t="n"/>
      <x:c r="D99" s="96" t="n"/>
      <x:c r="E99" s="97" t="n"/>
      <x:c r="F99" s="96" t="n"/>
      <x:c r="G99" s="96" t="n"/>
      <x:c r="H99" s="96" t="n"/>
      <x:c r="I99" s="96" t="n"/>
      <x:c r="J99" s="96" t="n"/>
      <x:c r="K99" s="96" t="n"/>
      <x:c r="L99" s="97" t="n"/>
      <x:c r="M99" s="96" t="n"/>
      <x:c r="N99" s="96" t="n"/>
      <x:c r="O99" s="11" t="n"/>
      <x:c r="P99" s="10" t="n"/>
      <x:c r="Q99" s="11" t="n"/>
      <x:c r="R99" s="10" t="n"/>
      <x:c r="S99" s="10" t="n"/>
      <x:c r="T99" s="10" t="n"/>
      <x:c r="U99" s="12" t="str">
        <x:f>IF($B99="","",IF(OR(AND($G99&lt;&gt;"оригинал",$G99&lt;&gt;"копия",$G99&lt;&gt;"скан",$G99&lt;&gt;"нет"),AND($J99&lt;&gt;"да",$J99&lt;&gt;"нет")),"НЕ ПРОВЕРЕНО: наличие или обязательность",IF(AND($N99="да",OR($O99="",$M99="")),"передан без следа: эксперт или дата",IF(AND($P99="да",$Q99=""),"НЕ ПРОВЕРЕНО: дата запроса",IF($B99="","",IF(AND($J99="да",$G99="нет",$P99&lt;&gt;"да"),"дыра: обязательного документа нет, запрос не направлен",IF(AND($G99="нет",$P99="да",$R99&lt;&gt;"да"),"запрошен, не получен",IF(AND($G99="нет",$J99&lt;&gt;"да"),"отсутствует, на причину не влияет",IF(AND(OR($K99="да",$N99="да"),$M99=""),"передан без следа",IF(AND($K99="да",$L99=""),"передан без следа","в порядке"))))))))))</x:f>
      </x:c>
    </x:row>
    <x:row r="100">
      <x:c r="A100" s="95" t="str">
        <x:f>IF($B100="","",ROW()-6)</x:f>
      </x:c>
      <x:c r="B100" s="96" t="n"/>
      <x:c r="C100" s="96" t="n"/>
      <x:c r="D100" s="96" t="n"/>
      <x:c r="E100" s="97" t="n"/>
      <x:c r="F100" s="96" t="n"/>
      <x:c r="G100" s="96" t="n"/>
      <x:c r="H100" s="96" t="n"/>
      <x:c r="I100" s="96" t="n"/>
      <x:c r="J100" s="96" t="n"/>
      <x:c r="K100" s="96" t="n"/>
      <x:c r="L100" s="97" t="n"/>
      <x:c r="M100" s="96" t="n"/>
      <x:c r="N100" s="96" t="n"/>
      <x:c r="O100" s="11" t="n"/>
      <x:c r="P100" s="10" t="n"/>
      <x:c r="Q100" s="11" t="n"/>
      <x:c r="R100" s="10" t="n"/>
      <x:c r="S100" s="10" t="n"/>
      <x:c r="T100" s="10" t="n"/>
      <x:c r="U100" s="12" t="str">
        <x:f>IF($B100="","",IF(OR(AND($G100&lt;&gt;"оригинал",$G100&lt;&gt;"копия",$G100&lt;&gt;"скан",$G100&lt;&gt;"нет"),AND($J100&lt;&gt;"да",$J100&lt;&gt;"нет")),"НЕ ПРОВЕРЕНО: наличие или обязательность",IF(AND($N100="да",OR($O100="",$M100="")),"передан без следа: эксперт или дата",IF(AND($P100="да",$Q100=""),"НЕ ПРОВЕРЕНО: дата запроса",IF($B100="","",IF(AND($J100="да",$G100="нет",$P100&lt;&gt;"да"),"дыра: обязательного документа нет, запрос не направлен",IF(AND($G100="нет",$P100="да",$R100&lt;&gt;"да"),"запрошен, не получен",IF(AND($G100="нет",$J100&lt;&gt;"да"),"отсутствует, на причину не влияет",IF(AND(OR($K100="да",$N100="да"),$M100=""),"передан без следа",IF(AND($K100="да",$L100=""),"передан без следа","в порядке"))))))))))</x:f>
      </x:c>
    </x:row>
    <x:row r="101">
      <x:c r="A101" s="95" t="str">
        <x:f>IF($B101="","",ROW()-6)</x:f>
      </x:c>
      <x:c r="B101" s="96" t="n"/>
      <x:c r="C101" s="96" t="n"/>
      <x:c r="D101" s="96" t="n"/>
      <x:c r="E101" s="97" t="n"/>
      <x:c r="F101" s="96" t="n"/>
      <x:c r="G101" s="96" t="n"/>
      <x:c r="H101" s="96" t="n"/>
      <x:c r="I101" s="96" t="n"/>
      <x:c r="J101" s="96" t="n"/>
      <x:c r="K101" s="96" t="n"/>
      <x:c r="L101" s="97" t="n"/>
      <x:c r="M101" s="96" t="n"/>
      <x:c r="N101" s="96" t="n"/>
      <x:c r="O101" s="11" t="n"/>
      <x:c r="P101" s="10" t="n"/>
      <x:c r="Q101" s="11" t="n"/>
      <x:c r="R101" s="10" t="n"/>
      <x:c r="S101" s="10" t="n"/>
      <x:c r="T101" s="10" t="n"/>
      <x:c r="U101" s="12" t="str">
        <x:f>IF($B101="","",IF(OR(AND($G101&lt;&gt;"оригинал",$G101&lt;&gt;"копия",$G101&lt;&gt;"скан",$G101&lt;&gt;"нет"),AND($J101&lt;&gt;"да",$J101&lt;&gt;"нет")),"НЕ ПРОВЕРЕНО: наличие или обязательность",IF(AND($N101="да",OR($O101="",$M101="")),"передан без следа: эксперт или дата",IF(AND($P101="да",$Q101=""),"НЕ ПРОВЕРЕНО: дата запроса",IF($B101="","",IF(AND($J101="да",$G101="нет",$P101&lt;&gt;"да"),"дыра: обязательного документа нет, запрос не направлен",IF(AND($G101="нет",$P101="да",$R101&lt;&gt;"да"),"запрошен, не получен",IF(AND($G101="нет",$J101&lt;&gt;"да"),"отсутствует, на причину не влияет",IF(AND(OR($K101="да",$N101="да"),$M101=""),"передан без следа",IF(AND($K101="да",$L101=""),"передан без следа","в порядке"))))))))))</x:f>
      </x:c>
    </x:row>
    <x:row r="102">
      <x:c r="A102" s="95" t="str">
        <x:f>IF($B102="","",ROW()-6)</x:f>
      </x:c>
      <x:c r="B102" s="96" t="n"/>
      <x:c r="C102" s="96" t="n"/>
      <x:c r="D102" s="96" t="n"/>
      <x:c r="E102" s="97" t="n"/>
      <x:c r="F102" s="96" t="n"/>
      <x:c r="G102" s="96" t="n"/>
      <x:c r="H102" s="96" t="n"/>
      <x:c r="I102" s="96" t="n"/>
      <x:c r="J102" s="96" t="n"/>
      <x:c r="K102" s="96" t="n"/>
      <x:c r="L102" s="97" t="n"/>
      <x:c r="M102" s="96" t="n"/>
      <x:c r="N102" s="96" t="n"/>
      <x:c r="O102" s="11" t="n"/>
      <x:c r="P102" s="10" t="n"/>
      <x:c r="Q102" s="11" t="n"/>
      <x:c r="R102" s="10" t="n"/>
      <x:c r="S102" s="10" t="n"/>
      <x:c r="T102" s="10" t="n"/>
      <x:c r="U102" s="12" t="str">
        <x:f>IF($B102="","",IF(OR(AND($G102&lt;&gt;"оригинал",$G102&lt;&gt;"копия",$G102&lt;&gt;"скан",$G102&lt;&gt;"нет"),AND($J102&lt;&gt;"да",$J102&lt;&gt;"нет")),"НЕ ПРОВЕРЕНО: наличие или обязательность",IF(AND($N102="да",OR($O102="",$M102="")),"передан без следа: эксперт или дата",IF(AND($P102="да",$Q102=""),"НЕ ПРОВЕРЕНО: дата запроса",IF($B102="","",IF(AND($J102="да",$G102="нет",$P102&lt;&gt;"да"),"дыра: обязательного документа нет, запрос не направлен",IF(AND($G102="нет",$P102="да",$R102&lt;&gt;"да"),"запрошен, не получен",IF(AND($G102="нет",$J102&lt;&gt;"да"),"отсутствует, на причину не влияет",IF(AND(OR($K102="да",$N102="да"),$M102=""),"передан без следа",IF(AND($K102="да",$L102=""),"передан без следа","в порядке"))))))))))</x:f>
      </x:c>
    </x:row>
    <x:row r="103">
      <x:c r="A103" s="95" t="str">
        <x:f>IF($B103="","",ROW()-6)</x:f>
      </x:c>
      <x:c r="B103" s="96" t="n"/>
      <x:c r="C103" s="96" t="n"/>
      <x:c r="D103" s="96" t="n"/>
      <x:c r="E103" s="97" t="n"/>
      <x:c r="F103" s="96" t="n"/>
      <x:c r="G103" s="96" t="n"/>
      <x:c r="H103" s="96" t="n"/>
      <x:c r="I103" s="96" t="n"/>
      <x:c r="J103" s="96" t="n"/>
      <x:c r="K103" s="96" t="n"/>
      <x:c r="L103" s="97" t="n"/>
      <x:c r="M103" s="96" t="n"/>
      <x:c r="N103" s="96" t="n"/>
      <x:c r="O103" s="11" t="n"/>
      <x:c r="P103" s="10" t="n"/>
      <x:c r="Q103" s="11" t="n"/>
      <x:c r="R103" s="10" t="n"/>
      <x:c r="S103" s="10" t="n"/>
      <x:c r="T103" s="10" t="n"/>
      <x:c r="U103" s="12" t="str">
        <x:f>IF($B103="","",IF(OR(AND($G103&lt;&gt;"оригинал",$G103&lt;&gt;"копия",$G103&lt;&gt;"скан",$G103&lt;&gt;"нет"),AND($J103&lt;&gt;"да",$J103&lt;&gt;"нет")),"НЕ ПРОВЕРЕНО: наличие или обязательность",IF(AND($N103="да",OR($O103="",$M103="")),"передан без следа: эксперт или дата",IF(AND($P103="да",$Q103=""),"НЕ ПРОВЕРЕНО: дата запроса",IF($B103="","",IF(AND($J103="да",$G103="нет",$P103&lt;&gt;"да"),"дыра: обязательного документа нет, запрос не направлен",IF(AND($G103="нет",$P103="да",$R103&lt;&gt;"да"),"запрошен, не получен",IF(AND($G103="нет",$J103&lt;&gt;"да"),"отсутствует, на причину не влияет",IF(AND(OR($K103="да",$N103="да"),$M103=""),"передан без следа",IF(AND($K103="да",$L103=""),"передан без следа","в порядке"))))))))))</x:f>
      </x:c>
    </x:row>
    <x:row r="104">
      <x:c r="A104" s="95" t="str">
        <x:f>IF($B104="","",ROW()-6)</x:f>
      </x:c>
      <x:c r="B104" s="96" t="n"/>
      <x:c r="C104" s="96" t="n"/>
      <x:c r="D104" s="96" t="n"/>
      <x:c r="E104" s="97" t="n"/>
      <x:c r="F104" s="96" t="n"/>
      <x:c r="G104" s="96" t="n"/>
      <x:c r="H104" s="96" t="n"/>
      <x:c r="I104" s="96" t="n"/>
      <x:c r="J104" s="96" t="n"/>
      <x:c r="K104" s="96" t="n"/>
      <x:c r="L104" s="97" t="n"/>
      <x:c r="M104" s="96" t="n"/>
      <x:c r="N104" s="96" t="n"/>
      <x:c r="O104" s="11" t="n"/>
      <x:c r="P104" s="10" t="n"/>
      <x:c r="Q104" s="11" t="n"/>
      <x:c r="R104" s="10" t="n"/>
      <x:c r="S104" s="10" t="n"/>
      <x:c r="T104" s="10" t="n"/>
      <x:c r="U104" s="12" t="str">
        <x:f>IF($B104="","",IF(OR(AND($G104&lt;&gt;"оригинал",$G104&lt;&gt;"копия",$G104&lt;&gt;"скан",$G104&lt;&gt;"нет"),AND($J104&lt;&gt;"да",$J104&lt;&gt;"нет")),"НЕ ПРОВЕРЕНО: наличие или обязательность",IF(AND($N104="да",OR($O104="",$M104="")),"передан без следа: эксперт или дата",IF(AND($P104="да",$Q104=""),"НЕ ПРОВЕРЕНО: дата запроса",IF($B104="","",IF(AND($J104="да",$G104="нет",$P104&lt;&gt;"да"),"дыра: обязательного документа нет, запрос не направлен",IF(AND($G104="нет",$P104="да",$R104&lt;&gt;"да"),"запрошен, не получен",IF(AND($G104="нет",$J104&lt;&gt;"да"),"отсутствует, на причину не влияет",IF(AND(OR($K104="да",$N104="да"),$M104=""),"передан без следа",IF(AND($K104="да",$L104=""),"передан без следа","в порядке"))))))))))</x:f>
      </x:c>
    </x:row>
    <x:row r="105">
      <x:c r="A105" s="95" t="str">
        <x:f>IF($B105="","",ROW()-6)</x:f>
      </x:c>
      <x:c r="B105" s="96" t="n"/>
      <x:c r="C105" s="96" t="n"/>
      <x:c r="D105" s="96" t="n"/>
      <x:c r="E105" s="97" t="n"/>
      <x:c r="F105" s="96" t="n"/>
      <x:c r="G105" s="96" t="n"/>
      <x:c r="H105" s="96" t="n"/>
      <x:c r="I105" s="96" t="n"/>
      <x:c r="J105" s="96" t="n"/>
      <x:c r="K105" s="96" t="n"/>
      <x:c r="L105" s="97" t="n"/>
      <x:c r="M105" s="96" t="n"/>
      <x:c r="N105" s="96" t="n"/>
      <x:c r="O105" s="11" t="n"/>
      <x:c r="P105" s="10" t="n"/>
      <x:c r="Q105" s="11" t="n"/>
      <x:c r="R105" s="10" t="n"/>
      <x:c r="S105" s="10" t="n"/>
      <x:c r="T105" s="10" t="n"/>
      <x:c r="U105" s="12" t="str">
        <x:f>IF($B105="","",IF(OR(AND($G105&lt;&gt;"оригинал",$G105&lt;&gt;"копия",$G105&lt;&gt;"скан",$G105&lt;&gt;"нет"),AND($J105&lt;&gt;"да",$J105&lt;&gt;"нет")),"НЕ ПРОВЕРЕНО: наличие или обязательность",IF(AND($N105="да",OR($O105="",$M105="")),"передан без следа: эксперт или дата",IF(AND($P105="да",$Q105=""),"НЕ ПРОВЕРЕНО: дата запроса",IF($B105="","",IF(AND($J105="да",$G105="нет",$P105&lt;&gt;"да"),"дыра: обязательного документа нет, запрос не направлен",IF(AND($G105="нет",$P105="да",$R105&lt;&gt;"да"),"запрошен, не получен",IF(AND($G105="нет",$J105&lt;&gt;"да"),"отсутствует, на причину не влияет",IF(AND(OR($K105="да",$N105="да"),$M105=""),"передан без следа",IF(AND($K105="да",$L105=""),"передан без следа","в порядке"))))))))))</x:f>
      </x:c>
    </x:row>
    <x:row r="106">
      <x:c r="A106" s="95" t="str">
        <x:f>IF($B106="","",ROW()-6)</x:f>
      </x:c>
      <x:c r="B106" s="96" t="n"/>
      <x:c r="C106" s="96" t="n"/>
      <x:c r="D106" s="96" t="n"/>
      <x:c r="E106" s="97" t="n"/>
      <x:c r="F106" s="96" t="n"/>
      <x:c r="G106" s="96" t="n"/>
      <x:c r="H106" s="96" t="n"/>
      <x:c r="I106" s="96" t="n"/>
      <x:c r="J106" s="96" t="n"/>
      <x:c r="K106" s="96" t="n"/>
      <x:c r="L106" s="97" t="n"/>
      <x:c r="M106" s="96" t="n"/>
      <x:c r="N106" s="96" t="n"/>
      <x:c r="O106" s="11" t="n"/>
      <x:c r="P106" s="10" t="n"/>
      <x:c r="Q106" s="11" t="n"/>
      <x:c r="R106" s="10" t="n"/>
      <x:c r="S106" s="10" t="n"/>
      <x:c r="T106" s="10" t="n"/>
      <x:c r="U106" s="12" t="str">
        <x:f>IF($B106="","",IF(OR(AND($G106&lt;&gt;"оригинал",$G106&lt;&gt;"копия",$G106&lt;&gt;"скан",$G106&lt;&gt;"нет"),AND($J106&lt;&gt;"да",$J106&lt;&gt;"нет")),"НЕ ПРОВЕРЕНО: наличие или обязательность",IF(AND($N106="да",OR($O106="",$M106="")),"передан без следа: эксперт или дата",IF(AND($P106="да",$Q106=""),"НЕ ПРОВЕРЕНО: дата запроса",IF($B106="","",IF(AND($J106="да",$G106="нет",$P106&lt;&gt;"да"),"дыра: обязательного документа нет, запрос не направлен",IF(AND($G106="нет",$P106="да",$R106&lt;&gt;"да"),"запрошен, не получен",IF(AND($G106="нет",$J106&lt;&gt;"да"),"отсутствует, на причину не влияет",IF(AND(OR($K106="да",$N106="да"),$M106=""),"передан без следа",IF(AND($K106="да",$L106=""),"передан без следа","в порядке"))))))))))</x:f>
      </x:c>
    </x:row>
    <x:row r="107">
      <x:c r="A107" s="95" t="str">
        <x:f>IF($B107="","",ROW()-6)</x:f>
      </x:c>
      <x:c r="B107" s="96" t="n"/>
      <x:c r="C107" s="96" t="n"/>
      <x:c r="D107" s="96" t="n"/>
      <x:c r="E107" s="97" t="n"/>
      <x:c r="F107" s="96" t="n"/>
      <x:c r="G107" s="96" t="n"/>
      <x:c r="H107" s="96" t="n"/>
      <x:c r="I107" s="96" t="n"/>
      <x:c r="J107" s="96" t="n"/>
      <x:c r="K107" s="96" t="n"/>
      <x:c r="L107" s="97" t="n"/>
      <x:c r="M107" s="96" t="n"/>
      <x:c r="N107" s="96" t="n"/>
      <x:c r="O107" s="11" t="n"/>
      <x:c r="P107" s="10" t="n"/>
      <x:c r="Q107" s="11" t="n"/>
      <x:c r="R107" s="10" t="n"/>
      <x:c r="S107" s="10" t="n"/>
      <x:c r="T107" s="10" t="n"/>
      <x:c r="U107" s="12" t="str">
        <x:f>IF($B107="","",IF(OR(AND($G107&lt;&gt;"оригинал",$G107&lt;&gt;"копия",$G107&lt;&gt;"скан",$G107&lt;&gt;"нет"),AND($J107&lt;&gt;"да",$J107&lt;&gt;"нет")),"НЕ ПРОВЕРЕНО: наличие или обязательность",IF(AND($N107="да",OR($O107="",$M107="")),"передан без следа: эксперт или дата",IF(AND($P107="да",$Q107=""),"НЕ ПРОВЕРЕНО: дата запроса",IF($B107="","",IF(AND($J107="да",$G107="нет",$P107&lt;&gt;"да"),"дыра: обязательного документа нет, запрос не направлен",IF(AND($G107="нет",$P107="да",$R107&lt;&gt;"да"),"запрошен, не получен",IF(AND($G107="нет",$J107&lt;&gt;"да"),"отсутствует, на причину не влияет",IF(AND(OR($K107="да",$N107="да"),$M107=""),"передан без следа",IF(AND($K107="да",$L107=""),"передан без следа","в порядке"))))))))))</x:f>
      </x:c>
    </x:row>
    <x:row r="108">
      <x:c r="A108" s="95" t="str">
        <x:f>IF($B108="","",ROW()-6)</x:f>
      </x:c>
      <x:c r="B108" s="96" t="n"/>
      <x:c r="C108" s="96" t="n"/>
      <x:c r="D108" s="96" t="n"/>
      <x:c r="E108" s="97" t="n"/>
      <x:c r="F108" s="96" t="n"/>
      <x:c r="G108" s="96" t="n"/>
      <x:c r="H108" s="96" t="n"/>
      <x:c r="I108" s="96" t="n"/>
      <x:c r="J108" s="96" t="n"/>
      <x:c r="K108" s="96" t="n"/>
      <x:c r="L108" s="97" t="n"/>
      <x:c r="M108" s="96" t="n"/>
      <x:c r="N108" s="96" t="n"/>
      <x:c r="O108" s="11" t="n"/>
      <x:c r="P108" s="10" t="n"/>
      <x:c r="Q108" s="11" t="n"/>
      <x:c r="R108" s="10" t="n"/>
      <x:c r="S108" s="10" t="n"/>
      <x:c r="T108" s="10" t="n"/>
      <x:c r="U108" s="12" t="str">
        <x:f>IF($B108="","",IF(OR(AND($G108&lt;&gt;"оригинал",$G108&lt;&gt;"копия",$G108&lt;&gt;"скан",$G108&lt;&gt;"нет"),AND($J108&lt;&gt;"да",$J108&lt;&gt;"нет")),"НЕ ПРОВЕРЕНО: наличие или обязательность",IF(AND($N108="да",OR($O108="",$M108="")),"передан без следа: эксперт или дата",IF(AND($P108="да",$Q108=""),"НЕ ПРОВЕРЕНО: дата запроса",IF($B108="","",IF(AND($J108="да",$G108="нет",$P108&lt;&gt;"да"),"дыра: обязательного документа нет, запрос не направлен",IF(AND($G108="нет",$P108="да",$R108&lt;&gt;"да"),"запрошен, не получен",IF(AND($G108="нет",$J108&lt;&gt;"да"),"отсутствует, на причину не влияет",IF(AND(OR($K108="да",$N108="да"),$M108=""),"передан без следа",IF(AND($K108="да",$L108=""),"передан без следа","в порядке"))))))))))</x:f>
      </x:c>
    </x:row>
    <x:row r="109">
      <x:c r="A109" s="95" t="str">
        <x:f>IF($B109="","",ROW()-6)</x:f>
      </x:c>
      <x:c r="B109" s="96" t="n"/>
      <x:c r="C109" s="96" t="n"/>
      <x:c r="D109" s="96" t="n"/>
      <x:c r="E109" s="97" t="n"/>
      <x:c r="F109" s="96" t="n"/>
      <x:c r="G109" s="96" t="n"/>
      <x:c r="H109" s="96" t="n"/>
      <x:c r="I109" s="96" t="n"/>
      <x:c r="J109" s="96" t="n"/>
      <x:c r="K109" s="96" t="n"/>
      <x:c r="L109" s="97" t="n"/>
      <x:c r="M109" s="96" t="n"/>
      <x:c r="N109" s="96" t="n"/>
      <x:c r="O109" s="11" t="n"/>
      <x:c r="P109" s="10" t="n"/>
      <x:c r="Q109" s="11" t="n"/>
      <x:c r="R109" s="10" t="n"/>
      <x:c r="S109" s="10" t="n"/>
      <x:c r="T109" s="10" t="n"/>
      <x:c r="U109" s="12" t="str">
        <x:f>IF($B109="","",IF(OR(AND($G109&lt;&gt;"оригинал",$G109&lt;&gt;"копия",$G109&lt;&gt;"скан",$G109&lt;&gt;"нет"),AND($J109&lt;&gt;"да",$J109&lt;&gt;"нет")),"НЕ ПРОВЕРЕНО: наличие или обязательность",IF(AND($N109="да",OR($O109="",$M109="")),"передан без следа: эксперт или дата",IF(AND($P109="да",$Q109=""),"НЕ ПРОВЕРЕНО: дата запроса",IF($B109="","",IF(AND($J109="да",$G109="нет",$P109&lt;&gt;"да"),"дыра: обязательного документа нет, запрос не направлен",IF(AND($G109="нет",$P109="да",$R109&lt;&gt;"да"),"запрошен, не получен",IF(AND($G109="нет",$J109&lt;&gt;"да"),"отсутствует, на причину не влияет",IF(AND(OR($K109="да",$N109="да"),$M109=""),"передан без следа",IF(AND($K109="да",$L109=""),"передан без следа","в порядке"))))))))))</x:f>
      </x:c>
    </x:row>
    <x:row r="110">
      <x:c r="A110" s="95" t="str">
        <x:f>IF($B110="","",ROW()-6)</x:f>
      </x:c>
      <x:c r="B110" s="96" t="n"/>
      <x:c r="C110" s="96" t="n"/>
      <x:c r="D110" s="96" t="n"/>
      <x:c r="E110" s="97" t="n"/>
      <x:c r="F110" s="96" t="n"/>
      <x:c r="G110" s="96" t="n"/>
      <x:c r="H110" s="96" t="n"/>
      <x:c r="I110" s="96" t="n"/>
      <x:c r="J110" s="96" t="n"/>
      <x:c r="K110" s="96" t="n"/>
      <x:c r="L110" s="97" t="n"/>
      <x:c r="M110" s="96" t="n"/>
      <x:c r="N110" s="96" t="n"/>
      <x:c r="O110" s="11" t="n"/>
      <x:c r="P110" s="10" t="n"/>
      <x:c r="Q110" s="11" t="n"/>
      <x:c r="R110" s="10" t="n"/>
      <x:c r="S110" s="10" t="n"/>
      <x:c r="T110" s="10" t="n"/>
      <x:c r="U110" s="12" t="str">
        <x:f>IF($B110="","",IF(OR(AND($G110&lt;&gt;"оригинал",$G110&lt;&gt;"копия",$G110&lt;&gt;"скан",$G110&lt;&gt;"нет"),AND($J110&lt;&gt;"да",$J110&lt;&gt;"нет")),"НЕ ПРОВЕРЕНО: наличие или обязательность",IF(AND($N110="да",OR($O110="",$M110="")),"передан без следа: эксперт или дата",IF(AND($P110="да",$Q110=""),"НЕ ПРОВЕРЕНО: дата запроса",IF($B110="","",IF(AND($J110="да",$G110="нет",$P110&lt;&gt;"да"),"дыра: обязательного документа нет, запрос не направлен",IF(AND($G110="нет",$P110="да",$R110&lt;&gt;"да"),"запрошен, не получен",IF(AND($G110="нет",$J110&lt;&gt;"да"),"отсутствует, на причину не влияет",IF(AND(OR($K110="да",$N110="да"),$M110=""),"передан без следа",IF(AND($K110="да",$L110=""),"передан без следа","в порядке"))))))))))</x:f>
      </x:c>
    </x:row>
    <x:row r="111">
      <x:c r="A111" s="95" t="str">
        <x:f>IF($B111="","",ROW()-6)</x:f>
      </x:c>
      <x:c r="B111" s="96" t="n"/>
      <x:c r="C111" s="96" t="n"/>
      <x:c r="D111" s="96" t="n"/>
      <x:c r="E111" s="97" t="n"/>
      <x:c r="F111" s="96" t="n"/>
      <x:c r="G111" s="96" t="n"/>
      <x:c r="H111" s="96" t="n"/>
      <x:c r="I111" s="96" t="n"/>
      <x:c r="J111" s="96" t="n"/>
      <x:c r="K111" s="96" t="n"/>
      <x:c r="L111" s="97" t="n"/>
      <x:c r="M111" s="96" t="n"/>
      <x:c r="N111" s="96" t="n"/>
      <x:c r="O111" s="11" t="n"/>
      <x:c r="P111" s="10" t="n"/>
      <x:c r="Q111" s="11" t="n"/>
      <x:c r="R111" s="10" t="n"/>
      <x:c r="S111" s="10" t="n"/>
      <x:c r="T111" s="10" t="n"/>
      <x:c r="U111" s="12" t="str">
        <x:f>IF($B111="","",IF(OR(AND($G111&lt;&gt;"оригинал",$G111&lt;&gt;"копия",$G111&lt;&gt;"скан",$G111&lt;&gt;"нет"),AND($J111&lt;&gt;"да",$J111&lt;&gt;"нет")),"НЕ ПРОВЕРЕНО: наличие или обязательность",IF(AND($N111="да",OR($O111="",$M111="")),"передан без следа: эксперт или дата",IF(AND($P111="да",$Q111=""),"НЕ ПРОВЕРЕНО: дата запроса",IF($B111="","",IF(AND($J111="да",$G111="нет",$P111&lt;&gt;"да"),"дыра: обязательного документа нет, запрос не направлен",IF(AND($G111="нет",$P111="да",$R111&lt;&gt;"да"),"запрошен, не получен",IF(AND($G111="нет",$J111&lt;&gt;"да"),"отсутствует, на причину не влияет",IF(AND(OR($K111="да",$N111="да"),$M111=""),"передан без следа",IF(AND($K111="да",$L111=""),"передан без следа","в порядке"))))))))))</x:f>
      </x:c>
    </x:row>
    <x:row r="112">
      <x:c r="A112" s="95" t="str">
        <x:f>IF($B112="","",ROW()-6)</x:f>
      </x:c>
      <x:c r="B112" s="96" t="n"/>
      <x:c r="C112" s="96" t="n"/>
      <x:c r="D112" s="96" t="n"/>
      <x:c r="E112" s="97" t="n"/>
      <x:c r="F112" s="96" t="n"/>
      <x:c r="G112" s="96" t="n"/>
      <x:c r="H112" s="96" t="n"/>
      <x:c r="I112" s="96" t="n"/>
      <x:c r="J112" s="96" t="n"/>
      <x:c r="K112" s="96" t="n"/>
      <x:c r="L112" s="97" t="n"/>
      <x:c r="M112" s="96" t="n"/>
      <x:c r="N112" s="96" t="n"/>
      <x:c r="O112" s="11" t="n"/>
      <x:c r="P112" s="10" t="n"/>
      <x:c r="Q112" s="11" t="n"/>
      <x:c r="R112" s="10" t="n"/>
      <x:c r="S112" s="10" t="n"/>
      <x:c r="T112" s="10" t="n"/>
      <x:c r="U112" s="12" t="str">
        <x:f>IF($B112="","",IF(OR(AND($G112&lt;&gt;"оригинал",$G112&lt;&gt;"копия",$G112&lt;&gt;"скан",$G112&lt;&gt;"нет"),AND($J112&lt;&gt;"да",$J112&lt;&gt;"нет")),"НЕ ПРОВЕРЕНО: наличие или обязательность",IF(AND($N112="да",OR($O112="",$M112="")),"передан без следа: эксперт или дата",IF(AND($P112="да",$Q112=""),"НЕ ПРОВЕРЕНО: дата запроса",IF($B112="","",IF(AND($J112="да",$G112="нет",$P112&lt;&gt;"да"),"дыра: обязательного документа нет, запрос не направлен",IF(AND($G112="нет",$P112="да",$R112&lt;&gt;"да"),"запрошен, не получен",IF(AND($G112="нет",$J112&lt;&gt;"да"),"отсутствует, на причину не влияет",IF(AND(OR($K112="да",$N112="да"),$M112=""),"передан без следа",IF(AND($K112="да",$L112=""),"передан без следа","в порядке"))))))))))</x:f>
      </x:c>
    </x:row>
    <x:row r="113">
      <x:c r="A113" s="95" t="str">
        <x:f>IF($B113="","",ROW()-6)</x:f>
      </x:c>
      <x:c r="B113" s="96" t="n"/>
      <x:c r="C113" s="96" t="n"/>
      <x:c r="D113" s="96" t="n"/>
      <x:c r="E113" s="97" t="n"/>
      <x:c r="F113" s="96" t="n"/>
      <x:c r="G113" s="96" t="n"/>
      <x:c r="H113" s="96" t="n"/>
      <x:c r="I113" s="96" t="n"/>
      <x:c r="J113" s="96" t="n"/>
      <x:c r="K113" s="96" t="n"/>
      <x:c r="L113" s="97" t="n"/>
      <x:c r="M113" s="96" t="n"/>
      <x:c r="N113" s="96" t="n"/>
      <x:c r="O113" s="11" t="n"/>
      <x:c r="P113" s="10" t="n"/>
      <x:c r="Q113" s="11" t="n"/>
      <x:c r="R113" s="10" t="n"/>
      <x:c r="S113" s="10" t="n"/>
      <x:c r="T113" s="10" t="n"/>
      <x:c r="U113" s="12" t="str">
        <x:f>IF($B113="","",IF(OR(AND($G113&lt;&gt;"оригинал",$G113&lt;&gt;"копия",$G113&lt;&gt;"скан",$G113&lt;&gt;"нет"),AND($J113&lt;&gt;"да",$J113&lt;&gt;"нет")),"НЕ ПРОВЕРЕНО: наличие или обязательность",IF(AND($N113="да",OR($O113="",$M113="")),"передан без следа: эксперт или дата",IF(AND($P113="да",$Q113=""),"НЕ ПРОВЕРЕНО: дата запроса",IF($B113="","",IF(AND($J113="да",$G113="нет",$P113&lt;&gt;"да"),"дыра: обязательного документа нет, запрос не направлен",IF(AND($G113="нет",$P113="да",$R113&lt;&gt;"да"),"запрошен, не получен",IF(AND($G113="нет",$J113&lt;&gt;"да"),"отсутствует, на причину не влияет",IF(AND(OR($K113="да",$N113="да"),$M113=""),"передан без следа",IF(AND($K113="да",$L113=""),"передан без следа","в порядке"))))))))))</x:f>
      </x:c>
    </x:row>
    <x:row r="114">
      <x:c r="A114" s="95" t="str">
        <x:f>IF($B114="","",ROW()-6)</x:f>
      </x:c>
      <x:c r="B114" s="96" t="n"/>
      <x:c r="C114" s="96" t="n"/>
      <x:c r="D114" s="96" t="n"/>
      <x:c r="E114" s="97" t="n"/>
      <x:c r="F114" s="96" t="n"/>
      <x:c r="G114" s="96" t="n"/>
      <x:c r="H114" s="96" t="n"/>
      <x:c r="I114" s="96" t="n"/>
      <x:c r="J114" s="96" t="n"/>
      <x:c r="K114" s="96" t="n"/>
      <x:c r="L114" s="97" t="n"/>
      <x:c r="M114" s="96" t="n"/>
      <x:c r="N114" s="96" t="n"/>
      <x:c r="O114" s="11" t="n"/>
      <x:c r="P114" s="10" t="n"/>
      <x:c r="Q114" s="11" t="n"/>
      <x:c r="R114" s="10" t="n"/>
      <x:c r="S114" s="10" t="n"/>
      <x:c r="T114" s="10" t="n"/>
      <x:c r="U114" s="12" t="str">
        <x:f>IF($B114="","",IF(OR(AND($G114&lt;&gt;"оригинал",$G114&lt;&gt;"копия",$G114&lt;&gt;"скан",$G114&lt;&gt;"нет"),AND($J114&lt;&gt;"да",$J114&lt;&gt;"нет")),"НЕ ПРОВЕРЕНО: наличие или обязательность",IF(AND($N114="да",OR($O114="",$M114="")),"передан без следа: эксперт или дата",IF(AND($P114="да",$Q114=""),"НЕ ПРОВЕРЕНО: дата запроса",IF($B114="","",IF(AND($J114="да",$G114="нет",$P114&lt;&gt;"да"),"дыра: обязательного документа нет, запрос не направлен",IF(AND($G114="нет",$P114="да",$R114&lt;&gt;"да"),"запрошен, не получен",IF(AND($G114="нет",$J114&lt;&gt;"да"),"отсутствует, на причину не влияет",IF(AND(OR($K114="да",$N114="да"),$M114=""),"передан без следа",IF(AND($K114="да",$L114=""),"передан без следа","в порядке"))))))))))</x:f>
      </x:c>
    </x:row>
    <x:row r="115">
      <x:c r="A115" s="95" t="str">
        <x:f>IF($B115="","",ROW()-6)</x:f>
      </x:c>
      <x:c r="B115" s="96" t="n"/>
      <x:c r="C115" s="96" t="n"/>
      <x:c r="D115" s="96" t="n"/>
      <x:c r="E115" s="97" t="n"/>
      <x:c r="F115" s="96" t="n"/>
      <x:c r="G115" s="96" t="n"/>
      <x:c r="H115" s="96" t="n"/>
      <x:c r="I115" s="96" t="n"/>
      <x:c r="J115" s="96" t="n"/>
      <x:c r="K115" s="96" t="n"/>
      <x:c r="L115" s="97" t="n"/>
      <x:c r="M115" s="96" t="n"/>
      <x:c r="N115" s="96" t="n"/>
      <x:c r="O115" s="11" t="n"/>
      <x:c r="P115" s="10" t="n"/>
      <x:c r="Q115" s="11" t="n"/>
      <x:c r="R115" s="10" t="n"/>
      <x:c r="S115" s="10" t="n"/>
      <x:c r="T115" s="10" t="n"/>
      <x:c r="U115" s="12" t="str">
        <x:f>IF($B115="","",IF(OR(AND($G115&lt;&gt;"оригинал",$G115&lt;&gt;"копия",$G115&lt;&gt;"скан",$G115&lt;&gt;"нет"),AND($J115&lt;&gt;"да",$J115&lt;&gt;"нет")),"НЕ ПРОВЕРЕНО: наличие или обязательность",IF(AND($N115="да",OR($O115="",$M115="")),"передан без следа: эксперт или дата",IF(AND($P115="да",$Q115=""),"НЕ ПРОВЕРЕНО: дата запроса",IF($B115="","",IF(AND($J115="да",$G115="нет",$P115&lt;&gt;"да"),"дыра: обязательного документа нет, запрос не направлен",IF(AND($G115="нет",$P115="да",$R115&lt;&gt;"да"),"запрошен, не получен",IF(AND($G115="нет",$J115&lt;&gt;"да"),"отсутствует, на причину не влияет",IF(AND(OR($K115="да",$N115="да"),$M115=""),"передан без следа",IF(AND($K115="да",$L115=""),"передан без следа","в порядке"))))))))))</x:f>
      </x:c>
    </x:row>
    <x:row r="116">
      <x:c r="A116" s="95" t="str">
        <x:f>IF($B116="","",ROW()-6)</x:f>
      </x:c>
      <x:c r="B116" s="96" t="n"/>
      <x:c r="C116" s="96" t="n"/>
      <x:c r="D116" s="96" t="n"/>
      <x:c r="E116" s="97" t="n"/>
      <x:c r="F116" s="96" t="n"/>
      <x:c r="G116" s="96" t="n"/>
      <x:c r="H116" s="96" t="n"/>
      <x:c r="I116" s="96" t="n"/>
      <x:c r="J116" s="96" t="n"/>
      <x:c r="K116" s="96" t="n"/>
      <x:c r="L116" s="97" t="n"/>
      <x:c r="M116" s="96" t="n"/>
      <x:c r="N116" s="96" t="n"/>
      <x:c r="O116" s="11" t="n"/>
      <x:c r="P116" s="10" t="n"/>
      <x:c r="Q116" s="11" t="n"/>
      <x:c r="R116" s="10" t="n"/>
      <x:c r="S116" s="10" t="n"/>
      <x:c r="T116" s="10" t="n"/>
      <x:c r="U116" s="12" t="str">
        <x:f>IF($B116="","",IF(OR(AND($G116&lt;&gt;"оригинал",$G116&lt;&gt;"копия",$G116&lt;&gt;"скан",$G116&lt;&gt;"нет"),AND($J116&lt;&gt;"да",$J116&lt;&gt;"нет")),"НЕ ПРОВЕРЕНО: наличие или обязательность",IF(AND($N116="да",OR($O116="",$M116="")),"передан без следа: эксперт или дата",IF(AND($P116="да",$Q116=""),"НЕ ПРОВЕРЕНО: дата запроса",IF($B116="","",IF(AND($J116="да",$G116="нет",$P116&lt;&gt;"да"),"дыра: обязательного документа нет, запрос не направлен",IF(AND($G116="нет",$P116="да",$R116&lt;&gt;"да"),"запрошен, не получен",IF(AND($G116="нет",$J116&lt;&gt;"да"),"отсутствует, на причину не влияет",IF(AND(OR($K116="да",$N116="да"),$M116=""),"передан без следа",IF(AND($K116="да",$L116=""),"передан без следа","в порядке"))))))))))</x:f>
      </x:c>
    </x:row>
    <x:row r="117">
      <x:c r="A117" s="95" t="str">
        <x:f>IF($B117="","",ROW()-6)</x:f>
      </x:c>
      <x:c r="B117" s="96" t="n"/>
      <x:c r="C117" s="96" t="n"/>
      <x:c r="D117" s="96" t="n"/>
      <x:c r="E117" s="97" t="n"/>
      <x:c r="F117" s="96" t="n"/>
      <x:c r="G117" s="96" t="n"/>
      <x:c r="H117" s="96" t="n"/>
      <x:c r="I117" s="96" t="n"/>
      <x:c r="J117" s="96" t="n"/>
      <x:c r="K117" s="96" t="n"/>
      <x:c r="L117" s="97" t="n"/>
      <x:c r="M117" s="96" t="n"/>
      <x:c r="N117" s="96" t="n"/>
      <x:c r="O117" s="11" t="n"/>
      <x:c r="P117" s="10" t="n"/>
      <x:c r="Q117" s="11" t="n"/>
      <x:c r="R117" s="10" t="n"/>
      <x:c r="S117" s="10" t="n"/>
      <x:c r="T117" s="10" t="n"/>
      <x:c r="U117" s="12" t="str">
        <x:f>IF($B117="","",IF(OR(AND($G117&lt;&gt;"оригинал",$G117&lt;&gt;"копия",$G117&lt;&gt;"скан",$G117&lt;&gt;"нет"),AND($J117&lt;&gt;"да",$J117&lt;&gt;"нет")),"НЕ ПРОВЕРЕНО: наличие или обязательность",IF(AND($N117="да",OR($O117="",$M117="")),"передан без следа: эксперт или дата",IF(AND($P117="да",$Q117=""),"НЕ ПРОВЕРЕНО: дата запроса",IF($B117="","",IF(AND($J117="да",$G117="нет",$P117&lt;&gt;"да"),"дыра: обязательного документа нет, запрос не направлен",IF(AND($G117="нет",$P117="да",$R117&lt;&gt;"да"),"запрошен, не получен",IF(AND($G117="нет",$J117&lt;&gt;"да"),"отсутствует, на причину не влияет",IF(AND(OR($K117="да",$N117="да"),$M117=""),"передан без следа",IF(AND($K117="да",$L117=""),"передан без следа","в порядке"))))))))))</x:f>
      </x:c>
    </x:row>
    <x:row r="118">
      <x:c r="A118" s="95" t="str">
        <x:f>IF($B118="","",ROW()-6)</x:f>
      </x:c>
      <x:c r="B118" s="96" t="n"/>
      <x:c r="C118" s="96" t="n"/>
      <x:c r="D118" s="96" t="n"/>
      <x:c r="E118" s="97" t="n"/>
      <x:c r="F118" s="96" t="n"/>
      <x:c r="G118" s="96" t="n"/>
      <x:c r="H118" s="96" t="n"/>
      <x:c r="I118" s="96" t="n"/>
      <x:c r="J118" s="96" t="n"/>
      <x:c r="K118" s="96" t="n"/>
      <x:c r="L118" s="97" t="n"/>
      <x:c r="M118" s="96" t="n"/>
      <x:c r="N118" s="96" t="n"/>
      <x:c r="O118" s="11" t="n"/>
      <x:c r="P118" s="10" t="n"/>
      <x:c r="Q118" s="11" t="n"/>
      <x:c r="R118" s="10" t="n"/>
      <x:c r="S118" s="10" t="n"/>
      <x:c r="T118" s="10" t="n"/>
      <x:c r="U118" s="12" t="str">
        <x:f>IF($B118="","",IF(OR(AND($G118&lt;&gt;"оригинал",$G118&lt;&gt;"копия",$G118&lt;&gt;"скан",$G118&lt;&gt;"нет"),AND($J118&lt;&gt;"да",$J118&lt;&gt;"нет")),"НЕ ПРОВЕРЕНО: наличие или обязательность",IF(AND($N118="да",OR($O118="",$M118="")),"передан без следа: эксперт или дата",IF(AND($P118="да",$Q118=""),"НЕ ПРОВЕРЕНО: дата запроса",IF($B118="","",IF(AND($J118="да",$G118="нет",$P118&lt;&gt;"да"),"дыра: обязательного документа нет, запрос не направлен",IF(AND($G118="нет",$P118="да",$R118&lt;&gt;"да"),"запрошен, не получен",IF(AND($G118="нет",$J118&lt;&gt;"да"),"отсутствует, на причину не влияет",IF(AND(OR($K118="да",$N118="да"),$M118=""),"передан без следа",IF(AND($K118="да",$L118=""),"передан без следа","в порядке"))))))))))</x:f>
      </x:c>
    </x:row>
    <x:row r="119">
      <x:c r="A119" s="95" t="str">
        <x:f>IF($B119="","",ROW()-6)</x:f>
      </x:c>
      <x:c r="B119" s="96" t="n"/>
      <x:c r="C119" s="96" t="n"/>
      <x:c r="D119" s="96" t="n"/>
      <x:c r="E119" s="97" t="n"/>
      <x:c r="F119" s="96" t="n"/>
      <x:c r="G119" s="96" t="n"/>
      <x:c r="H119" s="96" t="n"/>
      <x:c r="I119" s="96" t="n"/>
      <x:c r="J119" s="96" t="n"/>
      <x:c r="K119" s="96" t="n"/>
      <x:c r="L119" s="97" t="n"/>
      <x:c r="M119" s="96" t="n"/>
      <x:c r="N119" s="96" t="n"/>
      <x:c r="O119" s="11" t="n"/>
      <x:c r="P119" s="10" t="n"/>
      <x:c r="Q119" s="11" t="n"/>
      <x:c r="R119" s="10" t="n"/>
      <x:c r="S119" s="10" t="n"/>
      <x:c r="T119" s="10" t="n"/>
      <x:c r="U119" s="12" t="str">
        <x:f>IF($B119="","",IF(OR(AND($G119&lt;&gt;"оригинал",$G119&lt;&gt;"копия",$G119&lt;&gt;"скан",$G119&lt;&gt;"нет"),AND($J119&lt;&gt;"да",$J119&lt;&gt;"нет")),"НЕ ПРОВЕРЕНО: наличие или обязательность",IF(AND($N119="да",OR($O119="",$M119="")),"передан без следа: эксперт или дата",IF(AND($P119="да",$Q119=""),"НЕ ПРОВЕРЕНО: дата запроса",IF($B119="","",IF(AND($J119="да",$G119="нет",$P119&lt;&gt;"да"),"дыра: обязательного документа нет, запрос не направлен",IF(AND($G119="нет",$P119="да",$R119&lt;&gt;"да"),"запрошен, не получен",IF(AND($G119="нет",$J119&lt;&gt;"да"),"отсутствует, на причину не влияет",IF(AND(OR($K119="да",$N119="да"),$M119=""),"передан без следа",IF(AND($K119="да",$L119=""),"передан без следа","в порядке"))))))))))</x:f>
      </x:c>
    </x:row>
    <x:row r="120">
      <x:c r="A120" s="95" t="str">
        <x:f>IF($B120="","",ROW()-6)</x:f>
      </x:c>
      <x:c r="B120" s="96" t="n"/>
      <x:c r="C120" s="96" t="n"/>
      <x:c r="D120" s="96" t="n"/>
      <x:c r="E120" s="97" t="n"/>
      <x:c r="F120" s="96" t="n"/>
      <x:c r="G120" s="96" t="n"/>
      <x:c r="H120" s="96" t="n"/>
      <x:c r="I120" s="96" t="n"/>
      <x:c r="J120" s="96" t="n"/>
      <x:c r="K120" s="96" t="n"/>
      <x:c r="L120" s="97" t="n"/>
      <x:c r="M120" s="96" t="n"/>
      <x:c r="N120" s="96" t="n"/>
      <x:c r="O120" s="11" t="n"/>
      <x:c r="P120" s="10" t="n"/>
      <x:c r="Q120" s="11" t="n"/>
      <x:c r="R120" s="10" t="n"/>
      <x:c r="S120" s="10" t="n"/>
      <x:c r="T120" s="10" t="n"/>
      <x:c r="U120" s="12" t="str">
        <x:f>IF($B120="","",IF(OR(AND($G120&lt;&gt;"оригинал",$G120&lt;&gt;"копия",$G120&lt;&gt;"скан",$G120&lt;&gt;"нет"),AND($J120&lt;&gt;"да",$J120&lt;&gt;"нет")),"НЕ ПРОВЕРЕНО: наличие или обязательность",IF(AND($N120="да",OR($O120="",$M120="")),"передан без следа: эксперт или дата",IF(AND($P120="да",$Q120=""),"НЕ ПРОВЕРЕНО: дата запроса",IF($B120="","",IF(AND($J120="да",$G120="нет",$P120&lt;&gt;"да"),"дыра: обязательного документа нет, запрос не направлен",IF(AND($G120="нет",$P120="да",$R120&lt;&gt;"да"),"запрошен, не получен",IF(AND($G120="нет",$J120&lt;&gt;"да"),"отсутствует, на причину не влияет",IF(AND(OR($K120="да",$N120="да"),$M120=""),"передан без следа",IF(AND($K120="да",$L120=""),"передан без следа","в порядке"))))))))))</x:f>
      </x:c>
    </x:row>
    <x:row r="121">
      <x:c r="A121" s="95" t="str">
        <x:f>IF($B121="","",ROW()-6)</x:f>
      </x:c>
      <x:c r="B121" s="96" t="n"/>
      <x:c r="C121" s="96" t="n"/>
      <x:c r="D121" s="96" t="n"/>
      <x:c r="E121" s="97" t="n"/>
      <x:c r="F121" s="96" t="n"/>
      <x:c r="G121" s="96" t="n"/>
      <x:c r="H121" s="96" t="n"/>
      <x:c r="I121" s="96" t="n"/>
      <x:c r="J121" s="96" t="n"/>
      <x:c r="K121" s="96" t="n"/>
      <x:c r="L121" s="97" t="n"/>
      <x:c r="M121" s="96" t="n"/>
      <x:c r="N121" s="96" t="n"/>
      <x:c r="O121" s="11" t="n"/>
      <x:c r="P121" s="10" t="n"/>
      <x:c r="Q121" s="11" t="n"/>
      <x:c r="R121" s="10" t="n"/>
      <x:c r="S121" s="10" t="n"/>
      <x:c r="T121" s="10" t="n"/>
      <x:c r="U121" s="12" t="str">
        <x:f>IF($B121="","",IF(OR(AND($G121&lt;&gt;"оригинал",$G121&lt;&gt;"копия",$G121&lt;&gt;"скан",$G121&lt;&gt;"нет"),AND($J121&lt;&gt;"да",$J121&lt;&gt;"нет")),"НЕ ПРОВЕРЕНО: наличие или обязательность",IF(AND($N121="да",OR($O121="",$M121="")),"передан без следа: эксперт или дата",IF(AND($P121="да",$Q121=""),"НЕ ПРОВЕРЕНО: дата запроса",IF($B121="","",IF(AND($J121="да",$G121="нет",$P121&lt;&gt;"да"),"дыра: обязательного документа нет, запрос не направлен",IF(AND($G121="нет",$P121="да",$R121&lt;&gt;"да"),"запрошен, не получен",IF(AND($G121="нет",$J121&lt;&gt;"да"),"отсутствует, на причину не влияет",IF(AND(OR($K121="да",$N121="да"),$M121=""),"передан без следа",IF(AND($K121="да",$L121=""),"передан без следа","в порядке"))))))))))</x:f>
      </x:c>
    </x:row>
    <x:row r="122">
      <x:c r="A122" s="95" t="str">
        <x:f>IF($B122="","",ROW()-6)</x:f>
      </x:c>
      <x:c r="B122" s="96" t="n"/>
      <x:c r="C122" s="96" t="n"/>
      <x:c r="D122" s="96" t="n"/>
      <x:c r="E122" s="97" t="n"/>
      <x:c r="F122" s="96" t="n"/>
      <x:c r="G122" s="96" t="n"/>
      <x:c r="H122" s="96" t="n"/>
      <x:c r="I122" s="96" t="n"/>
      <x:c r="J122" s="96" t="n"/>
      <x:c r="K122" s="96" t="n"/>
      <x:c r="L122" s="97" t="n"/>
      <x:c r="M122" s="96" t="n"/>
      <x:c r="N122" s="96" t="n"/>
      <x:c r="O122" s="11" t="n"/>
      <x:c r="P122" s="10" t="n"/>
      <x:c r="Q122" s="11" t="n"/>
      <x:c r="R122" s="10" t="n"/>
      <x:c r="S122" s="10" t="n"/>
      <x:c r="T122" s="10" t="n"/>
      <x:c r="U122" s="12" t="str">
        <x:f>IF($B122="","",IF(OR(AND($G122&lt;&gt;"оригинал",$G122&lt;&gt;"копия",$G122&lt;&gt;"скан",$G122&lt;&gt;"нет"),AND($J122&lt;&gt;"да",$J122&lt;&gt;"нет")),"НЕ ПРОВЕРЕНО: наличие или обязательность",IF(AND($N122="да",OR($O122="",$M122="")),"передан без следа: эксперт или дата",IF(AND($P122="да",$Q122=""),"НЕ ПРОВЕРЕНО: дата запроса",IF($B122="","",IF(AND($J122="да",$G122="нет",$P122&lt;&gt;"да"),"дыра: обязательного документа нет, запрос не направлен",IF(AND($G122="нет",$P122="да",$R122&lt;&gt;"да"),"запрошен, не получен",IF(AND($G122="нет",$J122&lt;&gt;"да"),"отсутствует, на причину не влияет",IF(AND(OR($K122="да",$N122="да"),$M122=""),"передан без следа",IF(AND($K122="да",$L122=""),"передан без следа","в порядке"))))))))))</x:f>
      </x:c>
    </x:row>
    <x:row r="123">
      <x:c r="A123" s="95" t="str">
        <x:f>IF($B123="","",ROW()-6)</x:f>
      </x:c>
      <x:c r="B123" s="96" t="n"/>
      <x:c r="C123" s="96" t="n"/>
      <x:c r="D123" s="96" t="n"/>
      <x:c r="E123" s="97" t="n"/>
      <x:c r="F123" s="96" t="n"/>
      <x:c r="G123" s="96" t="n"/>
      <x:c r="H123" s="96" t="n"/>
      <x:c r="I123" s="96" t="n"/>
      <x:c r="J123" s="96" t="n"/>
      <x:c r="K123" s="96" t="n"/>
      <x:c r="L123" s="97" t="n"/>
      <x:c r="M123" s="96" t="n"/>
      <x:c r="N123" s="96" t="n"/>
      <x:c r="O123" s="11" t="n"/>
      <x:c r="P123" s="10" t="n"/>
      <x:c r="Q123" s="11" t="n"/>
      <x:c r="R123" s="10" t="n"/>
      <x:c r="S123" s="10" t="n"/>
      <x:c r="T123" s="10" t="n"/>
      <x:c r="U123" s="12" t="str">
        <x:f>IF($B123="","",IF(OR(AND($G123&lt;&gt;"оригинал",$G123&lt;&gt;"копия",$G123&lt;&gt;"скан",$G123&lt;&gt;"нет"),AND($J123&lt;&gt;"да",$J123&lt;&gt;"нет")),"НЕ ПРОВЕРЕНО: наличие или обязательность",IF(AND($N123="да",OR($O123="",$M123="")),"передан без следа: эксперт или дата",IF(AND($P123="да",$Q123=""),"НЕ ПРОВЕРЕНО: дата запроса",IF($B123="","",IF(AND($J123="да",$G123="нет",$P123&lt;&gt;"да"),"дыра: обязательного документа нет, запрос не направлен",IF(AND($G123="нет",$P123="да",$R123&lt;&gt;"да"),"запрошен, не получен",IF(AND($G123="нет",$J123&lt;&gt;"да"),"отсутствует, на причину не влияет",IF(AND(OR($K123="да",$N123="да"),$M123=""),"передан без следа",IF(AND($K123="да",$L123=""),"передан без следа","в порядке"))))))))))</x:f>
      </x:c>
    </x:row>
    <x:row r="124">
      <x:c r="A124" s="95" t="str">
        <x:f>IF($B124="","",ROW()-6)</x:f>
      </x:c>
      <x:c r="B124" s="96" t="n"/>
      <x:c r="C124" s="96" t="n"/>
      <x:c r="D124" s="96" t="n"/>
      <x:c r="E124" s="97" t="n"/>
      <x:c r="F124" s="96" t="n"/>
      <x:c r="G124" s="96" t="n"/>
      <x:c r="H124" s="96" t="n"/>
      <x:c r="I124" s="96" t="n"/>
      <x:c r="J124" s="96" t="n"/>
      <x:c r="K124" s="96" t="n"/>
      <x:c r="L124" s="97" t="n"/>
      <x:c r="M124" s="96" t="n"/>
      <x:c r="N124" s="96" t="n"/>
      <x:c r="O124" s="11" t="n"/>
      <x:c r="P124" s="10" t="n"/>
      <x:c r="Q124" s="11" t="n"/>
      <x:c r="R124" s="10" t="n"/>
      <x:c r="S124" s="10" t="n"/>
      <x:c r="T124" s="10" t="n"/>
      <x:c r="U124" s="12" t="str">
        <x:f>IF($B124="","",IF(OR(AND($G124&lt;&gt;"оригинал",$G124&lt;&gt;"копия",$G124&lt;&gt;"скан",$G124&lt;&gt;"нет"),AND($J124&lt;&gt;"да",$J124&lt;&gt;"нет")),"НЕ ПРОВЕРЕНО: наличие или обязательность",IF(AND($N124="да",OR($O124="",$M124="")),"передан без следа: эксперт или дата",IF(AND($P124="да",$Q124=""),"НЕ ПРОВЕРЕНО: дата запроса",IF($B124="","",IF(AND($J124="да",$G124="нет",$P124&lt;&gt;"да"),"дыра: обязательного документа нет, запрос не направлен",IF(AND($G124="нет",$P124="да",$R124&lt;&gt;"да"),"запрошен, не получен",IF(AND($G124="нет",$J124&lt;&gt;"да"),"отсутствует, на причину не влияет",IF(AND(OR($K124="да",$N124="да"),$M124=""),"передан без следа",IF(AND($K124="да",$L124=""),"передан без следа","в порядке"))))))))))</x:f>
      </x:c>
    </x:row>
    <x:row r="125">
      <x:c r="A125" s="95" t="str">
        <x:f>IF($B125="","",ROW()-6)</x:f>
      </x:c>
      <x:c r="B125" s="96" t="n"/>
      <x:c r="C125" s="96" t="n"/>
      <x:c r="D125" s="96" t="n"/>
      <x:c r="E125" s="97" t="n"/>
      <x:c r="F125" s="96" t="n"/>
      <x:c r="G125" s="96" t="n"/>
      <x:c r="H125" s="96" t="n"/>
      <x:c r="I125" s="96" t="n"/>
      <x:c r="J125" s="96" t="n"/>
      <x:c r="K125" s="96" t="n"/>
      <x:c r="L125" s="97" t="n"/>
      <x:c r="M125" s="96" t="n"/>
      <x:c r="N125" s="96" t="n"/>
      <x:c r="O125" s="11" t="n"/>
      <x:c r="P125" s="10" t="n"/>
      <x:c r="Q125" s="11" t="n"/>
      <x:c r="R125" s="10" t="n"/>
      <x:c r="S125" s="10" t="n"/>
      <x:c r="T125" s="10" t="n"/>
      <x:c r="U125" s="12" t="str">
        <x:f>IF($B125="","",IF(OR(AND($G125&lt;&gt;"оригинал",$G125&lt;&gt;"копия",$G125&lt;&gt;"скан",$G125&lt;&gt;"нет"),AND($J125&lt;&gt;"да",$J125&lt;&gt;"нет")),"НЕ ПРОВЕРЕНО: наличие или обязательность",IF(AND($N125="да",OR($O125="",$M125="")),"передан без следа: эксперт или дата",IF(AND($P125="да",$Q125=""),"НЕ ПРОВЕРЕНО: дата запроса",IF($B125="","",IF(AND($J125="да",$G125="нет",$P125&lt;&gt;"да"),"дыра: обязательного документа нет, запрос не направлен",IF(AND($G125="нет",$P125="да",$R125&lt;&gt;"да"),"запрошен, не получен",IF(AND($G125="нет",$J125&lt;&gt;"да"),"отсутствует, на причину не влияет",IF(AND(OR($K125="да",$N125="да"),$M125=""),"передан без следа",IF(AND($K125="да",$L125=""),"передан без следа","в порядке"))))))))))</x:f>
      </x:c>
    </x:row>
    <x:row r="126">
      <x:c r="A126" s="95" t="str">
        <x:f>IF($B126="","",ROW()-6)</x:f>
      </x:c>
      <x:c r="B126" s="96" t="n"/>
      <x:c r="C126" s="96" t="n"/>
      <x:c r="D126" s="96" t="n"/>
      <x:c r="E126" s="97" t="n"/>
      <x:c r="F126" s="96" t="n"/>
      <x:c r="G126" s="96" t="n"/>
      <x:c r="H126" s="96" t="n"/>
      <x:c r="I126" s="96" t="n"/>
      <x:c r="J126" s="96" t="n"/>
      <x:c r="K126" s="96" t="n"/>
      <x:c r="L126" s="97" t="n"/>
      <x:c r="M126" s="96" t="n"/>
      <x:c r="N126" s="96" t="n"/>
      <x:c r="O126" s="11" t="n"/>
      <x:c r="P126" s="10" t="n"/>
      <x:c r="Q126" s="11" t="n"/>
      <x:c r="R126" s="10" t="n"/>
      <x:c r="S126" s="10" t="n"/>
      <x:c r="T126" s="10" t="n"/>
      <x:c r="U126" s="12" t="str">
        <x:f>IF($B126="","",IF(OR(AND($G126&lt;&gt;"оригинал",$G126&lt;&gt;"копия",$G126&lt;&gt;"скан",$G126&lt;&gt;"нет"),AND($J126&lt;&gt;"да",$J126&lt;&gt;"нет")),"НЕ ПРОВЕРЕНО: наличие или обязательность",IF(AND($N126="да",OR($O126="",$M126="")),"передан без следа: эксперт или дата",IF(AND($P126="да",$Q126=""),"НЕ ПРОВЕРЕНО: дата запроса",IF($B126="","",IF(AND($J126="да",$G126="нет",$P126&lt;&gt;"да"),"дыра: обязательного документа нет, запрос не направлен",IF(AND($G126="нет",$P126="да",$R126&lt;&gt;"да"),"запрошен, не получен",IF(AND($G126="нет",$J126&lt;&gt;"да"),"отсутствует, на причину не влияет",IF(AND(OR($K126="да",$N126="да"),$M126=""),"передан без следа",IF(AND($K126="да",$L126=""),"передан без следа","в порядке"))))))))))</x:f>
      </x:c>
    </x:row>
    <x:row r="127">
      <x:c r="A127" s="95" t="str">
        <x:f>IF($B127="","",ROW()-6)</x:f>
      </x:c>
      <x:c r="B127" s="96" t="n"/>
      <x:c r="C127" s="96" t="n"/>
      <x:c r="D127" s="96" t="n"/>
      <x:c r="E127" s="97" t="n"/>
      <x:c r="F127" s="96" t="n"/>
      <x:c r="G127" s="96" t="n"/>
      <x:c r="H127" s="96" t="n"/>
      <x:c r="I127" s="96" t="n"/>
      <x:c r="J127" s="96" t="n"/>
      <x:c r="K127" s="96" t="n"/>
      <x:c r="L127" s="97" t="n"/>
      <x:c r="M127" s="96" t="n"/>
      <x:c r="N127" s="96" t="n"/>
      <x:c r="O127" s="11" t="n"/>
      <x:c r="P127" s="10" t="n"/>
      <x:c r="Q127" s="11" t="n"/>
      <x:c r="R127" s="10" t="n"/>
      <x:c r="S127" s="10" t="n"/>
      <x:c r="T127" s="10" t="n"/>
      <x:c r="U127" s="12" t="str">
        <x:f>IF($B127="","",IF(OR(AND($G127&lt;&gt;"оригинал",$G127&lt;&gt;"копия",$G127&lt;&gt;"скан",$G127&lt;&gt;"нет"),AND($J127&lt;&gt;"да",$J127&lt;&gt;"нет")),"НЕ ПРОВЕРЕНО: наличие или обязательность",IF(AND($N127="да",OR($O127="",$M127="")),"передан без следа: эксперт или дата",IF(AND($P127="да",$Q127=""),"НЕ ПРОВЕРЕНО: дата запроса",IF($B127="","",IF(AND($J127="да",$G127="нет",$P127&lt;&gt;"да"),"дыра: обязательного документа нет, запрос не направлен",IF(AND($G127="нет",$P127="да",$R127&lt;&gt;"да"),"запрошен, не получен",IF(AND($G127="нет",$J127&lt;&gt;"да"),"отсутствует, на причину не влияет",IF(AND(OR($K127="да",$N127="да"),$M127=""),"передан без следа",IF(AND($K127="да",$L127=""),"передан без следа","в порядке"))))))))))</x:f>
      </x:c>
    </x:row>
    <x:row r="128">
      <x:c r="A128" s="95" t="str">
        <x:f>IF($B128="","",ROW()-6)</x:f>
      </x:c>
      <x:c r="B128" s="96" t="n"/>
      <x:c r="C128" s="96" t="n"/>
      <x:c r="D128" s="96" t="n"/>
      <x:c r="E128" s="97" t="n"/>
      <x:c r="F128" s="96" t="n"/>
      <x:c r="G128" s="96" t="n"/>
      <x:c r="H128" s="96" t="n"/>
      <x:c r="I128" s="96" t="n"/>
      <x:c r="J128" s="96" t="n"/>
      <x:c r="K128" s="96" t="n"/>
      <x:c r="L128" s="97" t="n"/>
      <x:c r="M128" s="96" t="n"/>
      <x:c r="N128" s="96" t="n"/>
      <x:c r="O128" s="11" t="n"/>
      <x:c r="P128" s="10" t="n"/>
      <x:c r="Q128" s="11" t="n"/>
      <x:c r="R128" s="10" t="n"/>
      <x:c r="S128" s="10" t="n"/>
      <x:c r="T128" s="10" t="n"/>
      <x:c r="U128" s="12" t="str">
        <x:f>IF($B128="","",IF(OR(AND($G128&lt;&gt;"оригинал",$G128&lt;&gt;"копия",$G128&lt;&gt;"скан",$G128&lt;&gt;"нет"),AND($J128&lt;&gt;"да",$J128&lt;&gt;"нет")),"НЕ ПРОВЕРЕНО: наличие или обязательность",IF(AND($N128="да",OR($O128="",$M128="")),"передан без следа: эксперт или дата",IF(AND($P128="да",$Q128=""),"НЕ ПРОВЕРЕНО: дата запроса",IF($B128="","",IF(AND($J128="да",$G128="нет",$P128&lt;&gt;"да"),"дыра: обязательного документа нет, запрос не направлен",IF(AND($G128="нет",$P128="да",$R128&lt;&gt;"да"),"запрошен, не получен",IF(AND($G128="нет",$J128&lt;&gt;"да"),"отсутствует, на причину не влияет",IF(AND(OR($K128="да",$N128="да"),$M128=""),"передан без следа",IF(AND($K128="да",$L128=""),"передан без следа","в порядке"))))))))))</x:f>
      </x:c>
    </x:row>
    <x:row r="129">
      <x:c r="A129" s="95" t="str">
        <x:f>IF($B129="","",ROW()-6)</x:f>
      </x:c>
      <x:c r="B129" s="96" t="n"/>
      <x:c r="C129" s="96" t="n"/>
      <x:c r="D129" s="96" t="n"/>
      <x:c r="E129" s="97" t="n"/>
      <x:c r="F129" s="96" t="n"/>
      <x:c r="G129" s="96" t="n"/>
      <x:c r="H129" s="96" t="n"/>
      <x:c r="I129" s="96" t="n"/>
      <x:c r="J129" s="96" t="n"/>
      <x:c r="K129" s="96" t="n"/>
      <x:c r="L129" s="97" t="n"/>
      <x:c r="M129" s="96" t="n"/>
      <x:c r="N129" s="96" t="n"/>
      <x:c r="O129" s="11" t="n"/>
      <x:c r="P129" s="10" t="n"/>
      <x:c r="Q129" s="11" t="n"/>
      <x:c r="R129" s="10" t="n"/>
      <x:c r="S129" s="10" t="n"/>
      <x:c r="T129" s="10" t="n"/>
      <x:c r="U129" s="12" t="str">
        <x:f>IF($B129="","",IF(OR(AND($G129&lt;&gt;"оригинал",$G129&lt;&gt;"копия",$G129&lt;&gt;"скан",$G129&lt;&gt;"нет"),AND($J129&lt;&gt;"да",$J129&lt;&gt;"нет")),"НЕ ПРОВЕРЕНО: наличие или обязательность",IF(AND($N129="да",OR($O129="",$M129="")),"передан без следа: эксперт или дата",IF(AND($P129="да",$Q129=""),"НЕ ПРОВЕРЕНО: дата запроса",IF($B129="","",IF(AND($J129="да",$G129="нет",$P129&lt;&gt;"да"),"дыра: обязательного документа нет, запрос не направлен",IF(AND($G129="нет",$P129="да",$R129&lt;&gt;"да"),"запрошен, не получен",IF(AND($G129="нет",$J129&lt;&gt;"да"),"отсутствует, на причину не влияет",IF(AND(OR($K129="да",$N129="да"),$M129=""),"передан без следа",IF(AND($K129="да",$L129=""),"передан без следа","в порядке"))))))))))</x:f>
      </x:c>
    </x:row>
    <x:row r="130">
      <x:c r="A130" s="95" t="str">
        <x:f>IF($B130="","",ROW()-6)</x:f>
      </x:c>
      <x:c r="B130" s="96" t="n"/>
      <x:c r="C130" s="96" t="n"/>
      <x:c r="D130" s="96" t="n"/>
      <x:c r="E130" s="97" t="n"/>
      <x:c r="F130" s="96" t="n"/>
      <x:c r="G130" s="96" t="n"/>
      <x:c r="H130" s="96" t="n"/>
      <x:c r="I130" s="96" t="n"/>
      <x:c r="J130" s="96" t="n"/>
      <x:c r="K130" s="96" t="n"/>
      <x:c r="L130" s="97" t="n"/>
      <x:c r="M130" s="96" t="n"/>
      <x:c r="N130" s="96" t="n"/>
      <x:c r="O130" s="11" t="n"/>
      <x:c r="P130" s="10" t="n"/>
      <x:c r="Q130" s="11" t="n"/>
      <x:c r="R130" s="10" t="n"/>
      <x:c r="S130" s="10" t="n"/>
      <x:c r="T130" s="10" t="n"/>
      <x:c r="U130" s="12" t="str">
        <x:f>IF($B130="","",IF(OR(AND($G130&lt;&gt;"оригинал",$G130&lt;&gt;"копия",$G130&lt;&gt;"скан",$G130&lt;&gt;"нет"),AND($J130&lt;&gt;"да",$J130&lt;&gt;"нет")),"НЕ ПРОВЕРЕНО: наличие или обязательность",IF(AND($N130="да",OR($O130="",$M130="")),"передан без следа: эксперт или дата",IF(AND($P130="да",$Q130=""),"НЕ ПРОВЕРЕНО: дата запроса",IF($B130="","",IF(AND($J130="да",$G130="нет",$P130&lt;&gt;"да"),"дыра: обязательного документа нет, запрос не направлен",IF(AND($G130="нет",$P130="да",$R130&lt;&gt;"да"),"запрошен, не получен",IF(AND($G130="нет",$J130&lt;&gt;"да"),"отсутствует, на причину не влияет",IF(AND(OR($K130="да",$N130="да"),$M130=""),"передан без следа",IF(AND($K130="да",$L130=""),"передан без следа","в порядке"))))))))))</x:f>
      </x:c>
    </x:row>
    <x:row r="131">
      <x:c r="A131" s="95" t="str">
        <x:f>IF($B131="","",ROW()-6)</x:f>
      </x:c>
      <x:c r="B131" s="96" t="n"/>
      <x:c r="C131" s="96" t="n"/>
      <x:c r="D131" s="96" t="n"/>
      <x:c r="E131" s="97" t="n"/>
      <x:c r="F131" s="96" t="n"/>
      <x:c r="G131" s="96" t="n"/>
      <x:c r="H131" s="96" t="n"/>
      <x:c r="I131" s="96" t="n"/>
      <x:c r="J131" s="96" t="n"/>
      <x:c r="K131" s="96" t="n"/>
      <x:c r="L131" s="97" t="n"/>
      <x:c r="M131" s="96" t="n"/>
      <x:c r="N131" s="96" t="n"/>
      <x:c r="O131" s="11" t="n"/>
      <x:c r="P131" s="10" t="n"/>
      <x:c r="Q131" s="11" t="n"/>
      <x:c r="R131" s="10" t="n"/>
      <x:c r="S131" s="10" t="n"/>
      <x:c r="T131" s="10" t="n"/>
      <x:c r="U131" s="12" t="str">
        <x:f>IF($B131="","",IF(OR(AND($G131&lt;&gt;"оригинал",$G131&lt;&gt;"копия",$G131&lt;&gt;"скан",$G131&lt;&gt;"нет"),AND($J131&lt;&gt;"да",$J131&lt;&gt;"нет")),"НЕ ПРОВЕРЕНО: наличие или обязательность",IF(AND($N131="да",OR($O131="",$M131="")),"передан без следа: эксперт или дата",IF(AND($P131="да",$Q131=""),"НЕ ПРОВЕРЕНО: дата запроса",IF($B131="","",IF(AND($J131="да",$G131="нет",$P131&lt;&gt;"да"),"дыра: обязательного документа нет, запрос не направлен",IF(AND($G131="нет",$P131="да",$R131&lt;&gt;"да"),"запрошен, не получен",IF(AND($G131="нет",$J131&lt;&gt;"да"),"отсутствует, на причину не влияет",IF(AND(OR($K131="да",$N131="да"),$M131=""),"передан без следа",IF(AND($K131="да",$L131=""),"передан без следа","в порядке"))))))))))</x:f>
      </x:c>
    </x:row>
    <x:row r="132">
      <x:c r="A132" s="95" t="str">
        <x:f>IF($B132="","",ROW()-6)</x:f>
      </x:c>
      <x:c r="B132" s="96" t="n"/>
      <x:c r="C132" s="96" t="n"/>
      <x:c r="D132" s="96" t="n"/>
      <x:c r="E132" s="97" t="n"/>
      <x:c r="F132" s="96" t="n"/>
      <x:c r="G132" s="96" t="n"/>
      <x:c r="H132" s="96" t="n"/>
      <x:c r="I132" s="96" t="n"/>
      <x:c r="J132" s="96" t="n"/>
      <x:c r="K132" s="96" t="n"/>
      <x:c r="L132" s="97" t="n"/>
      <x:c r="M132" s="96" t="n"/>
      <x:c r="N132" s="96" t="n"/>
      <x:c r="O132" s="11" t="n"/>
      <x:c r="P132" s="10" t="n"/>
      <x:c r="Q132" s="11" t="n"/>
      <x:c r="R132" s="10" t="n"/>
      <x:c r="S132" s="10" t="n"/>
      <x:c r="T132" s="10" t="n"/>
      <x:c r="U132" s="12" t="str">
        <x:f>IF($B132="","",IF(OR(AND($G132&lt;&gt;"оригинал",$G132&lt;&gt;"копия",$G132&lt;&gt;"скан",$G132&lt;&gt;"нет"),AND($J132&lt;&gt;"да",$J132&lt;&gt;"нет")),"НЕ ПРОВЕРЕНО: наличие или обязательность",IF(AND($N132="да",OR($O132="",$M132="")),"передан без следа: эксперт или дата",IF(AND($P132="да",$Q132=""),"НЕ ПРОВЕРЕНО: дата запроса",IF($B132="","",IF(AND($J132="да",$G132="нет",$P132&lt;&gt;"да"),"дыра: обязательного документа нет, запрос не направлен",IF(AND($G132="нет",$P132="да",$R132&lt;&gt;"да"),"запрошен, не получен",IF(AND($G132="нет",$J132&lt;&gt;"да"),"отсутствует, на причину не влияет",IF(AND(OR($K132="да",$N132="да"),$M132=""),"передан без следа",IF(AND($K132="да",$L132=""),"передан без следа","в порядке"))))))))))</x:f>
      </x:c>
    </x:row>
    <x:row r="133">
      <x:c r="A133" s="95" t="str">
        <x:f>IF($B133="","",ROW()-6)</x:f>
      </x:c>
      <x:c r="B133" s="96" t="n"/>
      <x:c r="C133" s="96" t="n"/>
      <x:c r="D133" s="96" t="n"/>
      <x:c r="E133" s="97" t="n"/>
      <x:c r="F133" s="96" t="n"/>
      <x:c r="G133" s="96" t="n"/>
      <x:c r="H133" s="96" t="n"/>
      <x:c r="I133" s="96" t="n"/>
      <x:c r="J133" s="96" t="n"/>
      <x:c r="K133" s="96" t="n"/>
      <x:c r="L133" s="97" t="n"/>
      <x:c r="M133" s="96" t="n"/>
      <x:c r="N133" s="96" t="n"/>
      <x:c r="O133" s="11" t="n"/>
      <x:c r="P133" s="10" t="n"/>
      <x:c r="Q133" s="11" t="n"/>
      <x:c r="R133" s="10" t="n"/>
      <x:c r="S133" s="10" t="n"/>
      <x:c r="T133" s="10" t="n"/>
      <x:c r="U133" s="12" t="str">
        <x:f>IF($B133="","",IF(OR(AND($G133&lt;&gt;"оригинал",$G133&lt;&gt;"копия",$G133&lt;&gt;"скан",$G133&lt;&gt;"нет"),AND($J133&lt;&gt;"да",$J133&lt;&gt;"нет")),"НЕ ПРОВЕРЕНО: наличие или обязательность",IF(AND($N133="да",OR($O133="",$M133="")),"передан без следа: эксперт или дата",IF(AND($P133="да",$Q133=""),"НЕ ПРОВЕРЕНО: дата запроса",IF($B133="","",IF(AND($J133="да",$G133="нет",$P133&lt;&gt;"да"),"дыра: обязательного документа нет, запрос не направлен",IF(AND($G133="нет",$P133="да",$R133&lt;&gt;"да"),"запрошен, не получен",IF(AND($G133="нет",$J133&lt;&gt;"да"),"отсутствует, на причину не влияет",IF(AND(OR($K133="да",$N133="да"),$M133=""),"передан без следа",IF(AND($K133="да",$L133=""),"передан без следа","в порядке"))))))))))</x:f>
      </x:c>
    </x:row>
    <x:row r="134">
      <x:c r="A134" s="95" t="str">
        <x:f>IF($B134="","",ROW()-6)</x:f>
      </x:c>
      <x:c r="B134" s="96" t="n"/>
      <x:c r="C134" s="96" t="n"/>
      <x:c r="D134" s="96" t="n"/>
      <x:c r="E134" s="97" t="n"/>
      <x:c r="F134" s="96" t="n"/>
      <x:c r="G134" s="96" t="n"/>
      <x:c r="H134" s="96" t="n"/>
      <x:c r="I134" s="96" t="n"/>
      <x:c r="J134" s="96" t="n"/>
      <x:c r="K134" s="96" t="n"/>
      <x:c r="L134" s="97" t="n"/>
      <x:c r="M134" s="96" t="n"/>
      <x:c r="N134" s="96" t="n"/>
      <x:c r="O134" s="11" t="n"/>
      <x:c r="P134" s="10" t="n"/>
      <x:c r="Q134" s="11" t="n"/>
      <x:c r="R134" s="10" t="n"/>
      <x:c r="S134" s="10" t="n"/>
      <x:c r="T134" s="10" t="n"/>
      <x:c r="U134" s="12" t="str">
        <x:f>IF($B134="","",IF(OR(AND($G134&lt;&gt;"оригинал",$G134&lt;&gt;"копия",$G134&lt;&gt;"скан",$G134&lt;&gt;"нет"),AND($J134&lt;&gt;"да",$J134&lt;&gt;"нет")),"НЕ ПРОВЕРЕНО: наличие или обязательность",IF(AND($N134="да",OR($O134="",$M134="")),"передан без следа: эксперт или дата",IF(AND($P134="да",$Q134=""),"НЕ ПРОВЕРЕНО: дата запроса",IF($B134="","",IF(AND($J134="да",$G134="нет",$P134&lt;&gt;"да"),"дыра: обязательного документа нет, запрос не направлен",IF(AND($G134="нет",$P134="да",$R134&lt;&gt;"да"),"запрошен, не получен",IF(AND($G134="нет",$J134&lt;&gt;"да"),"отсутствует, на причину не влияет",IF(AND(OR($K134="да",$N134="да"),$M134=""),"передан без следа",IF(AND($K134="да",$L134=""),"передан без следа","в порядке"))))))))))</x:f>
      </x:c>
    </x:row>
    <x:row r="135">
      <x:c r="A135" s="95" t="str">
        <x:f>IF($B135="","",ROW()-6)</x:f>
      </x:c>
      <x:c r="B135" s="96" t="n"/>
      <x:c r="C135" s="96" t="n"/>
      <x:c r="D135" s="96" t="n"/>
      <x:c r="E135" s="97" t="n"/>
      <x:c r="F135" s="96" t="n"/>
      <x:c r="G135" s="96" t="n"/>
      <x:c r="H135" s="96" t="n"/>
      <x:c r="I135" s="96" t="n"/>
      <x:c r="J135" s="96" t="n"/>
      <x:c r="K135" s="96" t="n"/>
      <x:c r="L135" s="97" t="n"/>
      <x:c r="M135" s="96" t="n"/>
      <x:c r="N135" s="96" t="n"/>
      <x:c r="O135" s="11" t="n"/>
      <x:c r="P135" s="10" t="n"/>
      <x:c r="Q135" s="11" t="n"/>
      <x:c r="R135" s="10" t="n"/>
      <x:c r="S135" s="10" t="n"/>
      <x:c r="T135" s="10" t="n"/>
      <x:c r="U135" s="12" t="str">
        <x:f>IF($B135="","",IF(OR(AND($G135&lt;&gt;"оригинал",$G135&lt;&gt;"копия",$G135&lt;&gt;"скан",$G135&lt;&gt;"нет"),AND($J135&lt;&gt;"да",$J135&lt;&gt;"нет")),"НЕ ПРОВЕРЕНО: наличие или обязательность",IF(AND($N135="да",OR($O135="",$M135="")),"передан без следа: эксперт или дата",IF(AND($P135="да",$Q135=""),"НЕ ПРОВЕРЕНО: дата запроса",IF($B135="","",IF(AND($J135="да",$G135="нет",$P135&lt;&gt;"да"),"дыра: обязательного документа нет, запрос не направлен",IF(AND($G135="нет",$P135="да",$R135&lt;&gt;"да"),"запрошен, не получен",IF(AND($G135="нет",$J135&lt;&gt;"да"),"отсутствует, на причину не влияет",IF(AND(OR($K135="да",$N135="да"),$M135=""),"передан без следа",IF(AND($K135="да",$L135=""),"передан без следа","в порядке"))))))))))</x:f>
      </x:c>
    </x:row>
    <x:row r="136">
      <x:c r="A136" s="95" t="str">
        <x:f>IF($B136="","",ROW()-6)</x:f>
      </x:c>
      <x:c r="B136" s="96" t="n"/>
      <x:c r="C136" s="96" t="n"/>
      <x:c r="D136" s="96" t="n"/>
      <x:c r="E136" s="97" t="n"/>
      <x:c r="F136" s="96" t="n"/>
      <x:c r="G136" s="96" t="n"/>
      <x:c r="H136" s="96" t="n"/>
      <x:c r="I136" s="96" t="n"/>
      <x:c r="J136" s="96" t="n"/>
      <x:c r="K136" s="96" t="n"/>
      <x:c r="L136" s="97" t="n"/>
      <x:c r="M136" s="96" t="n"/>
      <x:c r="N136" s="96" t="n"/>
      <x:c r="O136" s="11" t="n"/>
      <x:c r="P136" s="10" t="n"/>
      <x:c r="Q136" s="11" t="n"/>
      <x:c r="R136" s="10" t="n"/>
      <x:c r="S136" s="10" t="n"/>
      <x:c r="T136" s="10" t="n"/>
      <x:c r="U136" s="12" t="str">
        <x:f>IF($B136="","",IF(OR(AND($G136&lt;&gt;"оригинал",$G136&lt;&gt;"копия",$G136&lt;&gt;"скан",$G136&lt;&gt;"нет"),AND($J136&lt;&gt;"да",$J136&lt;&gt;"нет")),"НЕ ПРОВЕРЕНО: наличие или обязательность",IF(AND($N136="да",OR($O136="",$M136="")),"передан без следа: эксперт или дата",IF(AND($P136="да",$Q136=""),"НЕ ПРОВЕРЕНО: дата запроса",IF($B136="","",IF(AND($J136="да",$G136="нет",$P136&lt;&gt;"да"),"дыра: обязательного документа нет, запрос не направлен",IF(AND($G136="нет",$P136="да",$R136&lt;&gt;"да"),"запрошен, не получен",IF(AND($G136="нет",$J136&lt;&gt;"да"),"отсутствует, на причину не влияет",IF(AND(OR($K136="да",$N136="да"),$M136=""),"передан без следа",IF(AND($K136="да",$L136=""),"передан без следа","в порядке"))))))))))</x:f>
      </x:c>
    </x:row>
    <x:row r="137">
      <x:c r="A137" s="95" t="str">
        <x:f>IF($B137="","",ROW()-6)</x:f>
      </x:c>
      <x:c r="B137" s="96" t="n"/>
      <x:c r="C137" s="96" t="n"/>
      <x:c r="D137" s="96" t="n"/>
      <x:c r="E137" s="97" t="n"/>
      <x:c r="F137" s="96" t="n"/>
      <x:c r="G137" s="96" t="n"/>
      <x:c r="H137" s="96" t="n"/>
      <x:c r="I137" s="96" t="n"/>
      <x:c r="J137" s="96" t="n"/>
      <x:c r="K137" s="96" t="n"/>
      <x:c r="L137" s="97" t="n"/>
      <x:c r="M137" s="96" t="n"/>
      <x:c r="N137" s="96" t="n"/>
      <x:c r="O137" s="11" t="n"/>
      <x:c r="P137" s="10" t="n"/>
      <x:c r="Q137" s="11" t="n"/>
      <x:c r="R137" s="10" t="n"/>
      <x:c r="S137" s="10" t="n"/>
      <x:c r="T137" s="10" t="n"/>
      <x:c r="U137" s="12" t="str">
        <x:f>IF($B137="","",IF(OR(AND($G137&lt;&gt;"оригинал",$G137&lt;&gt;"копия",$G137&lt;&gt;"скан",$G137&lt;&gt;"нет"),AND($J137&lt;&gt;"да",$J137&lt;&gt;"нет")),"НЕ ПРОВЕРЕНО: наличие или обязательность",IF(AND($N137="да",OR($O137="",$M137="")),"передан без следа: эксперт или дата",IF(AND($P137="да",$Q137=""),"НЕ ПРОВЕРЕНО: дата запроса",IF($B137="","",IF(AND($J137="да",$G137="нет",$P137&lt;&gt;"да"),"дыра: обязательного документа нет, запрос не направлен",IF(AND($G137="нет",$P137="да",$R137&lt;&gt;"да"),"запрошен, не получен",IF(AND($G137="нет",$J137&lt;&gt;"да"),"отсутствует, на причину не влияет",IF(AND(OR($K137="да",$N137="да"),$M137=""),"передан без следа",IF(AND($K137="да",$L137=""),"передан без следа","в порядке"))))))))))</x:f>
      </x:c>
    </x:row>
    <x:row r="138">
      <x:c r="A138" s="95" t="str">
        <x:f>IF($B138="","",ROW()-6)</x:f>
      </x:c>
      <x:c r="B138" s="96" t="n"/>
      <x:c r="C138" s="96" t="n"/>
      <x:c r="D138" s="96" t="n"/>
      <x:c r="E138" s="97" t="n"/>
      <x:c r="F138" s="96" t="n"/>
      <x:c r="G138" s="96" t="n"/>
      <x:c r="H138" s="96" t="n"/>
      <x:c r="I138" s="96" t="n"/>
      <x:c r="J138" s="96" t="n"/>
      <x:c r="K138" s="96" t="n"/>
      <x:c r="L138" s="97" t="n"/>
      <x:c r="M138" s="96" t="n"/>
      <x:c r="N138" s="96" t="n"/>
      <x:c r="O138" s="11" t="n"/>
      <x:c r="P138" s="10" t="n"/>
      <x:c r="Q138" s="11" t="n"/>
      <x:c r="R138" s="10" t="n"/>
      <x:c r="S138" s="10" t="n"/>
      <x:c r="T138" s="10" t="n"/>
      <x:c r="U138" s="12" t="str">
        <x:f>IF($B138="","",IF(OR(AND($G138&lt;&gt;"оригинал",$G138&lt;&gt;"копия",$G138&lt;&gt;"скан",$G138&lt;&gt;"нет"),AND($J138&lt;&gt;"да",$J138&lt;&gt;"нет")),"НЕ ПРОВЕРЕНО: наличие или обязательность",IF(AND($N138="да",OR($O138="",$M138="")),"передан без следа: эксперт или дата",IF(AND($P138="да",$Q138=""),"НЕ ПРОВЕРЕНО: дата запроса",IF($B138="","",IF(AND($J138="да",$G138="нет",$P138&lt;&gt;"да"),"дыра: обязательного документа нет, запрос не направлен",IF(AND($G138="нет",$P138="да",$R138&lt;&gt;"да"),"запрошен, не получен",IF(AND($G138="нет",$J138&lt;&gt;"да"),"отсутствует, на причину не влияет",IF(AND(OR($K138="да",$N138="да"),$M138=""),"передан без следа",IF(AND($K138="да",$L138=""),"передан без следа","в порядке"))))))))))</x:f>
      </x:c>
    </x:row>
    <x:row r="139">
      <x:c r="A139" s="95" t="str">
        <x:f>IF($B139="","",ROW()-6)</x:f>
      </x:c>
      <x:c r="B139" s="96" t="n"/>
      <x:c r="C139" s="96" t="n"/>
      <x:c r="D139" s="96" t="n"/>
      <x:c r="E139" s="97" t="n"/>
      <x:c r="F139" s="96" t="n"/>
      <x:c r="G139" s="96" t="n"/>
      <x:c r="H139" s="96" t="n"/>
      <x:c r="I139" s="96" t="n"/>
      <x:c r="J139" s="96" t="n"/>
      <x:c r="K139" s="96" t="n"/>
      <x:c r="L139" s="97" t="n"/>
      <x:c r="M139" s="96" t="n"/>
      <x:c r="N139" s="96" t="n"/>
      <x:c r="O139" s="11" t="n"/>
      <x:c r="P139" s="10" t="n"/>
      <x:c r="Q139" s="11" t="n"/>
      <x:c r="R139" s="10" t="n"/>
      <x:c r="S139" s="10" t="n"/>
      <x:c r="T139" s="10" t="n"/>
      <x:c r="U139" s="12" t="str">
        <x:f>IF($B139="","",IF(OR(AND($G139&lt;&gt;"оригинал",$G139&lt;&gt;"копия",$G139&lt;&gt;"скан",$G139&lt;&gt;"нет"),AND($J139&lt;&gt;"да",$J139&lt;&gt;"нет")),"НЕ ПРОВЕРЕНО: наличие или обязательность",IF(AND($N139="да",OR($O139="",$M139="")),"передан без следа: эксперт или дата",IF(AND($P139="да",$Q139=""),"НЕ ПРОВЕРЕНО: дата запроса",IF($B139="","",IF(AND($J139="да",$G139="нет",$P139&lt;&gt;"да"),"дыра: обязательного документа нет, запрос не направлен",IF(AND($G139="нет",$P139="да",$R139&lt;&gt;"да"),"запрошен, не получен",IF(AND($G139="нет",$J139&lt;&gt;"да"),"отсутствует, на причину не влияет",IF(AND(OR($K139="да",$N139="да"),$M139=""),"передан без следа",IF(AND($K139="да",$L139=""),"передан без следа","в порядке"))))))))))</x:f>
      </x:c>
    </x:row>
    <x:row r="140">
      <x:c r="A140" s="95" t="str">
        <x:f>IF($B140="","",ROW()-6)</x:f>
      </x:c>
      <x:c r="B140" s="96" t="n"/>
      <x:c r="C140" s="96" t="n"/>
      <x:c r="D140" s="96" t="n"/>
      <x:c r="E140" s="97" t="n"/>
      <x:c r="F140" s="96" t="n"/>
      <x:c r="G140" s="96" t="n"/>
      <x:c r="H140" s="96" t="n"/>
      <x:c r="I140" s="96" t="n"/>
      <x:c r="J140" s="96" t="n"/>
      <x:c r="K140" s="96" t="n"/>
      <x:c r="L140" s="97" t="n"/>
      <x:c r="M140" s="96" t="n"/>
      <x:c r="N140" s="96" t="n"/>
      <x:c r="O140" s="11" t="n"/>
      <x:c r="P140" s="10" t="n"/>
      <x:c r="Q140" s="11" t="n"/>
      <x:c r="R140" s="10" t="n"/>
      <x:c r="S140" s="10" t="n"/>
      <x:c r="T140" s="10" t="n"/>
      <x:c r="U140" s="12" t="str">
        <x:f>IF($B140="","",IF(OR(AND($G140&lt;&gt;"оригинал",$G140&lt;&gt;"копия",$G140&lt;&gt;"скан",$G140&lt;&gt;"нет"),AND($J140&lt;&gt;"да",$J140&lt;&gt;"нет")),"НЕ ПРОВЕРЕНО: наличие или обязательность",IF(AND($N140="да",OR($O140="",$M140="")),"передан без следа: эксперт или дата",IF(AND($P140="да",$Q140=""),"НЕ ПРОВЕРЕНО: дата запроса",IF($B140="","",IF(AND($J140="да",$G140="нет",$P140&lt;&gt;"да"),"дыра: обязательного документа нет, запрос не направлен",IF(AND($G140="нет",$P140="да",$R140&lt;&gt;"да"),"запрошен, не получен",IF(AND($G140="нет",$J140&lt;&gt;"да"),"отсутствует, на причину не влияет",IF(AND(OR($K140="да",$N140="да"),$M140=""),"передан без следа",IF(AND($K140="да",$L140=""),"передан без следа","в порядке"))))))))))</x:f>
      </x:c>
    </x:row>
    <x:row r="141">
      <x:c r="A141" s="95" t="str">
        <x:f>IF($B141="","",ROW()-6)</x:f>
      </x:c>
      <x:c r="B141" s="96" t="n"/>
      <x:c r="C141" s="96" t="n"/>
      <x:c r="D141" s="96" t="n"/>
      <x:c r="E141" s="97" t="n"/>
      <x:c r="F141" s="96" t="n"/>
      <x:c r="G141" s="96" t="n"/>
      <x:c r="H141" s="96" t="n"/>
      <x:c r="I141" s="96" t="n"/>
      <x:c r="J141" s="96" t="n"/>
      <x:c r="K141" s="96" t="n"/>
      <x:c r="L141" s="97" t="n"/>
      <x:c r="M141" s="96" t="n"/>
      <x:c r="N141" s="96" t="n"/>
      <x:c r="O141" s="11" t="n"/>
      <x:c r="P141" s="10" t="n"/>
      <x:c r="Q141" s="11" t="n"/>
      <x:c r="R141" s="10" t="n"/>
      <x:c r="S141" s="10" t="n"/>
      <x:c r="T141" s="10" t="n"/>
      <x:c r="U141" s="12" t="str">
        <x:f>IF($B141="","",IF(OR(AND($G141&lt;&gt;"оригинал",$G141&lt;&gt;"копия",$G141&lt;&gt;"скан",$G141&lt;&gt;"нет"),AND($J141&lt;&gt;"да",$J141&lt;&gt;"нет")),"НЕ ПРОВЕРЕНО: наличие или обязательность",IF(AND($N141="да",OR($O141="",$M141="")),"передан без следа: эксперт или дата",IF(AND($P141="да",$Q141=""),"НЕ ПРОВЕРЕНО: дата запроса",IF($B141="","",IF(AND($J141="да",$G141="нет",$P141&lt;&gt;"да"),"дыра: обязательного документа нет, запрос не направлен",IF(AND($G141="нет",$P141="да",$R141&lt;&gt;"да"),"запрошен, не получен",IF(AND($G141="нет",$J141&lt;&gt;"да"),"отсутствует, на причину не влияет",IF(AND(OR($K141="да",$N141="да"),$M141=""),"передан без следа",IF(AND($K141="да",$L141=""),"передан без следа","в порядке"))))))))))</x:f>
      </x:c>
    </x:row>
    <x:row r="142">
      <x:c r="A142" s="95" t="str">
        <x:f>IF($B142="","",ROW()-6)</x:f>
      </x:c>
      <x:c r="B142" s="96" t="n"/>
      <x:c r="C142" s="96" t="n"/>
      <x:c r="D142" s="96" t="n"/>
      <x:c r="E142" s="97" t="n"/>
      <x:c r="F142" s="96" t="n"/>
      <x:c r="G142" s="96" t="n"/>
      <x:c r="H142" s="96" t="n"/>
      <x:c r="I142" s="96" t="n"/>
      <x:c r="J142" s="96" t="n"/>
      <x:c r="K142" s="96" t="n"/>
      <x:c r="L142" s="97" t="n"/>
      <x:c r="M142" s="96" t="n"/>
      <x:c r="N142" s="96" t="n"/>
      <x:c r="O142" s="11" t="n"/>
      <x:c r="P142" s="10" t="n"/>
      <x:c r="Q142" s="11" t="n"/>
      <x:c r="R142" s="10" t="n"/>
      <x:c r="S142" s="10" t="n"/>
      <x:c r="T142" s="10" t="n"/>
      <x:c r="U142" s="12" t="str">
        <x:f>IF($B142="","",IF(OR(AND($G142&lt;&gt;"оригинал",$G142&lt;&gt;"копия",$G142&lt;&gt;"скан",$G142&lt;&gt;"нет"),AND($J142&lt;&gt;"да",$J142&lt;&gt;"нет")),"НЕ ПРОВЕРЕНО: наличие или обязательность",IF(AND($N142="да",OR($O142="",$M142="")),"передан без следа: эксперт или дата",IF(AND($P142="да",$Q142=""),"НЕ ПРОВЕРЕНО: дата запроса",IF($B142="","",IF(AND($J142="да",$G142="нет",$P142&lt;&gt;"да"),"дыра: обязательного документа нет, запрос не направлен",IF(AND($G142="нет",$P142="да",$R142&lt;&gt;"да"),"запрошен, не получен",IF(AND($G142="нет",$J142&lt;&gt;"да"),"отсутствует, на причину не влияет",IF(AND(OR($K142="да",$N142="да"),$M142=""),"передан без следа",IF(AND($K142="да",$L142=""),"передан без следа","в порядке"))))))))))</x:f>
      </x:c>
    </x:row>
    <x:row r="143">
      <x:c r="A143" s="95" t="str">
        <x:f>IF($B143="","",ROW()-6)</x:f>
      </x:c>
      <x:c r="B143" s="96" t="n"/>
      <x:c r="C143" s="96" t="n"/>
      <x:c r="D143" s="96" t="n"/>
      <x:c r="E143" s="97" t="n"/>
      <x:c r="F143" s="96" t="n"/>
      <x:c r="G143" s="96" t="n"/>
      <x:c r="H143" s="96" t="n"/>
      <x:c r="I143" s="96" t="n"/>
      <x:c r="J143" s="96" t="n"/>
      <x:c r="K143" s="96" t="n"/>
      <x:c r="L143" s="97" t="n"/>
      <x:c r="M143" s="96" t="n"/>
      <x:c r="N143" s="96" t="n"/>
      <x:c r="O143" s="11" t="n"/>
      <x:c r="P143" s="10" t="n"/>
      <x:c r="Q143" s="11" t="n"/>
      <x:c r="R143" s="10" t="n"/>
      <x:c r="S143" s="10" t="n"/>
      <x:c r="T143" s="10" t="n"/>
      <x:c r="U143" s="12" t="str">
        <x:f>IF($B143="","",IF(OR(AND($G143&lt;&gt;"оригинал",$G143&lt;&gt;"копия",$G143&lt;&gt;"скан",$G143&lt;&gt;"нет"),AND($J143&lt;&gt;"да",$J143&lt;&gt;"нет")),"НЕ ПРОВЕРЕНО: наличие или обязательность",IF(AND($N143="да",OR($O143="",$M143="")),"передан без следа: эксперт или дата",IF(AND($P143="да",$Q143=""),"НЕ ПРОВЕРЕНО: дата запроса",IF($B143="","",IF(AND($J143="да",$G143="нет",$P143&lt;&gt;"да"),"дыра: обязательного документа нет, запрос не направлен",IF(AND($G143="нет",$P143="да",$R143&lt;&gt;"да"),"запрошен, не получен",IF(AND($G143="нет",$J143&lt;&gt;"да"),"отсутствует, на причину не влияет",IF(AND(OR($K143="да",$N143="да"),$M143=""),"передан без следа",IF(AND($K143="да",$L143=""),"передан без следа","в порядке"))))))))))</x:f>
      </x:c>
    </x:row>
    <x:row r="144">
      <x:c r="A144" s="95" t="str">
        <x:f>IF($B144="","",ROW()-6)</x:f>
      </x:c>
      <x:c r="B144" s="96" t="n"/>
      <x:c r="C144" s="96" t="n"/>
      <x:c r="D144" s="96" t="n"/>
      <x:c r="E144" s="97" t="n"/>
      <x:c r="F144" s="96" t="n"/>
      <x:c r="G144" s="96" t="n"/>
      <x:c r="H144" s="96" t="n"/>
      <x:c r="I144" s="96" t="n"/>
      <x:c r="J144" s="96" t="n"/>
      <x:c r="K144" s="96" t="n"/>
      <x:c r="L144" s="97" t="n"/>
      <x:c r="M144" s="96" t="n"/>
      <x:c r="N144" s="96" t="n"/>
      <x:c r="O144" s="11" t="n"/>
      <x:c r="P144" s="10" t="n"/>
      <x:c r="Q144" s="11" t="n"/>
      <x:c r="R144" s="10" t="n"/>
      <x:c r="S144" s="10" t="n"/>
      <x:c r="T144" s="10" t="n"/>
      <x:c r="U144" s="12" t="str">
        <x:f>IF($B144="","",IF(OR(AND($G144&lt;&gt;"оригинал",$G144&lt;&gt;"копия",$G144&lt;&gt;"скан",$G144&lt;&gt;"нет"),AND($J144&lt;&gt;"да",$J144&lt;&gt;"нет")),"НЕ ПРОВЕРЕНО: наличие или обязательность",IF(AND($N144="да",OR($O144="",$M144="")),"передан без следа: эксперт или дата",IF(AND($P144="да",$Q144=""),"НЕ ПРОВЕРЕНО: дата запроса",IF($B144="","",IF(AND($J144="да",$G144="нет",$P144&lt;&gt;"да"),"дыра: обязательного документа нет, запрос не направлен",IF(AND($G144="нет",$P144="да",$R144&lt;&gt;"да"),"запрошен, не получен",IF(AND($G144="нет",$J144&lt;&gt;"да"),"отсутствует, на причину не влияет",IF(AND(OR($K144="да",$N144="да"),$M144=""),"передан без следа",IF(AND($K144="да",$L144=""),"передан без следа","в порядке"))))))))))</x:f>
      </x:c>
    </x:row>
    <x:row r="145">
      <x:c r="A145" s="95" t="str">
        <x:f>IF($B145="","",ROW()-6)</x:f>
      </x:c>
      <x:c r="B145" s="96" t="n"/>
      <x:c r="C145" s="96" t="n"/>
      <x:c r="D145" s="96" t="n"/>
      <x:c r="E145" s="97" t="n"/>
      <x:c r="F145" s="96" t="n"/>
      <x:c r="G145" s="96" t="n"/>
      <x:c r="H145" s="96" t="n"/>
      <x:c r="I145" s="96" t="n"/>
      <x:c r="J145" s="96" t="n"/>
      <x:c r="K145" s="96" t="n"/>
      <x:c r="L145" s="97" t="n"/>
      <x:c r="M145" s="96" t="n"/>
      <x:c r="N145" s="96" t="n"/>
      <x:c r="O145" s="11" t="n"/>
      <x:c r="P145" s="10" t="n"/>
      <x:c r="Q145" s="11" t="n"/>
      <x:c r="R145" s="10" t="n"/>
      <x:c r="S145" s="10" t="n"/>
      <x:c r="T145" s="10" t="n"/>
      <x:c r="U145" s="12" t="str">
        <x:f>IF($B145="","",IF(OR(AND($G145&lt;&gt;"оригинал",$G145&lt;&gt;"копия",$G145&lt;&gt;"скан",$G145&lt;&gt;"нет"),AND($J145&lt;&gt;"да",$J145&lt;&gt;"нет")),"НЕ ПРОВЕРЕНО: наличие или обязательность",IF(AND($N145="да",OR($O145="",$M145="")),"передан без следа: эксперт или дата",IF(AND($P145="да",$Q145=""),"НЕ ПРОВЕРЕНО: дата запроса",IF($B145="","",IF(AND($J145="да",$G145="нет",$P145&lt;&gt;"да"),"дыра: обязательного документа нет, запрос не направлен",IF(AND($G145="нет",$P145="да",$R145&lt;&gt;"да"),"запрошен, не получен",IF(AND($G145="нет",$J145&lt;&gt;"да"),"отсутствует, на причину не влияет",IF(AND(OR($K145="да",$N145="да"),$M145=""),"передан без следа",IF(AND($K145="да",$L145=""),"передан без следа","в порядке"))))))))))</x:f>
      </x:c>
    </x:row>
    <x:row r="146">
      <x:c r="A146" s="95" t="str">
        <x:f>IF($B146="","",ROW()-6)</x:f>
      </x:c>
      <x:c r="B146" s="96" t="n"/>
      <x:c r="C146" s="96" t="n"/>
      <x:c r="D146" s="96" t="n"/>
      <x:c r="E146" s="97" t="n"/>
      <x:c r="F146" s="96" t="n"/>
      <x:c r="G146" s="96" t="n"/>
      <x:c r="H146" s="96" t="n"/>
      <x:c r="I146" s="96" t="n"/>
      <x:c r="J146" s="96" t="n"/>
      <x:c r="K146" s="96" t="n"/>
      <x:c r="L146" s="97" t="n"/>
      <x:c r="M146" s="96" t="n"/>
      <x:c r="N146" s="96" t="n"/>
      <x:c r="O146" s="11" t="n"/>
      <x:c r="P146" s="10" t="n"/>
      <x:c r="Q146" s="11" t="n"/>
      <x:c r="R146" s="10" t="n"/>
      <x:c r="S146" s="10" t="n"/>
      <x:c r="T146" s="10" t="n"/>
      <x:c r="U146" s="12" t="str">
        <x:f>IF($B146="","",IF(OR(AND($G146&lt;&gt;"оригинал",$G146&lt;&gt;"копия",$G146&lt;&gt;"скан",$G146&lt;&gt;"нет"),AND($J146&lt;&gt;"да",$J146&lt;&gt;"нет")),"НЕ ПРОВЕРЕНО: наличие или обязательность",IF(AND($N146="да",OR($O146="",$M146="")),"передан без следа: эксперт или дата",IF(AND($P146="да",$Q146=""),"НЕ ПРОВЕРЕНО: дата запроса",IF($B146="","",IF(AND($J146="да",$G146="нет",$P146&lt;&gt;"да"),"дыра: обязательного документа нет, запрос не направлен",IF(AND($G146="нет",$P146="да",$R146&lt;&gt;"да"),"запрошен, не получен",IF(AND($G146="нет",$J146&lt;&gt;"да"),"отсутствует, на причину не влияет",IF(AND(OR($K146="да",$N146="да"),$M146=""),"передан без следа",IF(AND($K146="да",$L146=""),"передан без следа","в порядке"))))))))))</x:f>
      </x:c>
    </x:row>
    <x:row r="147">
      <x:c r="A147" s="95" t="str">
        <x:f>IF($B147="","",ROW()-6)</x:f>
      </x:c>
      <x:c r="B147" s="96" t="n"/>
      <x:c r="C147" s="96" t="n"/>
      <x:c r="D147" s="96" t="n"/>
      <x:c r="E147" s="97" t="n"/>
      <x:c r="F147" s="96" t="n"/>
      <x:c r="G147" s="96" t="n"/>
      <x:c r="H147" s="96" t="n"/>
      <x:c r="I147" s="96" t="n"/>
      <x:c r="J147" s="96" t="n"/>
      <x:c r="K147" s="96" t="n"/>
      <x:c r="L147" s="97" t="n"/>
      <x:c r="M147" s="96" t="n"/>
      <x:c r="N147" s="96" t="n"/>
      <x:c r="O147" s="11" t="n"/>
      <x:c r="P147" s="10" t="n"/>
      <x:c r="Q147" s="11" t="n"/>
      <x:c r="R147" s="10" t="n"/>
      <x:c r="S147" s="10" t="n"/>
      <x:c r="T147" s="10" t="n"/>
      <x:c r="U147" s="12" t="str">
        <x:f>IF($B147="","",IF(OR(AND($G147&lt;&gt;"оригинал",$G147&lt;&gt;"копия",$G147&lt;&gt;"скан",$G147&lt;&gt;"нет"),AND($J147&lt;&gt;"да",$J147&lt;&gt;"нет")),"НЕ ПРОВЕРЕНО: наличие или обязательность",IF(AND($N147="да",OR($O147="",$M147="")),"передан без следа: эксперт или дата",IF(AND($P147="да",$Q147=""),"НЕ ПРОВЕРЕНО: дата запроса",IF($B147="","",IF(AND($J147="да",$G147="нет",$P147&lt;&gt;"да"),"дыра: обязательного документа нет, запрос не направлен",IF(AND($G147="нет",$P147="да",$R147&lt;&gt;"да"),"запрошен, не получен",IF(AND($G147="нет",$J147&lt;&gt;"да"),"отсутствует, на причину не влияет",IF(AND(OR($K147="да",$N147="да"),$M147=""),"передан без следа",IF(AND($K147="да",$L147=""),"передан без следа","в порядке"))))))))))</x:f>
      </x:c>
    </x:row>
    <x:row r="148">
      <x:c r="A148" s="95" t="str">
        <x:f>IF($B148="","",ROW()-6)</x:f>
      </x:c>
      <x:c r="B148" s="96" t="n"/>
      <x:c r="C148" s="96" t="n"/>
      <x:c r="D148" s="96" t="n"/>
      <x:c r="E148" s="97" t="n"/>
      <x:c r="F148" s="96" t="n"/>
      <x:c r="G148" s="96" t="n"/>
      <x:c r="H148" s="96" t="n"/>
      <x:c r="I148" s="96" t="n"/>
      <x:c r="J148" s="96" t="n"/>
      <x:c r="K148" s="96" t="n"/>
      <x:c r="L148" s="97" t="n"/>
      <x:c r="M148" s="96" t="n"/>
      <x:c r="N148" s="96" t="n"/>
      <x:c r="O148" s="11" t="n"/>
      <x:c r="P148" s="10" t="n"/>
      <x:c r="Q148" s="11" t="n"/>
      <x:c r="R148" s="10" t="n"/>
      <x:c r="S148" s="10" t="n"/>
      <x:c r="T148" s="10" t="n"/>
      <x:c r="U148" s="12" t="str">
        <x:f>IF($B148="","",IF(OR(AND($G148&lt;&gt;"оригинал",$G148&lt;&gt;"копия",$G148&lt;&gt;"скан",$G148&lt;&gt;"нет"),AND($J148&lt;&gt;"да",$J148&lt;&gt;"нет")),"НЕ ПРОВЕРЕНО: наличие или обязательность",IF(AND($N148="да",OR($O148="",$M148="")),"передан без следа: эксперт или дата",IF(AND($P148="да",$Q148=""),"НЕ ПРОВЕРЕНО: дата запроса",IF($B148="","",IF(AND($J148="да",$G148="нет",$P148&lt;&gt;"да"),"дыра: обязательного документа нет, запрос не направлен",IF(AND($G148="нет",$P148="да",$R148&lt;&gt;"да"),"запрошен, не получен",IF(AND($G148="нет",$J148&lt;&gt;"да"),"отсутствует, на причину не влияет",IF(AND(OR($K148="да",$N148="да"),$M148=""),"передан без следа",IF(AND($K148="да",$L148=""),"передан без следа","в порядке"))))))))))</x:f>
      </x:c>
    </x:row>
    <x:row r="149">
      <x:c r="A149" s="95" t="str">
        <x:f>IF($B149="","",ROW()-6)</x:f>
      </x:c>
      <x:c r="B149" s="96" t="n"/>
      <x:c r="C149" s="96" t="n"/>
      <x:c r="D149" s="96" t="n"/>
      <x:c r="E149" s="97" t="n"/>
      <x:c r="F149" s="96" t="n"/>
      <x:c r="G149" s="96" t="n"/>
      <x:c r="H149" s="96" t="n"/>
      <x:c r="I149" s="96" t="n"/>
      <x:c r="J149" s="96" t="n"/>
      <x:c r="K149" s="96" t="n"/>
      <x:c r="L149" s="97" t="n"/>
      <x:c r="M149" s="96" t="n"/>
      <x:c r="N149" s="96" t="n"/>
      <x:c r="O149" s="11" t="n"/>
      <x:c r="P149" s="10" t="n"/>
      <x:c r="Q149" s="11" t="n"/>
      <x:c r="R149" s="10" t="n"/>
      <x:c r="S149" s="10" t="n"/>
      <x:c r="T149" s="10" t="n"/>
      <x:c r="U149" s="12" t="str">
        <x:f>IF($B149="","",IF(OR(AND($G149&lt;&gt;"оригинал",$G149&lt;&gt;"копия",$G149&lt;&gt;"скан",$G149&lt;&gt;"нет"),AND($J149&lt;&gt;"да",$J149&lt;&gt;"нет")),"НЕ ПРОВЕРЕНО: наличие или обязательность",IF(AND($N149="да",OR($O149="",$M149="")),"передан без следа: эксперт или дата",IF(AND($P149="да",$Q149=""),"НЕ ПРОВЕРЕНО: дата запроса",IF($B149="","",IF(AND($J149="да",$G149="нет",$P149&lt;&gt;"да"),"дыра: обязательного документа нет, запрос не направлен",IF(AND($G149="нет",$P149="да",$R149&lt;&gt;"да"),"запрошен, не получен",IF(AND($G149="нет",$J149&lt;&gt;"да"),"отсутствует, на причину не влияет",IF(AND(OR($K149="да",$N149="да"),$M149=""),"передан без следа",IF(AND($K149="да",$L149=""),"передан без следа","в порядке"))))))))))</x:f>
      </x:c>
    </x:row>
    <x:row r="150">
      <x:c r="A150" s="95" t="str">
        <x:f>IF($B150="","",ROW()-6)</x:f>
      </x:c>
      <x:c r="B150" s="96" t="n"/>
      <x:c r="C150" s="96" t="n"/>
      <x:c r="D150" s="96" t="n"/>
      <x:c r="E150" s="97" t="n"/>
      <x:c r="F150" s="96" t="n"/>
      <x:c r="G150" s="96" t="n"/>
      <x:c r="H150" s="96" t="n"/>
      <x:c r="I150" s="96" t="n"/>
      <x:c r="J150" s="96" t="n"/>
      <x:c r="K150" s="96" t="n"/>
      <x:c r="L150" s="97" t="n"/>
      <x:c r="M150" s="96" t="n"/>
      <x:c r="N150" s="96" t="n"/>
      <x:c r="O150" s="11" t="n"/>
      <x:c r="P150" s="10" t="n"/>
      <x:c r="Q150" s="11" t="n"/>
      <x:c r="R150" s="10" t="n"/>
      <x:c r="S150" s="10" t="n"/>
      <x:c r="T150" s="10" t="n"/>
      <x:c r="U150" s="12" t="str">
        <x:f>IF($B150="","",IF(OR(AND($G150&lt;&gt;"оригинал",$G150&lt;&gt;"копия",$G150&lt;&gt;"скан",$G150&lt;&gt;"нет"),AND($J150&lt;&gt;"да",$J150&lt;&gt;"нет")),"НЕ ПРОВЕРЕНО: наличие или обязательность",IF(AND($N150="да",OR($O150="",$M150="")),"передан без следа: эксперт или дата",IF(AND($P150="да",$Q150=""),"НЕ ПРОВЕРЕНО: дата запроса",IF($B150="","",IF(AND($J150="да",$G150="нет",$P150&lt;&gt;"да"),"дыра: обязательного документа нет, запрос не направлен",IF(AND($G150="нет",$P150="да",$R150&lt;&gt;"да"),"запрошен, не получен",IF(AND($G150="нет",$J150&lt;&gt;"да"),"отсутствует, на причину не влияет",IF(AND(OR($K150="да",$N150="да"),$M150=""),"передан без следа",IF(AND($K150="да",$L150=""),"передан без следа","в порядке"))))))))))</x:f>
      </x:c>
    </x:row>
    <x:row r="151">
      <x:c r="A151" s="95" t="str">
        <x:f>IF($B151="","",ROW()-6)</x:f>
      </x:c>
      <x:c r="B151" s="96" t="n"/>
      <x:c r="C151" s="96" t="n"/>
      <x:c r="D151" s="96" t="n"/>
      <x:c r="E151" s="97" t="n"/>
      <x:c r="F151" s="96" t="n"/>
      <x:c r="G151" s="96" t="n"/>
      <x:c r="H151" s="96" t="n"/>
      <x:c r="I151" s="96" t="n"/>
      <x:c r="J151" s="96" t="n"/>
      <x:c r="K151" s="96" t="n"/>
      <x:c r="L151" s="97" t="n"/>
      <x:c r="M151" s="96" t="n"/>
      <x:c r="N151" s="96" t="n"/>
      <x:c r="O151" s="11" t="n"/>
      <x:c r="P151" s="10" t="n"/>
      <x:c r="Q151" s="11" t="n"/>
      <x:c r="R151" s="10" t="n"/>
      <x:c r="S151" s="10" t="n"/>
      <x:c r="T151" s="10" t="n"/>
      <x:c r="U151" s="12" t="str">
        <x:f>IF($B151="","",IF(OR(AND($G151&lt;&gt;"оригинал",$G151&lt;&gt;"копия",$G151&lt;&gt;"скан",$G151&lt;&gt;"нет"),AND($J151&lt;&gt;"да",$J151&lt;&gt;"нет")),"НЕ ПРОВЕРЕНО: наличие или обязательность",IF(AND($N151="да",OR($O151="",$M151="")),"передан без следа: эксперт или дата",IF(AND($P151="да",$Q151=""),"НЕ ПРОВЕРЕНО: дата запроса",IF($B151="","",IF(AND($J151="да",$G151="нет",$P151&lt;&gt;"да"),"дыра: обязательного документа нет, запрос не направлен",IF(AND($G151="нет",$P151="да",$R151&lt;&gt;"да"),"запрошен, не получен",IF(AND($G151="нет",$J151&lt;&gt;"да"),"отсутствует, на причину не влияет",IF(AND(OR($K151="да",$N151="да"),$M151=""),"передан без следа",IF(AND($K151="да",$L151=""),"передан без следа","в порядке"))))))))))</x:f>
      </x:c>
    </x:row>
    <x:row r="152">
      <x:c r="A152" s="95" t="str">
        <x:f>IF($B152="","",ROW()-6)</x:f>
      </x:c>
      <x:c r="B152" s="96" t="n"/>
      <x:c r="C152" s="96" t="n"/>
      <x:c r="D152" s="96" t="n"/>
      <x:c r="E152" s="97" t="n"/>
      <x:c r="F152" s="96" t="n"/>
      <x:c r="G152" s="96" t="n"/>
      <x:c r="H152" s="96" t="n"/>
      <x:c r="I152" s="96" t="n"/>
      <x:c r="J152" s="96" t="n"/>
      <x:c r="K152" s="96" t="n"/>
      <x:c r="L152" s="97" t="n"/>
      <x:c r="M152" s="96" t="n"/>
      <x:c r="N152" s="96" t="n"/>
      <x:c r="O152" s="11" t="n"/>
      <x:c r="P152" s="10" t="n"/>
      <x:c r="Q152" s="11" t="n"/>
      <x:c r="R152" s="10" t="n"/>
      <x:c r="S152" s="10" t="n"/>
      <x:c r="T152" s="10" t="n"/>
      <x:c r="U152" s="12" t="str">
        <x:f>IF($B152="","",IF(OR(AND($G152&lt;&gt;"оригинал",$G152&lt;&gt;"копия",$G152&lt;&gt;"скан",$G152&lt;&gt;"нет"),AND($J152&lt;&gt;"да",$J152&lt;&gt;"нет")),"НЕ ПРОВЕРЕНО: наличие или обязательность",IF(AND($N152="да",OR($O152="",$M152="")),"передан без следа: эксперт или дата",IF(AND($P152="да",$Q152=""),"НЕ ПРОВЕРЕНО: дата запроса",IF($B152="","",IF(AND($J152="да",$G152="нет",$P152&lt;&gt;"да"),"дыра: обязательного документа нет, запрос не направлен",IF(AND($G152="нет",$P152="да",$R152&lt;&gt;"да"),"запрошен, не получен",IF(AND($G152="нет",$J152&lt;&gt;"да"),"отсутствует, на причину не влияет",IF(AND(OR($K152="да",$N152="да"),$M152=""),"передан без следа",IF(AND($K152="да",$L152=""),"передан без следа","в порядке"))))))))))</x:f>
      </x:c>
    </x:row>
    <x:row r="153">
      <x:c r="A153" s="95" t="str">
        <x:f>IF($B153="","",ROW()-6)</x:f>
      </x:c>
      <x:c r="B153" s="96" t="n"/>
      <x:c r="C153" s="96" t="n"/>
      <x:c r="D153" s="96" t="n"/>
      <x:c r="E153" s="97" t="n"/>
      <x:c r="F153" s="96" t="n"/>
      <x:c r="G153" s="96" t="n"/>
      <x:c r="H153" s="96" t="n"/>
      <x:c r="I153" s="96" t="n"/>
      <x:c r="J153" s="96" t="n"/>
      <x:c r="K153" s="96" t="n"/>
      <x:c r="L153" s="97" t="n"/>
      <x:c r="M153" s="96" t="n"/>
      <x:c r="N153" s="96" t="n"/>
      <x:c r="O153" s="11" t="n"/>
      <x:c r="P153" s="10" t="n"/>
      <x:c r="Q153" s="11" t="n"/>
      <x:c r="R153" s="10" t="n"/>
      <x:c r="S153" s="10" t="n"/>
      <x:c r="T153" s="10" t="n"/>
      <x:c r="U153" s="12" t="str">
        <x:f>IF($B153="","",IF(OR(AND($G153&lt;&gt;"оригинал",$G153&lt;&gt;"копия",$G153&lt;&gt;"скан",$G153&lt;&gt;"нет"),AND($J153&lt;&gt;"да",$J153&lt;&gt;"нет")),"НЕ ПРОВЕРЕНО: наличие или обязательность",IF(AND($N153="да",OR($O153="",$M153="")),"передан без следа: эксперт или дата",IF(AND($P153="да",$Q153=""),"НЕ ПРОВЕРЕНО: дата запроса",IF($B153="","",IF(AND($J153="да",$G153="нет",$P153&lt;&gt;"да"),"дыра: обязательного документа нет, запрос не направлен",IF(AND($G153="нет",$P153="да",$R153&lt;&gt;"да"),"запрошен, не получен",IF(AND($G153="нет",$J153&lt;&gt;"да"),"отсутствует, на причину не влияет",IF(AND(OR($K153="да",$N153="да"),$M153=""),"передан без следа",IF(AND($K153="да",$L153=""),"передан без следа","в порядке"))))))))))</x:f>
      </x:c>
    </x:row>
    <x:row r="154">
      <x:c r="A154" s="95" t="str">
        <x:f>IF($B154="","",ROW()-6)</x:f>
      </x:c>
      <x:c r="B154" s="96" t="n"/>
      <x:c r="C154" s="96" t="n"/>
      <x:c r="D154" s="96" t="n"/>
      <x:c r="E154" s="97" t="n"/>
      <x:c r="F154" s="96" t="n"/>
      <x:c r="G154" s="96" t="n"/>
      <x:c r="H154" s="96" t="n"/>
      <x:c r="I154" s="96" t="n"/>
      <x:c r="J154" s="96" t="n"/>
      <x:c r="K154" s="96" t="n"/>
      <x:c r="L154" s="97" t="n"/>
      <x:c r="M154" s="96" t="n"/>
      <x:c r="N154" s="96" t="n"/>
      <x:c r="O154" s="11" t="n"/>
      <x:c r="P154" s="10" t="n"/>
      <x:c r="Q154" s="11" t="n"/>
      <x:c r="R154" s="10" t="n"/>
      <x:c r="S154" s="10" t="n"/>
      <x:c r="T154" s="10" t="n"/>
      <x:c r="U154" s="12" t="str">
        <x:f>IF($B154="","",IF(OR(AND($G154&lt;&gt;"оригинал",$G154&lt;&gt;"копия",$G154&lt;&gt;"скан",$G154&lt;&gt;"нет"),AND($J154&lt;&gt;"да",$J154&lt;&gt;"нет")),"НЕ ПРОВЕРЕНО: наличие или обязательность",IF(AND($N154="да",OR($O154="",$M154="")),"передан без следа: эксперт или дата",IF(AND($P154="да",$Q154=""),"НЕ ПРОВЕРЕНО: дата запроса",IF($B154="","",IF(AND($J154="да",$G154="нет",$P154&lt;&gt;"да"),"дыра: обязательного документа нет, запрос не направлен",IF(AND($G154="нет",$P154="да",$R154&lt;&gt;"да"),"запрошен, не получен",IF(AND($G154="нет",$J154&lt;&gt;"да"),"отсутствует, на причину не влияет",IF(AND(OR($K154="да",$N154="да"),$M154=""),"передан без следа",IF(AND($K154="да",$L154=""),"передан без следа","в порядке"))))))))))</x:f>
      </x:c>
    </x:row>
    <x:row r="155">
      <x:c r="A155" s="95" t="str">
        <x:f>IF($B155="","",ROW()-6)</x:f>
      </x:c>
      <x:c r="B155" s="96" t="n"/>
      <x:c r="C155" s="96" t="n"/>
      <x:c r="D155" s="96" t="n"/>
      <x:c r="E155" s="97" t="n"/>
      <x:c r="F155" s="96" t="n"/>
      <x:c r="G155" s="96" t="n"/>
      <x:c r="H155" s="96" t="n"/>
      <x:c r="I155" s="96" t="n"/>
      <x:c r="J155" s="96" t="n"/>
      <x:c r="K155" s="96" t="n"/>
      <x:c r="L155" s="97" t="n"/>
      <x:c r="M155" s="96" t="n"/>
      <x:c r="N155" s="96" t="n"/>
      <x:c r="O155" s="11" t="n"/>
      <x:c r="P155" s="10" t="n"/>
      <x:c r="Q155" s="11" t="n"/>
      <x:c r="R155" s="10" t="n"/>
      <x:c r="S155" s="10" t="n"/>
      <x:c r="T155" s="10" t="n"/>
      <x:c r="U155" s="12" t="str">
        <x:f>IF($B155="","",IF(OR(AND($G155&lt;&gt;"оригинал",$G155&lt;&gt;"копия",$G155&lt;&gt;"скан",$G155&lt;&gt;"нет"),AND($J155&lt;&gt;"да",$J155&lt;&gt;"нет")),"НЕ ПРОВЕРЕНО: наличие или обязательность",IF(AND($N155="да",OR($O155="",$M155="")),"передан без следа: эксперт или дата",IF(AND($P155="да",$Q155=""),"НЕ ПРОВЕРЕНО: дата запроса",IF($B155="","",IF(AND($J155="да",$G155="нет",$P155&lt;&gt;"да"),"дыра: обязательного документа нет, запрос не направлен",IF(AND($G155="нет",$P155="да",$R155&lt;&gt;"да"),"запрошен, не получен",IF(AND($G155="нет",$J155&lt;&gt;"да"),"отсутствует, на причину не влияет",IF(AND(OR($K155="да",$N155="да"),$M155=""),"передан без следа",IF(AND($K155="да",$L155=""),"передан без следа","в порядке"))))))))))</x:f>
      </x:c>
    </x:row>
    <x:row r="156">
      <x:c r="A156" s="95" t="str">
        <x:f>IF($B156="","",ROW()-6)</x:f>
      </x:c>
      <x:c r="B156" s="96" t="n"/>
      <x:c r="C156" s="96" t="n"/>
      <x:c r="D156" s="96" t="n"/>
      <x:c r="E156" s="97" t="n"/>
      <x:c r="F156" s="96" t="n"/>
      <x:c r="G156" s="96" t="n"/>
      <x:c r="H156" s="96" t="n"/>
      <x:c r="I156" s="96" t="n"/>
      <x:c r="J156" s="96" t="n"/>
      <x:c r="K156" s="96" t="n"/>
      <x:c r="L156" s="97" t="n"/>
      <x:c r="M156" s="96" t="n"/>
      <x:c r="N156" s="96" t="n"/>
      <x:c r="O156" s="11" t="n"/>
      <x:c r="P156" s="10" t="n"/>
      <x:c r="Q156" s="11" t="n"/>
      <x:c r="R156" s="10" t="n"/>
      <x:c r="S156" s="10" t="n"/>
      <x:c r="T156" s="10" t="n"/>
      <x:c r="U156" s="12" t="str">
        <x:f>IF($B156="","",IF(OR(AND($G156&lt;&gt;"оригинал",$G156&lt;&gt;"копия",$G156&lt;&gt;"скан",$G156&lt;&gt;"нет"),AND($J156&lt;&gt;"да",$J156&lt;&gt;"нет")),"НЕ ПРОВЕРЕНО: наличие или обязательность",IF(AND($N156="да",OR($O156="",$M156="")),"передан без следа: эксперт или дата",IF(AND($P156="да",$Q156=""),"НЕ ПРОВЕРЕНО: дата запроса",IF($B156="","",IF(AND($J156="да",$G156="нет",$P156&lt;&gt;"да"),"дыра: обязательного документа нет, запрос не направлен",IF(AND($G156="нет",$P156="да",$R156&lt;&gt;"да"),"запрошен, не получен",IF(AND($G156="нет",$J156&lt;&gt;"да"),"отсутствует, на причину не влияет",IF(AND(OR($K156="да",$N156="да"),$M156=""),"передан без следа",IF(AND($K156="да",$L156=""),"передан без следа","в порядке"))))))))))</x:f>
      </x:c>
    </x:row>
    <x:row r="157">
      <x:c r="A157" s="95" t="str">
        <x:f>IF($B157="","",ROW()-6)</x:f>
      </x:c>
      <x:c r="B157" s="96" t="n"/>
      <x:c r="C157" s="96" t="n"/>
      <x:c r="D157" s="96" t="n"/>
      <x:c r="E157" s="97" t="n"/>
      <x:c r="F157" s="96" t="n"/>
      <x:c r="G157" s="96" t="n"/>
      <x:c r="H157" s="96" t="n"/>
      <x:c r="I157" s="96" t="n"/>
      <x:c r="J157" s="96" t="n"/>
      <x:c r="K157" s="96" t="n"/>
      <x:c r="L157" s="97" t="n"/>
      <x:c r="M157" s="96" t="n"/>
      <x:c r="N157" s="96" t="n"/>
      <x:c r="O157" s="11" t="n"/>
      <x:c r="P157" s="10" t="n"/>
      <x:c r="Q157" s="11" t="n"/>
      <x:c r="R157" s="10" t="n"/>
      <x:c r="S157" s="10" t="n"/>
      <x:c r="T157" s="10" t="n"/>
      <x:c r="U157" s="12" t="str">
        <x:f>IF($B157="","",IF(OR(AND($G157&lt;&gt;"оригинал",$G157&lt;&gt;"копия",$G157&lt;&gt;"скан",$G157&lt;&gt;"нет"),AND($J157&lt;&gt;"да",$J157&lt;&gt;"нет")),"НЕ ПРОВЕРЕНО: наличие или обязательность",IF(AND($N157="да",OR($O157="",$M157="")),"передан без следа: эксперт или дата",IF(AND($P157="да",$Q157=""),"НЕ ПРОВЕРЕНО: дата запроса",IF($B157="","",IF(AND($J157="да",$G157="нет",$P157&lt;&gt;"да"),"дыра: обязательного документа нет, запрос не направлен",IF(AND($G157="нет",$P157="да",$R157&lt;&gt;"да"),"запрошен, не получен",IF(AND($G157="нет",$J157&lt;&gt;"да"),"отсутствует, на причину не влияет",IF(AND(OR($K157="да",$N157="да"),$M157=""),"передан без следа",IF(AND($K157="да",$L157=""),"передан без следа","в порядке"))))))))))</x:f>
      </x:c>
    </x:row>
    <x:row r="158">
      <x:c r="A158" s="95" t="str">
        <x:f>IF($B158="","",ROW()-6)</x:f>
      </x:c>
      <x:c r="B158" s="96" t="n"/>
      <x:c r="C158" s="96" t="n"/>
      <x:c r="D158" s="96" t="n"/>
      <x:c r="E158" s="97" t="n"/>
      <x:c r="F158" s="96" t="n"/>
      <x:c r="G158" s="96" t="n"/>
      <x:c r="H158" s="96" t="n"/>
      <x:c r="I158" s="96" t="n"/>
      <x:c r="J158" s="96" t="n"/>
      <x:c r="K158" s="96" t="n"/>
      <x:c r="L158" s="97" t="n"/>
      <x:c r="M158" s="96" t="n"/>
      <x:c r="N158" s="96" t="n"/>
      <x:c r="O158" s="11" t="n"/>
      <x:c r="P158" s="10" t="n"/>
      <x:c r="Q158" s="11" t="n"/>
      <x:c r="R158" s="10" t="n"/>
      <x:c r="S158" s="10" t="n"/>
      <x:c r="T158" s="10" t="n"/>
      <x:c r="U158" s="12" t="str">
        <x:f>IF($B158="","",IF(OR(AND($G158&lt;&gt;"оригинал",$G158&lt;&gt;"копия",$G158&lt;&gt;"скан",$G158&lt;&gt;"нет"),AND($J158&lt;&gt;"да",$J158&lt;&gt;"нет")),"НЕ ПРОВЕРЕНО: наличие или обязательность",IF(AND($N158="да",OR($O158="",$M158="")),"передан без следа: эксперт или дата",IF(AND($P158="да",$Q158=""),"НЕ ПРОВЕРЕНО: дата запроса",IF($B158="","",IF(AND($J158="да",$G158="нет",$P158&lt;&gt;"да"),"дыра: обязательного документа нет, запрос не направлен",IF(AND($G158="нет",$P158="да",$R158&lt;&gt;"да"),"запрошен, не получен",IF(AND($G158="нет",$J158&lt;&gt;"да"),"отсутствует, на причину не влияет",IF(AND(OR($K158="да",$N158="да"),$M158=""),"передан без следа",IF(AND($K158="да",$L158=""),"передан без следа","в порядке"))))))))))</x:f>
      </x:c>
    </x:row>
    <x:row r="159">
      <x:c r="A159" s="95" t="str">
        <x:f>IF($B159="","",ROW()-6)</x:f>
      </x:c>
      <x:c r="B159" s="96" t="n"/>
      <x:c r="C159" s="96" t="n"/>
      <x:c r="D159" s="96" t="n"/>
      <x:c r="E159" s="97" t="n"/>
      <x:c r="F159" s="96" t="n"/>
      <x:c r="G159" s="96" t="n"/>
      <x:c r="H159" s="96" t="n"/>
      <x:c r="I159" s="96" t="n"/>
      <x:c r="J159" s="96" t="n"/>
      <x:c r="K159" s="96" t="n"/>
      <x:c r="L159" s="97" t="n"/>
      <x:c r="M159" s="96" t="n"/>
      <x:c r="N159" s="96" t="n"/>
      <x:c r="O159" s="11" t="n"/>
      <x:c r="P159" s="10" t="n"/>
      <x:c r="Q159" s="11" t="n"/>
      <x:c r="R159" s="10" t="n"/>
      <x:c r="S159" s="10" t="n"/>
      <x:c r="T159" s="10" t="n"/>
      <x:c r="U159" s="12" t="str">
        <x:f>IF($B159="","",IF(OR(AND($G159&lt;&gt;"оригинал",$G159&lt;&gt;"копия",$G159&lt;&gt;"скан",$G159&lt;&gt;"нет"),AND($J159&lt;&gt;"да",$J159&lt;&gt;"нет")),"НЕ ПРОВЕРЕНО: наличие или обязательность",IF(AND($N159="да",OR($O159="",$M159="")),"передан без следа: эксперт или дата",IF(AND($P159="да",$Q159=""),"НЕ ПРОВЕРЕНО: дата запроса",IF($B159="","",IF(AND($J159="да",$G159="нет",$P159&lt;&gt;"да"),"дыра: обязательного документа нет, запрос не направлен",IF(AND($G159="нет",$P159="да",$R159&lt;&gt;"да"),"запрошен, не получен",IF(AND($G159="нет",$J159&lt;&gt;"да"),"отсутствует, на причину не влияет",IF(AND(OR($K159="да",$N159="да"),$M159=""),"передан без следа",IF(AND($K159="да",$L159=""),"передан без следа","в порядке"))))))))))</x:f>
      </x:c>
    </x:row>
    <x:row r="160">
      <x:c r="A160" s="95" t="str">
        <x:f>IF($B160="","",ROW()-6)</x:f>
      </x:c>
      <x:c r="B160" s="96" t="n"/>
      <x:c r="C160" s="96" t="n"/>
      <x:c r="D160" s="96" t="n"/>
      <x:c r="E160" s="97" t="n"/>
      <x:c r="F160" s="96" t="n"/>
      <x:c r="G160" s="96" t="n"/>
      <x:c r="H160" s="96" t="n"/>
      <x:c r="I160" s="96" t="n"/>
      <x:c r="J160" s="96" t="n"/>
      <x:c r="K160" s="96" t="n"/>
      <x:c r="L160" s="97" t="n"/>
      <x:c r="M160" s="96" t="n"/>
      <x:c r="N160" s="96" t="n"/>
      <x:c r="O160" s="11" t="n"/>
      <x:c r="P160" s="10" t="n"/>
      <x:c r="Q160" s="11" t="n"/>
      <x:c r="R160" s="10" t="n"/>
      <x:c r="S160" s="10" t="n"/>
      <x:c r="T160" s="10" t="n"/>
      <x:c r="U160" s="12" t="str">
        <x:f>IF($B160="","",IF(OR(AND($G160&lt;&gt;"оригинал",$G160&lt;&gt;"копия",$G160&lt;&gt;"скан",$G160&lt;&gt;"нет"),AND($J160&lt;&gt;"да",$J160&lt;&gt;"нет")),"НЕ ПРОВЕРЕНО: наличие или обязательность",IF(AND($N160="да",OR($O160="",$M160="")),"передан без следа: эксперт или дата",IF(AND($P160="да",$Q160=""),"НЕ ПРОВЕРЕНО: дата запроса",IF($B160="","",IF(AND($J160="да",$G160="нет",$P160&lt;&gt;"да"),"дыра: обязательного документа нет, запрос не направлен",IF(AND($G160="нет",$P160="да",$R160&lt;&gt;"да"),"запрошен, не получен",IF(AND($G160="нет",$J160&lt;&gt;"да"),"отсутствует, на причину не влияет",IF(AND(OR($K160="да",$N160="да"),$M160=""),"передан без следа",IF(AND($K160="да",$L160=""),"передан без следа","в порядке"))))))))))</x:f>
      </x:c>
    </x:row>
    <x:row r="161">
      <x:c r="A161" s="95" t="str">
        <x:f>IF($B161="","",ROW()-6)</x:f>
      </x:c>
      <x:c r="B161" s="96" t="n"/>
      <x:c r="C161" s="96" t="n"/>
      <x:c r="D161" s="96" t="n"/>
      <x:c r="E161" s="97" t="n"/>
      <x:c r="F161" s="96" t="n"/>
      <x:c r="G161" s="96" t="n"/>
      <x:c r="H161" s="96" t="n"/>
      <x:c r="I161" s="96" t="n"/>
      <x:c r="J161" s="96" t="n"/>
      <x:c r="K161" s="96" t="n"/>
      <x:c r="L161" s="97" t="n"/>
      <x:c r="M161" s="96" t="n"/>
      <x:c r="N161" s="96" t="n"/>
      <x:c r="O161" s="11" t="n"/>
      <x:c r="P161" s="10" t="n"/>
      <x:c r="Q161" s="11" t="n"/>
      <x:c r="R161" s="10" t="n"/>
      <x:c r="S161" s="10" t="n"/>
      <x:c r="T161" s="10" t="n"/>
      <x:c r="U161" s="12" t="str">
        <x:f>IF($B161="","",IF(OR(AND($G161&lt;&gt;"оригинал",$G161&lt;&gt;"копия",$G161&lt;&gt;"скан",$G161&lt;&gt;"нет"),AND($J161&lt;&gt;"да",$J161&lt;&gt;"нет")),"НЕ ПРОВЕРЕНО: наличие или обязательность",IF(AND($N161="да",OR($O161="",$M161="")),"передан без следа: эксперт или дата",IF(AND($P161="да",$Q161=""),"НЕ ПРОВЕРЕНО: дата запроса",IF($B161="","",IF(AND($J161="да",$G161="нет",$P161&lt;&gt;"да"),"дыра: обязательного документа нет, запрос не направлен",IF(AND($G161="нет",$P161="да",$R161&lt;&gt;"да"),"запрошен, не получен",IF(AND($G161="нет",$J161&lt;&gt;"да"),"отсутствует, на причину не влияет",IF(AND(OR($K161="да",$N161="да"),$M161=""),"передан без следа",IF(AND($K161="да",$L161=""),"передан без следа","в порядке"))))))))))</x:f>
      </x:c>
    </x:row>
    <x:row r="162">
      <x:c r="A162" s="95" t="str">
        <x:f>IF($B162="","",ROW()-6)</x:f>
      </x:c>
      <x:c r="B162" s="96" t="n"/>
      <x:c r="C162" s="96" t="n"/>
      <x:c r="D162" s="96" t="n"/>
      <x:c r="E162" s="97" t="n"/>
      <x:c r="F162" s="96" t="n"/>
      <x:c r="G162" s="96" t="n"/>
      <x:c r="H162" s="96" t="n"/>
      <x:c r="I162" s="96" t="n"/>
      <x:c r="J162" s="96" t="n"/>
      <x:c r="K162" s="96" t="n"/>
      <x:c r="L162" s="97" t="n"/>
      <x:c r="M162" s="96" t="n"/>
      <x:c r="N162" s="96" t="n"/>
      <x:c r="O162" s="11" t="n"/>
      <x:c r="P162" s="10" t="n"/>
      <x:c r="Q162" s="11" t="n"/>
      <x:c r="R162" s="10" t="n"/>
      <x:c r="S162" s="10" t="n"/>
      <x:c r="T162" s="10" t="n"/>
      <x:c r="U162" s="12" t="str">
        <x:f>IF($B162="","",IF(OR(AND($G162&lt;&gt;"оригинал",$G162&lt;&gt;"копия",$G162&lt;&gt;"скан",$G162&lt;&gt;"нет"),AND($J162&lt;&gt;"да",$J162&lt;&gt;"нет")),"НЕ ПРОВЕРЕНО: наличие или обязательность",IF(AND($N162="да",OR($O162="",$M162="")),"передан без следа: эксперт или дата",IF(AND($P162="да",$Q162=""),"НЕ ПРОВЕРЕНО: дата запроса",IF($B162="","",IF(AND($J162="да",$G162="нет",$P162&lt;&gt;"да"),"дыра: обязательного документа нет, запрос не направлен",IF(AND($G162="нет",$P162="да",$R162&lt;&gt;"да"),"запрошен, не получен",IF(AND($G162="нет",$J162&lt;&gt;"да"),"отсутствует, на причину не влияет",IF(AND(OR($K162="да",$N162="да"),$M162=""),"передан без следа",IF(AND($K162="да",$L162=""),"передан без следа","в порядке"))))))))))</x:f>
      </x:c>
    </x:row>
    <x:row r="163">
      <x:c r="A163" s="95" t="str">
        <x:f>IF($B163="","",ROW()-6)</x:f>
      </x:c>
      <x:c r="B163" s="96" t="n"/>
      <x:c r="C163" s="96" t="n"/>
      <x:c r="D163" s="96" t="n"/>
      <x:c r="E163" s="97" t="n"/>
      <x:c r="F163" s="96" t="n"/>
      <x:c r="G163" s="96" t="n"/>
      <x:c r="H163" s="96" t="n"/>
      <x:c r="I163" s="96" t="n"/>
      <x:c r="J163" s="96" t="n"/>
      <x:c r="K163" s="96" t="n"/>
      <x:c r="L163" s="97" t="n"/>
      <x:c r="M163" s="96" t="n"/>
      <x:c r="N163" s="96" t="n"/>
      <x:c r="O163" s="11" t="n"/>
      <x:c r="P163" s="10" t="n"/>
      <x:c r="Q163" s="11" t="n"/>
      <x:c r="R163" s="10" t="n"/>
      <x:c r="S163" s="10" t="n"/>
      <x:c r="T163" s="10" t="n"/>
      <x:c r="U163" s="12" t="str">
        <x:f>IF($B163="","",IF(OR(AND($G163&lt;&gt;"оригинал",$G163&lt;&gt;"копия",$G163&lt;&gt;"скан",$G163&lt;&gt;"нет"),AND($J163&lt;&gt;"да",$J163&lt;&gt;"нет")),"НЕ ПРОВЕРЕНО: наличие или обязательность",IF(AND($N163="да",OR($O163="",$M163="")),"передан без следа: эксперт или дата",IF(AND($P163="да",$Q163=""),"НЕ ПРОВЕРЕНО: дата запроса",IF($B163="","",IF(AND($J163="да",$G163="нет",$P163&lt;&gt;"да"),"дыра: обязательного документа нет, запрос не направлен",IF(AND($G163="нет",$P163="да",$R163&lt;&gt;"да"),"запрошен, не получен",IF(AND($G163="нет",$J163&lt;&gt;"да"),"отсутствует, на причину не влияет",IF(AND(OR($K163="да",$N163="да"),$M163=""),"передан без следа",IF(AND($K163="да",$L163=""),"передан без следа","в порядке"))))))))))</x:f>
      </x:c>
    </x:row>
    <x:row r="164">
      <x:c r="A164" s="95" t="str">
        <x:f>IF($B164="","",ROW()-6)</x:f>
      </x:c>
      <x:c r="B164" s="96" t="n"/>
      <x:c r="C164" s="96" t="n"/>
      <x:c r="D164" s="96" t="n"/>
      <x:c r="E164" s="97" t="n"/>
      <x:c r="F164" s="96" t="n"/>
      <x:c r="G164" s="96" t="n"/>
      <x:c r="H164" s="96" t="n"/>
      <x:c r="I164" s="96" t="n"/>
      <x:c r="J164" s="96" t="n"/>
      <x:c r="K164" s="96" t="n"/>
      <x:c r="L164" s="97" t="n"/>
      <x:c r="M164" s="96" t="n"/>
      <x:c r="N164" s="96" t="n"/>
      <x:c r="O164" s="11" t="n"/>
      <x:c r="P164" s="10" t="n"/>
      <x:c r="Q164" s="11" t="n"/>
      <x:c r="R164" s="10" t="n"/>
      <x:c r="S164" s="10" t="n"/>
      <x:c r="T164" s="10" t="n"/>
      <x:c r="U164" s="12" t="str">
        <x:f>IF($B164="","",IF(OR(AND($G164&lt;&gt;"оригинал",$G164&lt;&gt;"копия",$G164&lt;&gt;"скан",$G164&lt;&gt;"нет"),AND($J164&lt;&gt;"да",$J164&lt;&gt;"нет")),"НЕ ПРОВЕРЕНО: наличие или обязательность",IF(AND($N164="да",OR($O164="",$M164="")),"передан без следа: эксперт или дата",IF(AND($P164="да",$Q164=""),"НЕ ПРОВЕРЕНО: дата запроса",IF($B164="","",IF(AND($J164="да",$G164="нет",$P164&lt;&gt;"да"),"дыра: обязательного документа нет, запрос не направлен",IF(AND($G164="нет",$P164="да",$R164&lt;&gt;"да"),"запрошен, не получен",IF(AND($G164="нет",$J164&lt;&gt;"да"),"отсутствует, на причину не влияет",IF(AND(OR($K164="да",$N164="да"),$M164=""),"передан без следа",IF(AND($K164="да",$L164=""),"передан без следа","в порядке"))))))))))</x:f>
      </x:c>
    </x:row>
    <x:row r="165">
      <x:c r="A165" s="95" t="str">
        <x:f>IF($B165="","",ROW()-6)</x:f>
      </x:c>
      <x:c r="B165" s="96" t="n"/>
      <x:c r="C165" s="96" t="n"/>
      <x:c r="D165" s="96" t="n"/>
      <x:c r="E165" s="97" t="n"/>
      <x:c r="F165" s="96" t="n"/>
      <x:c r="G165" s="96" t="n"/>
      <x:c r="H165" s="96" t="n"/>
      <x:c r="I165" s="96" t="n"/>
      <x:c r="J165" s="96" t="n"/>
      <x:c r="K165" s="96" t="n"/>
      <x:c r="L165" s="97" t="n"/>
      <x:c r="M165" s="96" t="n"/>
      <x:c r="N165" s="96" t="n"/>
      <x:c r="O165" s="11" t="n"/>
      <x:c r="P165" s="10" t="n"/>
      <x:c r="Q165" s="11" t="n"/>
      <x:c r="R165" s="10" t="n"/>
      <x:c r="S165" s="10" t="n"/>
      <x:c r="T165" s="10" t="n"/>
      <x:c r="U165" s="12" t="str">
        <x:f>IF($B165="","",IF(OR(AND($G165&lt;&gt;"оригинал",$G165&lt;&gt;"копия",$G165&lt;&gt;"скан",$G165&lt;&gt;"нет"),AND($J165&lt;&gt;"да",$J165&lt;&gt;"нет")),"НЕ ПРОВЕРЕНО: наличие или обязательность",IF(AND($N165="да",OR($O165="",$M165="")),"передан без следа: эксперт или дата",IF(AND($P165="да",$Q165=""),"НЕ ПРОВЕРЕНО: дата запроса",IF($B165="","",IF(AND($J165="да",$G165="нет",$P165&lt;&gt;"да"),"дыра: обязательного документа нет, запрос не направлен",IF(AND($G165="нет",$P165="да",$R165&lt;&gt;"да"),"запрошен, не получен",IF(AND($G165="нет",$J165&lt;&gt;"да"),"отсутствует, на причину не влияет",IF(AND(OR($K165="да",$N165="да"),$M165=""),"передан без следа",IF(AND($K165="да",$L165=""),"передан без следа","в порядке"))))))))))</x:f>
      </x:c>
    </x:row>
    <x:row r="166">
      <x:c r="A166" s="95" t="str">
        <x:f>IF($B166="","",ROW()-6)</x:f>
      </x:c>
      <x:c r="B166" s="96" t="n"/>
      <x:c r="C166" s="96" t="n"/>
      <x:c r="D166" s="96" t="n"/>
      <x:c r="E166" s="97" t="n"/>
      <x:c r="F166" s="96" t="n"/>
      <x:c r="G166" s="96" t="n"/>
      <x:c r="H166" s="96" t="n"/>
      <x:c r="I166" s="96" t="n"/>
      <x:c r="J166" s="96" t="n"/>
      <x:c r="K166" s="96" t="n"/>
      <x:c r="L166" s="97" t="n"/>
      <x:c r="M166" s="96" t="n"/>
      <x:c r="N166" s="96" t="n"/>
      <x:c r="O166" s="11" t="n"/>
      <x:c r="P166" s="10" t="n"/>
      <x:c r="Q166" s="11" t="n"/>
      <x:c r="R166" s="10" t="n"/>
      <x:c r="S166" s="10" t="n"/>
      <x:c r="T166" s="10" t="n"/>
      <x:c r="U166" s="12" t="str">
        <x:f>IF($B166="","",IF(OR(AND($G166&lt;&gt;"оригинал",$G166&lt;&gt;"копия",$G166&lt;&gt;"скан",$G166&lt;&gt;"нет"),AND($J166&lt;&gt;"да",$J166&lt;&gt;"нет")),"НЕ ПРОВЕРЕНО: наличие или обязательность",IF(AND($N166="да",OR($O166="",$M166="")),"передан без следа: эксперт или дата",IF(AND($P166="да",$Q166=""),"НЕ ПРОВЕРЕНО: дата запроса",IF($B166="","",IF(AND($J166="да",$G166="нет",$P166&lt;&gt;"да"),"дыра: обязательного документа нет, запрос не направлен",IF(AND($G166="нет",$P166="да",$R166&lt;&gt;"да"),"запрошен, не получен",IF(AND($G166="нет",$J166&lt;&gt;"да"),"отсутствует, на причину не влияет",IF(AND(OR($K166="да",$N166="да"),$M166=""),"передан без следа",IF(AND($K166="да",$L166=""),"передан без следа","в порядке"))))))))))</x:f>
      </x:c>
    </x:row>
    <x:row r="167">
      <x:c r="A167" s="95" t="str">
        <x:f>IF($B167="","",ROW()-6)</x:f>
      </x:c>
      <x:c r="B167" s="96" t="n"/>
      <x:c r="C167" s="96" t="n"/>
      <x:c r="D167" s="96" t="n"/>
      <x:c r="E167" s="97" t="n"/>
      <x:c r="F167" s="96" t="n"/>
      <x:c r="G167" s="96" t="n"/>
      <x:c r="H167" s="96" t="n"/>
      <x:c r="I167" s="96" t="n"/>
      <x:c r="J167" s="96" t="n"/>
      <x:c r="K167" s="96" t="n"/>
      <x:c r="L167" s="97" t="n"/>
      <x:c r="M167" s="96" t="n"/>
      <x:c r="N167" s="96" t="n"/>
      <x:c r="O167" s="11" t="n"/>
      <x:c r="P167" s="10" t="n"/>
      <x:c r="Q167" s="11" t="n"/>
      <x:c r="R167" s="10" t="n"/>
      <x:c r="S167" s="10" t="n"/>
      <x:c r="T167" s="10" t="n"/>
      <x:c r="U167" s="12" t="str">
        <x:f>IF($B167="","",IF(OR(AND($G167&lt;&gt;"оригинал",$G167&lt;&gt;"копия",$G167&lt;&gt;"скан",$G167&lt;&gt;"нет"),AND($J167&lt;&gt;"да",$J167&lt;&gt;"нет")),"НЕ ПРОВЕРЕНО: наличие или обязательность",IF(AND($N167="да",OR($O167="",$M167="")),"передан без следа: эксперт или дата",IF(AND($P167="да",$Q167=""),"НЕ ПРОВЕРЕНО: дата запроса",IF($B167="","",IF(AND($J167="да",$G167="нет",$P167&lt;&gt;"да"),"дыра: обязательного документа нет, запрос не направлен",IF(AND($G167="нет",$P167="да",$R167&lt;&gt;"да"),"запрошен, не получен",IF(AND($G167="нет",$J167&lt;&gt;"да"),"отсутствует, на причину не влияет",IF(AND(OR($K167="да",$N167="да"),$M167=""),"передан без следа",IF(AND($K167="да",$L167=""),"передан без следа","в порядке"))))))))))</x:f>
      </x:c>
    </x:row>
    <x:row r="168">
      <x:c r="A168" s="95" t="str">
        <x:f>IF($B168="","",ROW()-6)</x:f>
      </x:c>
      <x:c r="B168" s="96" t="n"/>
      <x:c r="C168" s="96" t="n"/>
      <x:c r="D168" s="96" t="n"/>
      <x:c r="E168" s="97" t="n"/>
      <x:c r="F168" s="96" t="n"/>
      <x:c r="G168" s="96" t="n"/>
      <x:c r="H168" s="96" t="n"/>
      <x:c r="I168" s="96" t="n"/>
      <x:c r="J168" s="96" t="n"/>
      <x:c r="K168" s="96" t="n"/>
      <x:c r="L168" s="97" t="n"/>
      <x:c r="M168" s="96" t="n"/>
      <x:c r="N168" s="96" t="n"/>
      <x:c r="O168" s="11" t="n"/>
      <x:c r="P168" s="10" t="n"/>
      <x:c r="Q168" s="11" t="n"/>
      <x:c r="R168" s="10" t="n"/>
      <x:c r="S168" s="10" t="n"/>
      <x:c r="T168" s="10" t="n"/>
      <x:c r="U168" s="12" t="str">
        <x:f>IF($B168="","",IF(OR(AND($G168&lt;&gt;"оригинал",$G168&lt;&gt;"копия",$G168&lt;&gt;"скан",$G168&lt;&gt;"нет"),AND($J168&lt;&gt;"да",$J168&lt;&gt;"нет")),"НЕ ПРОВЕРЕНО: наличие или обязательность",IF(AND($N168="да",OR($O168="",$M168="")),"передан без следа: эксперт или дата",IF(AND($P168="да",$Q168=""),"НЕ ПРОВЕРЕНО: дата запроса",IF($B168="","",IF(AND($J168="да",$G168="нет",$P168&lt;&gt;"да"),"дыра: обязательного документа нет, запрос не направлен",IF(AND($G168="нет",$P168="да",$R168&lt;&gt;"да"),"запрошен, не получен",IF(AND($G168="нет",$J168&lt;&gt;"да"),"отсутствует, на причину не влияет",IF(AND(OR($K168="да",$N168="да"),$M168=""),"передан без следа",IF(AND($K168="да",$L168=""),"передан без следа","в порядке"))))))))))</x:f>
      </x:c>
    </x:row>
    <x:row r="169">
      <x:c r="A169" s="95" t="str">
        <x:f>IF($B169="","",ROW()-6)</x:f>
      </x:c>
      <x:c r="B169" s="96" t="n"/>
      <x:c r="C169" s="96" t="n"/>
      <x:c r="D169" s="96" t="n"/>
      <x:c r="E169" s="97" t="n"/>
      <x:c r="F169" s="96" t="n"/>
      <x:c r="G169" s="96" t="n"/>
      <x:c r="H169" s="96" t="n"/>
      <x:c r="I169" s="96" t="n"/>
      <x:c r="J169" s="96" t="n"/>
      <x:c r="K169" s="96" t="n"/>
      <x:c r="L169" s="97" t="n"/>
      <x:c r="M169" s="96" t="n"/>
      <x:c r="N169" s="96" t="n"/>
      <x:c r="O169" s="11" t="n"/>
      <x:c r="P169" s="10" t="n"/>
      <x:c r="Q169" s="11" t="n"/>
      <x:c r="R169" s="10" t="n"/>
      <x:c r="S169" s="10" t="n"/>
      <x:c r="T169" s="10" t="n"/>
      <x:c r="U169" s="12" t="str">
        <x:f>IF($B169="","",IF(OR(AND($G169&lt;&gt;"оригинал",$G169&lt;&gt;"копия",$G169&lt;&gt;"скан",$G169&lt;&gt;"нет"),AND($J169&lt;&gt;"да",$J169&lt;&gt;"нет")),"НЕ ПРОВЕРЕНО: наличие или обязательность",IF(AND($N169="да",OR($O169="",$M169="")),"передан без следа: эксперт или дата",IF(AND($P169="да",$Q169=""),"НЕ ПРОВЕРЕНО: дата запроса",IF($B169="","",IF(AND($J169="да",$G169="нет",$P169&lt;&gt;"да"),"дыра: обязательного документа нет, запрос не направлен",IF(AND($G169="нет",$P169="да",$R169&lt;&gt;"да"),"запрошен, не получен",IF(AND($G169="нет",$J169&lt;&gt;"да"),"отсутствует, на причину не влияет",IF(AND(OR($K169="да",$N169="да"),$M169=""),"передан без следа",IF(AND($K169="да",$L169=""),"передан без следа","в порядке"))))))))))</x:f>
      </x:c>
    </x:row>
    <x:row r="170">
      <x:c r="A170" s="95" t="str">
        <x:f>IF($B170="","",ROW()-6)</x:f>
      </x:c>
      <x:c r="B170" s="96" t="n"/>
      <x:c r="C170" s="96" t="n"/>
      <x:c r="D170" s="96" t="n"/>
      <x:c r="E170" s="97" t="n"/>
      <x:c r="F170" s="96" t="n"/>
      <x:c r="G170" s="96" t="n"/>
      <x:c r="H170" s="96" t="n"/>
      <x:c r="I170" s="96" t="n"/>
      <x:c r="J170" s="96" t="n"/>
      <x:c r="K170" s="96" t="n"/>
      <x:c r="L170" s="97" t="n"/>
      <x:c r="M170" s="96" t="n"/>
      <x:c r="N170" s="96" t="n"/>
      <x:c r="O170" s="11" t="n"/>
      <x:c r="P170" s="10" t="n"/>
      <x:c r="Q170" s="11" t="n"/>
      <x:c r="R170" s="10" t="n"/>
      <x:c r="S170" s="10" t="n"/>
      <x:c r="T170" s="10" t="n"/>
      <x:c r="U170" s="12" t="str">
        <x:f>IF($B170="","",IF(OR(AND($G170&lt;&gt;"оригинал",$G170&lt;&gt;"копия",$G170&lt;&gt;"скан",$G170&lt;&gt;"нет"),AND($J170&lt;&gt;"да",$J170&lt;&gt;"нет")),"НЕ ПРОВЕРЕНО: наличие или обязательность",IF(AND($N170="да",OR($O170="",$M170="")),"передан без следа: эксперт или дата",IF(AND($P170="да",$Q170=""),"НЕ ПРОВЕРЕНО: дата запроса",IF($B170="","",IF(AND($J170="да",$G170="нет",$P170&lt;&gt;"да"),"дыра: обязательного документа нет, запрос не направлен",IF(AND($G170="нет",$P170="да",$R170&lt;&gt;"да"),"запрошен, не получен",IF(AND($G170="нет",$J170&lt;&gt;"да"),"отсутствует, на причину не влияет",IF(AND(OR($K170="да",$N170="да"),$M170=""),"передан без следа",IF(AND($K170="да",$L170=""),"передан без следа","в порядке"))))))))))</x:f>
      </x:c>
    </x:row>
    <x:row r="171">
      <x:c r="A171" s="95" t="str">
        <x:f>IF($B171="","",ROW()-6)</x:f>
      </x:c>
      <x:c r="B171" s="96" t="n"/>
      <x:c r="C171" s="96" t="n"/>
      <x:c r="D171" s="96" t="n"/>
      <x:c r="E171" s="97" t="n"/>
      <x:c r="F171" s="96" t="n"/>
      <x:c r="G171" s="96" t="n"/>
      <x:c r="H171" s="96" t="n"/>
      <x:c r="I171" s="96" t="n"/>
      <x:c r="J171" s="96" t="n"/>
      <x:c r="K171" s="96" t="n"/>
      <x:c r="L171" s="97" t="n"/>
      <x:c r="M171" s="96" t="n"/>
      <x:c r="N171" s="96" t="n"/>
      <x:c r="O171" s="11" t="n"/>
      <x:c r="P171" s="10" t="n"/>
      <x:c r="Q171" s="11" t="n"/>
      <x:c r="R171" s="10" t="n"/>
      <x:c r="S171" s="10" t="n"/>
      <x:c r="T171" s="10" t="n"/>
      <x:c r="U171" s="12" t="str">
        <x:f>IF($B171="","",IF(OR(AND($G171&lt;&gt;"оригинал",$G171&lt;&gt;"копия",$G171&lt;&gt;"скан",$G171&lt;&gt;"нет"),AND($J171&lt;&gt;"да",$J171&lt;&gt;"нет")),"НЕ ПРОВЕРЕНО: наличие или обязательность",IF(AND($N171="да",OR($O171="",$M171="")),"передан без следа: эксперт или дата",IF(AND($P171="да",$Q171=""),"НЕ ПРОВЕРЕНО: дата запроса",IF($B171="","",IF(AND($J171="да",$G171="нет",$P171&lt;&gt;"да"),"дыра: обязательного документа нет, запрос не направлен",IF(AND($G171="нет",$P171="да",$R171&lt;&gt;"да"),"запрошен, не получен",IF(AND($G171="нет",$J171&lt;&gt;"да"),"отсутствует, на причину не влияет",IF(AND(OR($K171="да",$N171="да"),$M171=""),"передан без следа",IF(AND($K171="да",$L171=""),"передан без следа","в порядке"))))))))))</x:f>
      </x:c>
    </x:row>
    <x:row r="172">
      <x:c r="A172" s="95" t="str">
        <x:f>IF($B172="","",ROW()-6)</x:f>
      </x:c>
      <x:c r="B172" s="96" t="n"/>
      <x:c r="C172" s="96" t="n"/>
      <x:c r="D172" s="96" t="n"/>
      <x:c r="E172" s="97" t="n"/>
      <x:c r="F172" s="96" t="n"/>
      <x:c r="G172" s="96" t="n"/>
      <x:c r="H172" s="96" t="n"/>
      <x:c r="I172" s="96" t="n"/>
      <x:c r="J172" s="96" t="n"/>
      <x:c r="K172" s="96" t="n"/>
      <x:c r="L172" s="97" t="n"/>
      <x:c r="M172" s="96" t="n"/>
      <x:c r="N172" s="96" t="n"/>
      <x:c r="O172" s="11" t="n"/>
      <x:c r="P172" s="10" t="n"/>
      <x:c r="Q172" s="11" t="n"/>
      <x:c r="R172" s="10" t="n"/>
      <x:c r="S172" s="10" t="n"/>
      <x:c r="T172" s="10" t="n"/>
      <x:c r="U172" s="12" t="str">
        <x:f>IF($B172="","",IF(OR(AND($G172&lt;&gt;"оригинал",$G172&lt;&gt;"копия",$G172&lt;&gt;"скан",$G172&lt;&gt;"нет"),AND($J172&lt;&gt;"да",$J172&lt;&gt;"нет")),"НЕ ПРОВЕРЕНО: наличие или обязательность",IF(AND($N172="да",OR($O172="",$M172="")),"передан без следа: эксперт или дата",IF(AND($P172="да",$Q172=""),"НЕ ПРОВЕРЕНО: дата запроса",IF($B172="","",IF(AND($J172="да",$G172="нет",$P172&lt;&gt;"да"),"дыра: обязательного документа нет, запрос не направлен",IF(AND($G172="нет",$P172="да",$R172&lt;&gt;"да"),"запрошен, не получен",IF(AND($G172="нет",$J172&lt;&gt;"да"),"отсутствует, на причину не влияет",IF(AND(OR($K172="да",$N172="да"),$M172=""),"передан без следа",IF(AND($K172="да",$L172=""),"передан без следа","в порядке"))))))))))</x:f>
      </x:c>
    </x:row>
    <x:row r="173">
      <x:c r="A173" s="95" t="str">
        <x:f>IF($B173="","",ROW()-6)</x:f>
      </x:c>
      <x:c r="B173" s="96" t="n"/>
      <x:c r="C173" s="96" t="n"/>
      <x:c r="D173" s="96" t="n"/>
      <x:c r="E173" s="97" t="n"/>
      <x:c r="F173" s="96" t="n"/>
      <x:c r="G173" s="96" t="n"/>
      <x:c r="H173" s="96" t="n"/>
      <x:c r="I173" s="96" t="n"/>
      <x:c r="J173" s="96" t="n"/>
      <x:c r="K173" s="96" t="n"/>
      <x:c r="L173" s="97" t="n"/>
      <x:c r="M173" s="96" t="n"/>
      <x:c r="N173" s="96" t="n"/>
      <x:c r="O173" s="11" t="n"/>
      <x:c r="P173" s="10" t="n"/>
      <x:c r="Q173" s="11" t="n"/>
      <x:c r="R173" s="10" t="n"/>
      <x:c r="S173" s="10" t="n"/>
      <x:c r="T173" s="10" t="n"/>
      <x:c r="U173" s="12" t="str">
        <x:f>IF($B173="","",IF(OR(AND($G173&lt;&gt;"оригинал",$G173&lt;&gt;"копия",$G173&lt;&gt;"скан",$G173&lt;&gt;"нет"),AND($J173&lt;&gt;"да",$J173&lt;&gt;"нет")),"НЕ ПРОВЕРЕНО: наличие или обязательность",IF(AND($N173="да",OR($O173="",$M173="")),"передан без следа: эксперт или дата",IF(AND($P173="да",$Q173=""),"НЕ ПРОВЕРЕНО: дата запроса",IF($B173="","",IF(AND($J173="да",$G173="нет",$P173&lt;&gt;"да"),"дыра: обязательного документа нет, запрос не направлен",IF(AND($G173="нет",$P173="да",$R173&lt;&gt;"да"),"запрошен, не получен",IF(AND($G173="нет",$J173&lt;&gt;"да"),"отсутствует, на причину не влияет",IF(AND(OR($K173="да",$N173="да"),$M173=""),"передан без следа",IF(AND($K173="да",$L173=""),"передан без следа","в порядке"))))))))))</x:f>
      </x:c>
    </x:row>
    <x:row r="174">
      <x:c r="A174" s="95" t="str">
        <x:f>IF($B174="","",ROW()-6)</x:f>
      </x:c>
      <x:c r="B174" s="96" t="n"/>
      <x:c r="C174" s="96" t="n"/>
      <x:c r="D174" s="96" t="n"/>
      <x:c r="E174" s="97" t="n"/>
      <x:c r="F174" s="96" t="n"/>
      <x:c r="G174" s="96" t="n"/>
      <x:c r="H174" s="96" t="n"/>
      <x:c r="I174" s="96" t="n"/>
      <x:c r="J174" s="96" t="n"/>
      <x:c r="K174" s="96" t="n"/>
      <x:c r="L174" s="97" t="n"/>
      <x:c r="M174" s="96" t="n"/>
      <x:c r="N174" s="96" t="n"/>
      <x:c r="O174" s="11" t="n"/>
      <x:c r="P174" s="10" t="n"/>
      <x:c r="Q174" s="11" t="n"/>
      <x:c r="R174" s="10" t="n"/>
      <x:c r="S174" s="10" t="n"/>
      <x:c r="T174" s="10" t="n"/>
      <x:c r="U174" s="12" t="str">
        <x:f>IF($B174="","",IF(OR(AND($G174&lt;&gt;"оригинал",$G174&lt;&gt;"копия",$G174&lt;&gt;"скан",$G174&lt;&gt;"нет"),AND($J174&lt;&gt;"да",$J174&lt;&gt;"нет")),"НЕ ПРОВЕРЕНО: наличие или обязательность",IF(AND($N174="да",OR($O174="",$M174="")),"передан без следа: эксперт или дата",IF(AND($P174="да",$Q174=""),"НЕ ПРОВЕРЕНО: дата запроса",IF($B174="","",IF(AND($J174="да",$G174="нет",$P174&lt;&gt;"да"),"дыра: обязательного документа нет, запрос не направлен",IF(AND($G174="нет",$P174="да",$R174&lt;&gt;"да"),"запрошен, не получен",IF(AND($G174="нет",$J174&lt;&gt;"да"),"отсутствует, на причину не влияет",IF(AND(OR($K174="да",$N174="да"),$M174=""),"передан без следа",IF(AND($K174="да",$L174=""),"передан без следа","в порядке"))))))))))</x:f>
      </x:c>
    </x:row>
    <x:row r="175">
      <x:c r="A175" s="95" t="str">
        <x:f>IF($B175="","",ROW()-6)</x:f>
      </x:c>
      <x:c r="B175" s="96" t="n"/>
      <x:c r="C175" s="96" t="n"/>
      <x:c r="D175" s="96" t="n"/>
      <x:c r="E175" s="97" t="n"/>
      <x:c r="F175" s="96" t="n"/>
      <x:c r="G175" s="96" t="n"/>
      <x:c r="H175" s="96" t="n"/>
      <x:c r="I175" s="96" t="n"/>
      <x:c r="J175" s="96" t="n"/>
      <x:c r="K175" s="96" t="n"/>
      <x:c r="L175" s="97" t="n"/>
      <x:c r="M175" s="96" t="n"/>
      <x:c r="N175" s="96" t="n"/>
      <x:c r="O175" s="11" t="n"/>
      <x:c r="P175" s="10" t="n"/>
      <x:c r="Q175" s="11" t="n"/>
      <x:c r="R175" s="10" t="n"/>
      <x:c r="S175" s="10" t="n"/>
      <x:c r="T175" s="10" t="n"/>
      <x:c r="U175" s="12" t="str">
        <x:f>IF($B175="","",IF(OR(AND($G175&lt;&gt;"оригинал",$G175&lt;&gt;"копия",$G175&lt;&gt;"скан",$G175&lt;&gt;"нет"),AND($J175&lt;&gt;"да",$J175&lt;&gt;"нет")),"НЕ ПРОВЕРЕНО: наличие или обязательность",IF(AND($N175="да",OR($O175="",$M175="")),"передан без следа: эксперт или дата",IF(AND($P175="да",$Q175=""),"НЕ ПРОВЕРЕНО: дата запроса",IF($B175="","",IF(AND($J175="да",$G175="нет",$P175&lt;&gt;"да"),"дыра: обязательного документа нет, запрос не направлен",IF(AND($G175="нет",$P175="да",$R175&lt;&gt;"да"),"запрошен, не получен",IF(AND($G175="нет",$J175&lt;&gt;"да"),"отсутствует, на причину не влияет",IF(AND(OR($K175="да",$N175="да"),$M175=""),"передан без следа",IF(AND($K175="да",$L175=""),"передан без следа","в порядке"))))))))))</x:f>
      </x:c>
    </x:row>
    <x:row r="176">
      <x:c r="A176" s="95" t="str">
        <x:f>IF($B176="","",ROW()-6)</x:f>
      </x:c>
      <x:c r="B176" s="96" t="n"/>
      <x:c r="C176" s="96" t="n"/>
      <x:c r="D176" s="96" t="n"/>
      <x:c r="E176" s="97" t="n"/>
      <x:c r="F176" s="96" t="n"/>
      <x:c r="G176" s="96" t="n"/>
      <x:c r="H176" s="96" t="n"/>
      <x:c r="I176" s="96" t="n"/>
      <x:c r="J176" s="96" t="n"/>
      <x:c r="K176" s="96" t="n"/>
      <x:c r="L176" s="97" t="n"/>
      <x:c r="M176" s="96" t="n"/>
      <x:c r="N176" s="96" t="n"/>
      <x:c r="O176" s="11" t="n"/>
      <x:c r="P176" s="10" t="n"/>
      <x:c r="Q176" s="11" t="n"/>
      <x:c r="R176" s="10" t="n"/>
      <x:c r="S176" s="10" t="n"/>
      <x:c r="T176" s="10" t="n"/>
      <x:c r="U176" s="12" t="str">
        <x:f>IF($B176="","",IF(OR(AND($G176&lt;&gt;"оригинал",$G176&lt;&gt;"копия",$G176&lt;&gt;"скан",$G176&lt;&gt;"нет"),AND($J176&lt;&gt;"да",$J176&lt;&gt;"нет")),"НЕ ПРОВЕРЕНО: наличие или обязательность",IF(AND($N176="да",OR($O176="",$M176="")),"передан без следа: эксперт или дата",IF(AND($P176="да",$Q176=""),"НЕ ПРОВЕРЕНО: дата запроса",IF($B176="","",IF(AND($J176="да",$G176="нет",$P176&lt;&gt;"да"),"дыра: обязательного документа нет, запрос не направлен",IF(AND($G176="нет",$P176="да",$R176&lt;&gt;"да"),"запрошен, не получен",IF(AND($G176="нет",$J176&lt;&gt;"да"),"отсутствует, на причину не влияет",IF(AND(OR($K176="да",$N176="да"),$M176=""),"передан без следа",IF(AND($K176="да",$L176=""),"передан без следа","в порядке"))))))))))</x:f>
      </x:c>
    </x:row>
    <x:row r="177">
      <x:c r="A177" s="95" t="str">
        <x:f>IF($B177="","",ROW()-6)</x:f>
      </x:c>
      <x:c r="B177" s="96" t="n"/>
      <x:c r="C177" s="96" t="n"/>
      <x:c r="D177" s="96" t="n"/>
      <x:c r="E177" s="97" t="n"/>
      <x:c r="F177" s="96" t="n"/>
      <x:c r="G177" s="96" t="n"/>
      <x:c r="H177" s="96" t="n"/>
      <x:c r="I177" s="96" t="n"/>
      <x:c r="J177" s="96" t="n"/>
      <x:c r="K177" s="96" t="n"/>
      <x:c r="L177" s="97" t="n"/>
      <x:c r="M177" s="96" t="n"/>
      <x:c r="N177" s="96" t="n"/>
      <x:c r="O177" s="11" t="n"/>
      <x:c r="P177" s="10" t="n"/>
      <x:c r="Q177" s="11" t="n"/>
      <x:c r="R177" s="10" t="n"/>
      <x:c r="S177" s="10" t="n"/>
      <x:c r="T177" s="10" t="n"/>
      <x:c r="U177" s="12" t="str">
        <x:f>IF($B177="","",IF(OR(AND($G177&lt;&gt;"оригинал",$G177&lt;&gt;"копия",$G177&lt;&gt;"скан",$G177&lt;&gt;"нет"),AND($J177&lt;&gt;"да",$J177&lt;&gt;"нет")),"НЕ ПРОВЕРЕНО: наличие или обязательность",IF(AND($N177="да",OR($O177="",$M177="")),"передан без следа: эксперт или дата",IF(AND($P177="да",$Q177=""),"НЕ ПРОВЕРЕНО: дата запроса",IF($B177="","",IF(AND($J177="да",$G177="нет",$P177&lt;&gt;"да"),"дыра: обязательного документа нет, запрос не направлен",IF(AND($G177="нет",$P177="да",$R177&lt;&gt;"да"),"запрошен, не получен",IF(AND($G177="нет",$J177&lt;&gt;"да"),"отсутствует, на причину не влияет",IF(AND(OR($K177="да",$N177="да"),$M177=""),"передан без следа",IF(AND($K177="да",$L177=""),"передан без следа","в порядке"))))))))))</x:f>
      </x:c>
    </x:row>
    <x:row r="178">
      <x:c r="A178" s="95" t="str">
        <x:f>IF($B178="","",ROW()-6)</x:f>
      </x:c>
      <x:c r="B178" s="96" t="n"/>
      <x:c r="C178" s="96" t="n"/>
      <x:c r="D178" s="96" t="n"/>
      <x:c r="E178" s="97" t="n"/>
      <x:c r="F178" s="96" t="n"/>
      <x:c r="G178" s="96" t="n"/>
      <x:c r="H178" s="96" t="n"/>
      <x:c r="I178" s="96" t="n"/>
      <x:c r="J178" s="96" t="n"/>
      <x:c r="K178" s="96" t="n"/>
      <x:c r="L178" s="97" t="n"/>
      <x:c r="M178" s="96" t="n"/>
      <x:c r="N178" s="96" t="n"/>
      <x:c r="O178" s="11" t="n"/>
      <x:c r="P178" s="10" t="n"/>
      <x:c r="Q178" s="11" t="n"/>
      <x:c r="R178" s="10" t="n"/>
      <x:c r="S178" s="10" t="n"/>
      <x:c r="T178" s="10" t="n"/>
      <x:c r="U178" s="12" t="str">
        <x:f>IF($B178="","",IF(OR(AND($G178&lt;&gt;"оригинал",$G178&lt;&gt;"копия",$G178&lt;&gt;"скан",$G178&lt;&gt;"нет"),AND($J178&lt;&gt;"да",$J178&lt;&gt;"нет")),"НЕ ПРОВЕРЕНО: наличие или обязательность",IF(AND($N178="да",OR($O178="",$M178="")),"передан без следа: эксперт или дата",IF(AND($P178="да",$Q178=""),"НЕ ПРОВЕРЕНО: дата запроса",IF($B178="","",IF(AND($J178="да",$G178="нет",$P178&lt;&gt;"да"),"дыра: обязательного документа нет, запрос не направлен",IF(AND($G178="нет",$P178="да",$R178&lt;&gt;"да"),"запрошен, не получен",IF(AND($G178="нет",$J178&lt;&gt;"да"),"отсутствует, на причину не влияет",IF(AND(OR($K178="да",$N178="да"),$M178=""),"передан без следа",IF(AND($K178="да",$L178=""),"передан без следа","в порядке"))))))))))</x:f>
      </x:c>
    </x:row>
    <x:row r="179">
      <x:c r="A179" s="95" t="str">
        <x:f>IF($B179="","",ROW()-6)</x:f>
      </x:c>
      <x:c r="B179" s="96" t="n"/>
      <x:c r="C179" s="96" t="n"/>
      <x:c r="D179" s="96" t="n"/>
      <x:c r="E179" s="97" t="n"/>
      <x:c r="F179" s="96" t="n"/>
      <x:c r="G179" s="96" t="n"/>
      <x:c r="H179" s="96" t="n"/>
      <x:c r="I179" s="96" t="n"/>
      <x:c r="J179" s="96" t="n"/>
      <x:c r="K179" s="96" t="n"/>
      <x:c r="L179" s="97" t="n"/>
      <x:c r="M179" s="96" t="n"/>
      <x:c r="N179" s="96" t="n"/>
      <x:c r="O179" s="11" t="n"/>
      <x:c r="P179" s="10" t="n"/>
      <x:c r="Q179" s="11" t="n"/>
      <x:c r="R179" s="10" t="n"/>
      <x:c r="S179" s="10" t="n"/>
      <x:c r="T179" s="10" t="n"/>
      <x:c r="U179" s="12" t="str">
        <x:f>IF($B179="","",IF(OR(AND($G179&lt;&gt;"оригинал",$G179&lt;&gt;"копия",$G179&lt;&gt;"скан",$G179&lt;&gt;"нет"),AND($J179&lt;&gt;"да",$J179&lt;&gt;"нет")),"НЕ ПРОВЕРЕНО: наличие или обязательность",IF(AND($N179="да",OR($O179="",$M179="")),"передан без следа: эксперт или дата",IF(AND($P179="да",$Q179=""),"НЕ ПРОВЕРЕНО: дата запроса",IF($B179="","",IF(AND($J179="да",$G179="нет",$P179&lt;&gt;"да"),"дыра: обязательного документа нет, запрос не направлен",IF(AND($G179="нет",$P179="да",$R179&lt;&gt;"да"),"запрошен, не получен",IF(AND($G179="нет",$J179&lt;&gt;"да"),"отсутствует, на причину не влияет",IF(AND(OR($K179="да",$N179="да"),$M179=""),"передан без следа",IF(AND($K179="да",$L179=""),"передан без следа","в порядке"))))))))))</x:f>
      </x:c>
    </x:row>
    <x:row r="180">
      <x:c r="A180" s="95" t="str">
        <x:f>IF($B180="","",ROW()-6)</x:f>
      </x:c>
      <x:c r="B180" s="96" t="n"/>
      <x:c r="C180" s="96" t="n"/>
      <x:c r="D180" s="96" t="n"/>
      <x:c r="E180" s="97" t="n"/>
      <x:c r="F180" s="96" t="n"/>
      <x:c r="G180" s="96" t="n"/>
      <x:c r="H180" s="96" t="n"/>
      <x:c r="I180" s="96" t="n"/>
      <x:c r="J180" s="96" t="n"/>
      <x:c r="K180" s="96" t="n"/>
      <x:c r="L180" s="97" t="n"/>
      <x:c r="M180" s="96" t="n"/>
      <x:c r="N180" s="96" t="n"/>
      <x:c r="O180" s="11" t="n"/>
      <x:c r="P180" s="10" t="n"/>
      <x:c r="Q180" s="11" t="n"/>
      <x:c r="R180" s="10" t="n"/>
      <x:c r="S180" s="10" t="n"/>
      <x:c r="T180" s="10" t="n"/>
      <x:c r="U180" s="12" t="str">
        <x:f>IF($B180="","",IF(OR(AND($G180&lt;&gt;"оригинал",$G180&lt;&gt;"копия",$G180&lt;&gt;"скан",$G180&lt;&gt;"нет"),AND($J180&lt;&gt;"да",$J180&lt;&gt;"нет")),"НЕ ПРОВЕРЕНО: наличие или обязательность",IF(AND($N180="да",OR($O180="",$M180="")),"передан без следа: эксперт или дата",IF(AND($P180="да",$Q180=""),"НЕ ПРОВЕРЕНО: дата запроса",IF($B180="","",IF(AND($J180="да",$G180="нет",$P180&lt;&gt;"да"),"дыра: обязательного документа нет, запрос не направлен",IF(AND($G180="нет",$P180="да",$R180&lt;&gt;"да"),"запрошен, не получен",IF(AND($G180="нет",$J180&lt;&gt;"да"),"отсутствует, на причину не влияет",IF(AND(OR($K180="да",$N180="да"),$M180=""),"передан без следа",IF(AND($K180="да",$L180=""),"передан без следа","в порядке"))))))))))</x:f>
      </x:c>
    </x:row>
    <x:row r="181">
      <x:c r="A181" s="95" t="str">
        <x:f>IF($B181="","",ROW()-6)</x:f>
      </x:c>
      <x:c r="B181" s="96" t="n"/>
      <x:c r="C181" s="96" t="n"/>
      <x:c r="D181" s="96" t="n"/>
      <x:c r="E181" s="97" t="n"/>
      <x:c r="F181" s="96" t="n"/>
      <x:c r="G181" s="96" t="n"/>
      <x:c r="H181" s="96" t="n"/>
      <x:c r="I181" s="96" t="n"/>
      <x:c r="J181" s="96" t="n"/>
      <x:c r="K181" s="96" t="n"/>
      <x:c r="L181" s="97" t="n"/>
      <x:c r="M181" s="96" t="n"/>
      <x:c r="N181" s="96" t="n"/>
      <x:c r="O181" s="11" t="n"/>
      <x:c r="P181" s="10" t="n"/>
      <x:c r="Q181" s="11" t="n"/>
      <x:c r="R181" s="10" t="n"/>
      <x:c r="S181" s="10" t="n"/>
      <x:c r="T181" s="10" t="n"/>
      <x:c r="U181" s="12" t="str">
        <x:f>IF($B181="","",IF(OR(AND($G181&lt;&gt;"оригинал",$G181&lt;&gt;"копия",$G181&lt;&gt;"скан",$G181&lt;&gt;"нет"),AND($J181&lt;&gt;"да",$J181&lt;&gt;"нет")),"НЕ ПРОВЕРЕНО: наличие или обязательность",IF(AND($N181="да",OR($O181="",$M181="")),"передан без следа: эксперт или дата",IF(AND($P181="да",$Q181=""),"НЕ ПРОВЕРЕНО: дата запроса",IF($B181="","",IF(AND($J181="да",$G181="нет",$P181&lt;&gt;"да"),"дыра: обязательного документа нет, запрос не направлен",IF(AND($G181="нет",$P181="да",$R181&lt;&gt;"да"),"запрошен, не получен",IF(AND($G181="нет",$J181&lt;&gt;"да"),"отсутствует, на причину не влияет",IF(AND(OR($K181="да",$N181="да"),$M181=""),"передан без следа",IF(AND($K181="да",$L181=""),"передан без следа","в порядке"))))))))))</x:f>
      </x:c>
    </x:row>
    <x:row r="182">
      <x:c r="A182" s="95" t="str">
        <x:f>IF($B182="","",ROW()-6)</x:f>
      </x:c>
      <x:c r="B182" s="96" t="n"/>
      <x:c r="C182" s="96" t="n"/>
      <x:c r="D182" s="96" t="n"/>
      <x:c r="E182" s="97" t="n"/>
      <x:c r="F182" s="96" t="n"/>
      <x:c r="G182" s="96" t="n"/>
      <x:c r="H182" s="96" t="n"/>
      <x:c r="I182" s="96" t="n"/>
      <x:c r="J182" s="96" t="n"/>
      <x:c r="K182" s="96" t="n"/>
      <x:c r="L182" s="97" t="n"/>
      <x:c r="M182" s="96" t="n"/>
      <x:c r="N182" s="96" t="n"/>
      <x:c r="O182" s="11" t="n"/>
      <x:c r="P182" s="10" t="n"/>
      <x:c r="Q182" s="11" t="n"/>
      <x:c r="R182" s="10" t="n"/>
      <x:c r="S182" s="10" t="n"/>
      <x:c r="T182" s="10" t="n"/>
      <x:c r="U182" s="12" t="str">
        <x:f>IF($B182="","",IF(OR(AND($G182&lt;&gt;"оригинал",$G182&lt;&gt;"копия",$G182&lt;&gt;"скан",$G182&lt;&gt;"нет"),AND($J182&lt;&gt;"да",$J182&lt;&gt;"нет")),"НЕ ПРОВЕРЕНО: наличие или обязательность",IF(AND($N182="да",OR($O182="",$M182="")),"передан без следа: эксперт или дата",IF(AND($P182="да",$Q182=""),"НЕ ПРОВЕРЕНО: дата запроса",IF($B182="","",IF(AND($J182="да",$G182="нет",$P182&lt;&gt;"да"),"дыра: обязательного документа нет, запрос не направлен",IF(AND($G182="нет",$P182="да",$R182&lt;&gt;"да"),"запрошен, не получен",IF(AND($G182="нет",$J182&lt;&gt;"да"),"отсутствует, на причину не влияет",IF(AND(OR($K182="да",$N182="да"),$M182=""),"передан без следа",IF(AND($K182="да",$L182=""),"передан без следа","в порядке"))))))))))</x:f>
      </x:c>
    </x:row>
    <x:row r="183">
      <x:c r="A183" s="95" t="str">
        <x:f>IF($B183="","",ROW()-6)</x:f>
      </x:c>
      <x:c r="B183" s="96" t="n"/>
      <x:c r="C183" s="96" t="n"/>
      <x:c r="D183" s="96" t="n"/>
      <x:c r="E183" s="97" t="n"/>
      <x:c r="F183" s="96" t="n"/>
      <x:c r="G183" s="96" t="n"/>
      <x:c r="H183" s="96" t="n"/>
      <x:c r="I183" s="96" t="n"/>
      <x:c r="J183" s="96" t="n"/>
      <x:c r="K183" s="96" t="n"/>
      <x:c r="L183" s="97" t="n"/>
      <x:c r="M183" s="96" t="n"/>
      <x:c r="N183" s="96" t="n"/>
      <x:c r="O183" s="11" t="n"/>
      <x:c r="P183" s="10" t="n"/>
      <x:c r="Q183" s="11" t="n"/>
      <x:c r="R183" s="10" t="n"/>
      <x:c r="S183" s="10" t="n"/>
      <x:c r="T183" s="10" t="n"/>
      <x:c r="U183" s="12" t="str">
        <x:f>IF($B183="","",IF(OR(AND($G183&lt;&gt;"оригинал",$G183&lt;&gt;"копия",$G183&lt;&gt;"скан",$G183&lt;&gt;"нет"),AND($J183&lt;&gt;"да",$J183&lt;&gt;"нет")),"НЕ ПРОВЕРЕНО: наличие или обязательность",IF(AND($N183="да",OR($O183="",$M183="")),"передан без следа: эксперт или дата",IF(AND($P183="да",$Q183=""),"НЕ ПРОВЕРЕНО: дата запроса",IF($B183="","",IF(AND($J183="да",$G183="нет",$P183&lt;&gt;"да"),"дыра: обязательного документа нет, запрос не направлен",IF(AND($G183="нет",$P183="да",$R183&lt;&gt;"да"),"запрошен, не получен",IF(AND($G183="нет",$J183&lt;&gt;"да"),"отсутствует, на причину не влияет",IF(AND(OR($K183="да",$N183="да"),$M183=""),"передан без следа",IF(AND($K183="да",$L183=""),"передан без следа","в порядке"))))))))))</x:f>
      </x:c>
    </x:row>
    <x:row r="184">
      <x:c r="A184" s="95" t="str">
        <x:f>IF($B184="","",ROW()-6)</x:f>
      </x:c>
      <x:c r="B184" s="96" t="n"/>
      <x:c r="C184" s="96" t="n"/>
      <x:c r="D184" s="96" t="n"/>
      <x:c r="E184" s="97" t="n"/>
      <x:c r="F184" s="96" t="n"/>
      <x:c r="G184" s="96" t="n"/>
      <x:c r="H184" s="96" t="n"/>
      <x:c r="I184" s="96" t="n"/>
      <x:c r="J184" s="96" t="n"/>
      <x:c r="K184" s="96" t="n"/>
      <x:c r="L184" s="97" t="n"/>
      <x:c r="M184" s="96" t="n"/>
      <x:c r="N184" s="96" t="n"/>
      <x:c r="O184" s="11" t="n"/>
      <x:c r="P184" s="10" t="n"/>
      <x:c r="Q184" s="11" t="n"/>
      <x:c r="R184" s="10" t="n"/>
      <x:c r="S184" s="10" t="n"/>
      <x:c r="T184" s="10" t="n"/>
      <x:c r="U184" s="12" t="str">
        <x:f>IF($B184="","",IF(OR(AND($G184&lt;&gt;"оригинал",$G184&lt;&gt;"копия",$G184&lt;&gt;"скан",$G184&lt;&gt;"нет"),AND($J184&lt;&gt;"да",$J184&lt;&gt;"нет")),"НЕ ПРОВЕРЕНО: наличие или обязательность",IF(AND($N184="да",OR($O184="",$M184="")),"передан без следа: эксперт или дата",IF(AND($P184="да",$Q184=""),"НЕ ПРОВЕРЕНО: дата запроса",IF($B184="","",IF(AND($J184="да",$G184="нет",$P184&lt;&gt;"да"),"дыра: обязательного документа нет, запрос не направлен",IF(AND($G184="нет",$P184="да",$R184&lt;&gt;"да"),"запрошен, не получен",IF(AND($G184="нет",$J184&lt;&gt;"да"),"отсутствует, на причину не влияет",IF(AND(OR($K184="да",$N184="да"),$M184=""),"передан без следа",IF(AND($K184="да",$L184=""),"передан без следа","в порядке"))))))))))</x:f>
      </x:c>
    </x:row>
    <x:row r="185">
      <x:c r="A185" s="95" t="str">
        <x:f>IF($B185="","",ROW()-6)</x:f>
      </x:c>
      <x:c r="B185" s="96" t="n"/>
      <x:c r="C185" s="96" t="n"/>
      <x:c r="D185" s="96" t="n"/>
      <x:c r="E185" s="97" t="n"/>
      <x:c r="F185" s="96" t="n"/>
      <x:c r="G185" s="96" t="n"/>
      <x:c r="H185" s="96" t="n"/>
      <x:c r="I185" s="96" t="n"/>
      <x:c r="J185" s="96" t="n"/>
      <x:c r="K185" s="96" t="n"/>
      <x:c r="L185" s="97" t="n"/>
      <x:c r="M185" s="96" t="n"/>
      <x:c r="N185" s="96" t="n"/>
      <x:c r="O185" s="11" t="n"/>
      <x:c r="P185" s="10" t="n"/>
      <x:c r="Q185" s="11" t="n"/>
      <x:c r="R185" s="10" t="n"/>
      <x:c r="S185" s="10" t="n"/>
      <x:c r="T185" s="10" t="n"/>
      <x:c r="U185" s="12" t="str">
        <x:f>IF($B185="","",IF(OR(AND($G185&lt;&gt;"оригинал",$G185&lt;&gt;"копия",$G185&lt;&gt;"скан",$G185&lt;&gt;"нет"),AND($J185&lt;&gt;"да",$J185&lt;&gt;"нет")),"НЕ ПРОВЕРЕНО: наличие или обязательность",IF(AND($N185="да",OR($O185="",$M185="")),"передан без следа: эксперт или дата",IF(AND($P185="да",$Q185=""),"НЕ ПРОВЕРЕНО: дата запроса",IF($B185="","",IF(AND($J185="да",$G185="нет",$P185&lt;&gt;"да"),"дыра: обязательного документа нет, запрос не направлен",IF(AND($G185="нет",$P185="да",$R185&lt;&gt;"да"),"запрошен, не получен",IF(AND($G185="нет",$J185&lt;&gt;"да"),"отсутствует, на причину не влияет",IF(AND(OR($K185="да",$N185="да"),$M185=""),"передан без следа",IF(AND($K185="да",$L185=""),"передан без следа","в порядке"))))))))))</x:f>
      </x:c>
    </x:row>
    <x:row r="186">
      <x:c r="A186" s="95" t="str">
        <x:f>IF($B186="","",ROW()-6)</x:f>
      </x:c>
      <x:c r="B186" s="96" t="n"/>
      <x:c r="C186" s="96" t="n"/>
      <x:c r="D186" s="96" t="n"/>
      <x:c r="E186" s="97" t="n"/>
      <x:c r="F186" s="96" t="n"/>
      <x:c r="G186" s="96" t="n"/>
      <x:c r="H186" s="96" t="n"/>
      <x:c r="I186" s="96" t="n"/>
      <x:c r="J186" s="96" t="n"/>
      <x:c r="K186" s="96" t="n"/>
      <x:c r="L186" s="97" t="n"/>
      <x:c r="M186" s="96" t="n"/>
      <x:c r="N186" s="96" t="n"/>
      <x:c r="O186" s="11" t="n"/>
      <x:c r="P186" s="10" t="n"/>
      <x:c r="Q186" s="11" t="n"/>
      <x:c r="R186" s="10" t="n"/>
      <x:c r="S186" s="10" t="n"/>
      <x:c r="T186" s="10" t="n"/>
      <x:c r="U186" s="12" t="str">
        <x:f>IF($B186="","",IF(OR(AND($G186&lt;&gt;"оригинал",$G186&lt;&gt;"копия",$G186&lt;&gt;"скан",$G186&lt;&gt;"нет"),AND($J186&lt;&gt;"да",$J186&lt;&gt;"нет")),"НЕ ПРОВЕРЕНО: наличие или обязательность",IF(AND($N186="да",OR($O186="",$M186="")),"передан без следа: эксперт или дата",IF(AND($P186="да",$Q186=""),"НЕ ПРОВЕРЕНО: дата запроса",IF($B186="","",IF(AND($J186="да",$G186="нет",$P186&lt;&gt;"да"),"дыра: обязательного документа нет, запрос не направлен",IF(AND($G186="нет",$P186="да",$R186&lt;&gt;"да"),"запрошен, не получен",IF(AND($G186="нет",$J186&lt;&gt;"да"),"отсутствует, на причину не влияет",IF(AND(OR($K186="да",$N186="да"),$M186=""),"передан без следа",IF(AND($K186="да",$L186=""),"передан без следа","в порядке"))))))))))</x:f>
      </x:c>
    </x:row>
    <x:row r="187">
      <x:c r="A187" s="95" t="str">
        <x:f>IF($B187="","",ROW()-6)</x:f>
      </x:c>
      <x:c r="B187" s="96" t="n"/>
      <x:c r="C187" s="96" t="n"/>
      <x:c r="D187" s="96" t="n"/>
      <x:c r="E187" s="97" t="n"/>
      <x:c r="F187" s="96" t="n"/>
      <x:c r="G187" s="96" t="n"/>
      <x:c r="H187" s="96" t="n"/>
      <x:c r="I187" s="96" t="n"/>
      <x:c r="J187" s="96" t="n"/>
      <x:c r="K187" s="96" t="n"/>
      <x:c r="L187" s="97" t="n"/>
      <x:c r="M187" s="96" t="n"/>
      <x:c r="N187" s="96" t="n"/>
      <x:c r="O187" s="11" t="n"/>
      <x:c r="P187" s="10" t="n"/>
      <x:c r="Q187" s="11" t="n"/>
      <x:c r="R187" s="10" t="n"/>
      <x:c r="S187" s="10" t="n"/>
      <x:c r="T187" s="10" t="n"/>
      <x:c r="U187" s="12" t="str">
        <x:f>IF($B187="","",IF(OR(AND($G187&lt;&gt;"оригинал",$G187&lt;&gt;"копия",$G187&lt;&gt;"скан",$G187&lt;&gt;"нет"),AND($J187&lt;&gt;"да",$J187&lt;&gt;"нет")),"НЕ ПРОВЕРЕНО: наличие или обязательность",IF(AND($N187="да",OR($O187="",$M187="")),"передан без следа: эксперт или дата",IF(AND($P187="да",$Q187=""),"НЕ ПРОВЕРЕНО: дата запроса",IF($B187="","",IF(AND($J187="да",$G187="нет",$P187&lt;&gt;"да"),"дыра: обязательного документа нет, запрос не направлен",IF(AND($G187="нет",$P187="да",$R187&lt;&gt;"да"),"запрошен, не получен",IF(AND($G187="нет",$J187&lt;&gt;"да"),"отсутствует, на причину не влияет",IF(AND(OR($K187="да",$N187="да"),$M187=""),"передан без следа",IF(AND($K187="да",$L187=""),"передан без следа","в порядке"))))))))))</x:f>
      </x:c>
    </x:row>
    <x:row r="188">
      <x:c r="A188" s="95" t="str">
        <x:f>IF($B188="","",ROW()-6)</x:f>
      </x:c>
      <x:c r="B188" s="96" t="n"/>
      <x:c r="C188" s="96" t="n"/>
      <x:c r="D188" s="96" t="n"/>
      <x:c r="E188" s="97" t="n"/>
      <x:c r="F188" s="96" t="n"/>
      <x:c r="G188" s="96" t="n"/>
      <x:c r="H188" s="96" t="n"/>
      <x:c r="I188" s="96" t="n"/>
      <x:c r="J188" s="96" t="n"/>
      <x:c r="K188" s="96" t="n"/>
      <x:c r="L188" s="97" t="n"/>
      <x:c r="M188" s="96" t="n"/>
      <x:c r="N188" s="96" t="n"/>
      <x:c r="O188" s="11" t="n"/>
      <x:c r="P188" s="10" t="n"/>
      <x:c r="Q188" s="11" t="n"/>
      <x:c r="R188" s="10" t="n"/>
      <x:c r="S188" s="10" t="n"/>
      <x:c r="T188" s="10" t="n"/>
      <x:c r="U188" s="12" t="str">
        <x:f>IF($B188="","",IF(OR(AND($G188&lt;&gt;"оригинал",$G188&lt;&gt;"копия",$G188&lt;&gt;"скан",$G188&lt;&gt;"нет"),AND($J188&lt;&gt;"да",$J188&lt;&gt;"нет")),"НЕ ПРОВЕРЕНО: наличие или обязательность",IF(AND($N188="да",OR($O188="",$M188="")),"передан без следа: эксперт или дата",IF(AND($P188="да",$Q188=""),"НЕ ПРОВЕРЕНО: дата запроса",IF($B188="","",IF(AND($J188="да",$G188="нет",$P188&lt;&gt;"да"),"дыра: обязательного документа нет, запрос не направлен",IF(AND($G188="нет",$P188="да",$R188&lt;&gt;"да"),"запрошен, не получен",IF(AND($G188="нет",$J188&lt;&gt;"да"),"отсутствует, на причину не влияет",IF(AND(OR($K188="да",$N188="да"),$M188=""),"передан без следа",IF(AND($K188="да",$L188=""),"передан без следа","в порядке"))))))))))</x:f>
      </x:c>
    </x:row>
    <x:row r="189">
      <x:c r="A189" s="95" t="str">
        <x:f>IF($B189="","",ROW()-6)</x:f>
      </x:c>
      <x:c r="B189" s="96" t="n"/>
      <x:c r="C189" s="96" t="n"/>
      <x:c r="D189" s="96" t="n"/>
      <x:c r="E189" s="97" t="n"/>
      <x:c r="F189" s="96" t="n"/>
      <x:c r="G189" s="96" t="n"/>
      <x:c r="H189" s="96" t="n"/>
      <x:c r="I189" s="96" t="n"/>
      <x:c r="J189" s="96" t="n"/>
      <x:c r="K189" s="96" t="n"/>
      <x:c r="L189" s="97" t="n"/>
      <x:c r="M189" s="96" t="n"/>
      <x:c r="N189" s="96" t="n"/>
      <x:c r="O189" s="11" t="n"/>
      <x:c r="P189" s="10" t="n"/>
      <x:c r="Q189" s="11" t="n"/>
      <x:c r="R189" s="10" t="n"/>
      <x:c r="S189" s="10" t="n"/>
      <x:c r="T189" s="10" t="n"/>
      <x:c r="U189" s="12" t="str">
        <x:f>IF($B189="","",IF(OR(AND($G189&lt;&gt;"оригинал",$G189&lt;&gt;"копия",$G189&lt;&gt;"скан",$G189&lt;&gt;"нет"),AND($J189&lt;&gt;"да",$J189&lt;&gt;"нет")),"НЕ ПРОВЕРЕНО: наличие или обязательность",IF(AND($N189="да",OR($O189="",$M189="")),"передан без следа: эксперт или дата",IF(AND($P189="да",$Q189=""),"НЕ ПРОВЕРЕНО: дата запроса",IF($B189="","",IF(AND($J189="да",$G189="нет",$P189&lt;&gt;"да"),"дыра: обязательного документа нет, запрос не направлен",IF(AND($G189="нет",$P189="да",$R189&lt;&gt;"да"),"запрошен, не получен",IF(AND($G189="нет",$J189&lt;&gt;"да"),"отсутствует, на причину не влияет",IF(AND(OR($K189="да",$N189="да"),$M189=""),"передан без следа",IF(AND($K189="да",$L189=""),"передан без следа","в порядке"))))))))))</x:f>
      </x:c>
    </x:row>
    <x:row r="190">
      <x:c r="A190" s="95" t="str">
        <x:f>IF($B190="","",ROW()-6)</x:f>
      </x:c>
      <x:c r="B190" s="96" t="n"/>
      <x:c r="C190" s="96" t="n"/>
      <x:c r="D190" s="96" t="n"/>
      <x:c r="E190" s="97" t="n"/>
      <x:c r="F190" s="96" t="n"/>
      <x:c r="G190" s="96" t="n"/>
      <x:c r="H190" s="96" t="n"/>
      <x:c r="I190" s="96" t="n"/>
      <x:c r="J190" s="96" t="n"/>
      <x:c r="K190" s="96" t="n"/>
      <x:c r="L190" s="97" t="n"/>
      <x:c r="M190" s="96" t="n"/>
      <x:c r="N190" s="96" t="n"/>
      <x:c r="O190" s="11" t="n"/>
      <x:c r="P190" s="10" t="n"/>
      <x:c r="Q190" s="11" t="n"/>
      <x:c r="R190" s="10" t="n"/>
      <x:c r="S190" s="10" t="n"/>
      <x:c r="T190" s="10" t="n"/>
      <x:c r="U190" s="12" t="str">
        <x:f>IF($B190="","",IF(OR(AND($G190&lt;&gt;"оригинал",$G190&lt;&gt;"копия",$G190&lt;&gt;"скан",$G190&lt;&gt;"нет"),AND($J190&lt;&gt;"да",$J190&lt;&gt;"нет")),"НЕ ПРОВЕРЕНО: наличие или обязательность",IF(AND($N190="да",OR($O190="",$M190="")),"передан без следа: эксперт или дата",IF(AND($P190="да",$Q190=""),"НЕ ПРОВЕРЕНО: дата запроса",IF($B190="","",IF(AND($J190="да",$G190="нет",$P190&lt;&gt;"да"),"дыра: обязательного документа нет, запрос не направлен",IF(AND($G190="нет",$P190="да",$R190&lt;&gt;"да"),"запрошен, не получен",IF(AND($G190="нет",$J190&lt;&gt;"да"),"отсутствует, на причину не влияет",IF(AND(OR($K190="да",$N190="да"),$M190=""),"передан без следа",IF(AND($K190="да",$L190=""),"передан без следа","в порядке"))))))))))</x:f>
      </x:c>
    </x:row>
    <x:row r="191">
      <x:c r="A191" s="95" t="str">
        <x:f>IF($B191="","",ROW()-6)</x:f>
      </x:c>
      <x:c r="B191" s="96" t="n"/>
      <x:c r="C191" s="96" t="n"/>
      <x:c r="D191" s="96" t="n"/>
      <x:c r="E191" s="97" t="n"/>
      <x:c r="F191" s="96" t="n"/>
      <x:c r="G191" s="96" t="n"/>
      <x:c r="H191" s="96" t="n"/>
      <x:c r="I191" s="96" t="n"/>
      <x:c r="J191" s="96" t="n"/>
      <x:c r="K191" s="96" t="n"/>
      <x:c r="L191" s="97" t="n"/>
      <x:c r="M191" s="96" t="n"/>
      <x:c r="N191" s="96" t="n"/>
      <x:c r="O191" s="11" t="n"/>
      <x:c r="P191" s="10" t="n"/>
      <x:c r="Q191" s="11" t="n"/>
      <x:c r="R191" s="10" t="n"/>
      <x:c r="S191" s="10" t="n"/>
      <x:c r="T191" s="10" t="n"/>
      <x:c r="U191" s="12" t="str">
        <x:f>IF($B191="","",IF(OR(AND($G191&lt;&gt;"оригинал",$G191&lt;&gt;"копия",$G191&lt;&gt;"скан",$G191&lt;&gt;"нет"),AND($J191&lt;&gt;"да",$J191&lt;&gt;"нет")),"НЕ ПРОВЕРЕНО: наличие или обязательность",IF(AND($N191="да",OR($O191="",$M191="")),"передан без следа: эксперт или дата",IF(AND($P191="да",$Q191=""),"НЕ ПРОВЕРЕНО: дата запроса",IF($B191="","",IF(AND($J191="да",$G191="нет",$P191&lt;&gt;"да"),"дыра: обязательного документа нет, запрос не направлен",IF(AND($G191="нет",$P191="да",$R191&lt;&gt;"да"),"запрошен, не получен",IF(AND($G191="нет",$J191&lt;&gt;"да"),"отсутствует, на причину не влияет",IF(AND(OR($K191="да",$N191="да"),$M191=""),"передан без следа",IF(AND($K191="да",$L191=""),"передан без следа","в порядке"))))))))))</x:f>
      </x:c>
    </x:row>
    <x:row r="192">
      <x:c r="A192" s="95" t="str">
        <x:f>IF($B192="","",ROW()-6)</x:f>
      </x:c>
      <x:c r="B192" s="96" t="n"/>
      <x:c r="C192" s="96" t="n"/>
      <x:c r="D192" s="96" t="n"/>
      <x:c r="E192" s="97" t="n"/>
      <x:c r="F192" s="96" t="n"/>
      <x:c r="G192" s="96" t="n"/>
      <x:c r="H192" s="96" t="n"/>
      <x:c r="I192" s="96" t="n"/>
      <x:c r="J192" s="96" t="n"/>
      <x:c r="K192" s="96" t="n"/>
      <x:c r="L192" s="97" t="n"/>
      <x:c r="M192" s="96" t="n"/>
      <x:c r="N192" s="96" t="n"/>
      <x:c r="O192" s="11" t="n"/>
      <x:c r="P192" s="10" t="n"/>
      <x:c r="Q192" s="11" t="n"/>
      <x:c r="R192" s="10" t="n"/>
      <x:c r="S192" s="10" t="n"/>
      <x:c r="T192" s="10" t="n"/>
      <x:c r="U192" s="12" t="str">
        <x:f>IF($B192="","",IF(OR(AND($G192&lt;&gt;"оригинал",$G192&lt;&gt;"копия",$G192&lt;&gt;"скан",$G192&lt;&gt;"нет"),AND($J192&lt;&gt;"да",$J192&lt;&gt;"нет")),"НЕ ПРОВЕРЕНО: наличие или обязательность",IF(AND($N192="да",OR($O192="",$M192="")),"передан без следа: эксперт или дата",IF(AND($P192="да",$Q192=""),"НЕ ПРОВЕРЕНО: дата запроса",IF($B192="","",IF(AND($J192="да",$G192="нет",$P192&lt;&gt;"да"),"дыра: обязательного документа нет, запрос не направлен",IF(AND($G192="нет",$P192="да",$R192&lt;&gt;"да"),"запрошен, не получен",IF(AND($G192="нет",$J192&lt;&gt;"да"),"отсутствует, на причину не влияет",IF(AND(OR($K192="да",$N192="да"),$M192=""),"передан без следа",IF(AND($K192="да",$L192=""),"передан без следа","в порядке"))))))))))</x:f>
      </x:c>
    </x:row>
    <x:row r="193">
      <x:c r="A193" s="95" t="str">
        <x:f>IF($B193="","",ROW()-6)</x:f>
      </x:c>
      <x:c r="B193" s="96" t="n"/>
      <x:c r="C193" s="96" t="n"/>
      <x:c r="D193" s="96" t="n"/>
      <x:c r="E193" s="97" t="n"/>
      <x:c r="F193" s="96" t="n"/>
      <x:c r="G193" s="96" t="n"/>
      <x:c r="H193" s="96" t="n"/>
      <x:c r="I193" s="96" t="n"/>
      <x:c r="J193" s="96" t="n"/>
      <x:c r="K193" s="96" t="n"/>
      <x:c r="L193" s="97" t="n"/>
      <x:c r="M193" s="96" t="n"/>
      <x:c r="N193" s="96" t="n"/>
      <x:c r="O193" s="11" t="n"/>
      <x:c r="P193" s="10" t="n"/>
      <x:c r="Q193" s="11" t="n"/>
      <x:c r="R193" s="10" t="n"/>
      <x:c r="S193" s="10" t="n"/>
      <x:c r="T193" s="10" t="n"/>
      <x:c r="U193" s="12" t="str">
        <x:f>IF($B193="","",IF(OR(AND($G193&lt;&gt;"оригинал",$G193&lt;&gt;"копия",$G193&lt;&gt;"скан",$G193&lt;&gt;"нет"),AND($J193&lt;&gt;"да",$J193&lt;&gt;"нет")),"НЕ ПРОВЕРЕНО: наличие или обязательность",IF(AND($N193="да",OR($O193="",$M193="")),"передан без следа: эксперт или дата",IF(AND($P193="да",$Q193=""),"НЕ ПРОВЕРЕНО: дата запроса",IF($B193="","",IF(AND($J193="да",$G193="нет",$P193&lt;&gt;"да"),"дыра: обязательного документа нет, запрос не направлен",IF(AND($G193="нет",$P193="да",$R193&lt;&gt;"да"),"запрошен, не получен",IF(AND($G193="нет",$J193&lt;&gt;"да"),"отсутствует, на причину не влияет",IF(AND(OR($K193="да",$N193="да"),$M193=""),"передан без следа",IF(AND($K193="да",$L193=""),"передан без следа","в порядке"))))))))))</x:f>
      </x:c>
    </x:row>
    <x:row r="194">
      <x:c r="A194" s="95" t="str">
        <x:f>IF($B194="","",ROW()-6)</x:f>
      </x:c>
      <x:c r="B194" s="96" t="n"/>
      <x:c r="C194" s="96" t="n"/>
      <x:c r="D194" s="96" t="n"/>
      <x:c r="E194" s="97" t="n"/>
      <x:c r="F194" s="96" t="n"/>
      <x:c r="G194" s="96" t="n"/>
      <x:c r="H194" s="96" t="n"/>
      <x:c r="I194" s="96" t="n"/>
      <x:c r="J194" s="96" t="n"/>
      <x:c r="K194" s="96" t="n"/>
      <x:c r="L194" s="97" t="n"/>
      <x:c r="M194" s="96" t="n"/>
      <x:c r="N194" s="96" t="n"/>
      <x:c r="O194" s="11" t="n"/>
      <x:c r="P194" s="10" t="n"/>
      <x:c r="Q194" s="11" t="n"/>
      <x:c r="R194" s="10" t="n"/>
      <x:c r="S194" s="10" t="n"/>
      <x:c r="T194" s="10" t="n"/>
      <x:c r="U194" s="12" t="str">
        <x:f>IF($B194="","",IF(OR(AND($G194&lt;&gt;"оригинал",$G194&lt;&gt;"копия",$G194&lt;&gt;"скан",$G194&lt;&gt;"нет"),AND($J194&lt;&gt;"да",$J194&lt;&gt;"нет")),"НЕ ПРОВЕРЕНО: наличие или обязательность",IF(AND($N194="да",OR($O194="",$M194="")),"передан без следа: эксперт или дата",IF(AND($P194="да",$Q194=""),"НЕ ПРОВЕРЕНО: дата запроса",IF($B194="","",IF(AND($J194="да",$G194="нет",$P194&lt;&gt;"да"),"дыра: обязательного документа нет, запрос не направлен",IF(AND($G194="нет",$P194="да",$R194&lt;&gt;"да"),"запрошен, не получен",IF(AND($G194="нет",$J194&lt;&gt;"да"),"отсутствует, на причину не влияет",IF(AND(OR($K194="да",$N194="да"),$M194=""),"передан без следа",IF(AND($K194="да",$L194=""),"передан без следа","в порядке"))))))))))</x:f>
      </x:c>
    </x:row>
    <x:row r="195">
      <x:c r="A195" s="95" t="str">
        <x:f>IF($B195="","",ROW()-6)</x:f>
      </x:c>
      <x:c r="B195" s="96" t="n"/>
      <x:c r="C195" s="96" t="n"/>
      <x:c r="D195" s="96" t="n"/>
      <x:c r="E195" s="97" t="n"/>
      <x:c r="F195" s="96" t="n"/>
      <x:c r="G195" s="96" t="n"/>
      <x:c r="H195" s="96" t="n"/>
      <x:c r="I195" s="96" t="n"/>
      <x:c r="J195" s="96" t="n"/>
      <x:c r="K195" s="96" t="n"/>
      <x:c r="L195" s="97" t="n"/>
      <x:c r="M195" s="96" t="n"/>
      <x:c r="N195" s="96" t="n"/>
      <x:c r="O195" s="11" t="n"/>
      <x:c r="P195" s="10" t="n"/>
      <x:c r="Q195" s="11" t="n"/>
      <x:c r="R195" s="10" t="n"/>
      <x:c r="S195" s="10" t="n"/>
      <x:c r="T195" s="10" t="n"/>
      <x:c r="U195" s="12" t="str">
        <x:f>IF($B195="","",IF(OR(AND($G195&lt;&gt;"оригинал",$G195&lt;&gt;"копия",$G195&lt;&gt;"скан",$G195&lt;&gt;"нет"),AND($J195&lt;&gt;"да",$J195&lt;&gt;"нет")),"НЕ ПРОВЕРЕНО: наличие или обязательность",IF(AND($N195="да",OR($O195="",$M195="")),"передан без следа: эксперт или дата",IF(AND($P195="да",$Q195=""),"НЕ ПРОВЕРЕНО: дата запроса",IF($B195="","",IF(AND($J195="да",$G195="нет",$P195&lt;&gt;"да"),"дыра: обязательного документа нет, запрос не направлен",IF(AND($G195="нет",$P195="да",$R195&lt;&gt;"да"),"запрошен, не получен",IF(AND($G195="нет",$J195&lt;&gt;"да"),"отсутствует, на причину не влияет",IF(AND(OR($K195="да",$N195="да"),$M195=""),"передан без следа",IF(AND($K195="да",$L195=""),"передан без следа","в порядке"))))))))))</x:f>
      </x:c>
    </x:row>
    <x:row r="196">
      <x:c r="A196" s="95" t="str">
        <x:f>IF($B196="","",ROW()-6)</x:f>
      </x:c>
      <x:c r="B196" s="96" t="n"/>
      <x:c r="C196" s="96" t="n"/>
      <x:c r="D196" s="96" t="n"/>
      <x:c r="E196" s="97" t="n"/>
      <x:c r="F196" s="96" t="n"/>
      <x:c r="G196" s="96" t="n"/>
      <x:c r="H196" s="96" t="n"/>
      <x:c r="I196" s="96" t="n"/>
      <x:c r="J196" s="96" t="n"/>
      <x:c r="K196" s="96" t="n"/>
      <x:c r="L196" s="97" t="n"/>
      <x:c r="M196" s="96" t="n"/>
      <x:c r="N196" s="96" t="n"/>
      <x:c r="O196" s="11" t="n"/>
      <x:c r="P196" s="10" t="n"/>
      <x:c r="Q196" s="11" t="n"/>
      <x:c r="R196" s="10" t="n"/>
      <x:c r="S196" s="10" t="n"/>
      <x:c r="T196" s="10" t="n"/>
      <x:c r="U196" s="12" t="str">
        <x:f>IF($B196="","",IF(OR(AND($G196&lt;&gt;"оригинал",$G196&lt;&gt;"копия",$G196&lt;&gt;"скан",$G196&lt;&gt;"нет"),AND($J196&lt;&gt;"да",$J196&lt;&gt;"нет")),"НЕ ПРОВЕРЕНО: наличие или обязательность",IF(AND($N196="да",OR($O196="",$M196="")),"передан без следа: эксперт или дата",IF(AND($P196="да",$Q196=""),"НЕ ПРОВЕРЕНО: дата запроса",IF($B196="","",IF(AND($J196="да",$G196="нет",$P196&lt;&gt;"да"),"дыра: обязательного документа нет, запрос не направлен",IF(AND($G196="нет",$P196="да",$R196&lt;&gt;"да"),"запрошен, не получен",IF(AND($G196="нет",$J196&lt;&gt;"да"),"отсутствует, на причину не влияет",IF(AND(OR($K196="да",$N196="да"),$M196=""),"передан без следа",IF(AND($K196="да",$L196=""),"передан без следа","в порядке"))))))))))</x:f>
      </x:c>
    </x:row>
    <x:row r="197">
      <x:c r="A197" s="95" t="str">
        <x:f>IF($B197="","",ROW()-6)</x:f>
      </x:c>
      <x:c r="B197" s="96" t="n"/>
      <x:c r="C197" s="96" t="n"/>
      <x:c r="D197" s="96" t="n"/>
      <x:c r="E197" s="97" t="n"/>
      <x:c r="F197" s="96" t="n"/>
      <x:c r="G197" s="96" t="n"/>
      <x:c r="H197" s="96" t="n"/>
      <x:c r="I197" s="96" t="n"/>
      <x:c r="J197" s="96" t="n"/>
      <x:c r="K197" s="96" t="n"/>
      <x:c r="L197" s="97" t="n"/>
      <x:c r="M197" s="96" t="n"/>
      <x:c r="N197" s="96" t="n"/>
      <x:c r="O197" s="11" t="n"/>
      <x:c r="P197" s="10" t="n"/>
      <x:c r="Q197" s="11" t="n"/>
      <x:c r="R197" s="10" t="n"/>
      <x:c r="S197" s="10" t="n"/>
      <x:c r="T197" s="10" t="n"/>
      <x:c r="U197" s="12" t="str">
        <x:f>IF($B197="","",IF(OR(AND($G197&lt;&gt;"оригинал",$G197&lt;&gt;"копия",$G197&lt;&gt;"скан",$G197&lt;&gt;"нет"),AND($J197&lt;&gt;"да",$J197&lt;&gt;"нет")),"НЕ ПРОВЕРЕНО: наличие или обязательность",IF(AND($N197="да",OR($O197="",$M197="")),"передан без следа: эксперт или дата",IF(AND($P197="да",$Q197=""),"НЕ ПРОВЕРЕНО: дата запроса",IF($B197="","",IF(AND($J197="да",$G197="нет",$P197&lt;&gt;"да"),"дыра: обязательного документа нет, запрос не направлен",IF(AND($G197="нет",$P197="да",$R197&lt;&gt;"да"),"запрошен, не получен",IF(AND($G197="нет",$J197&lt;&gt;"да"),"отсутствует, на причину не влияет",IF(AND(OR($K197="да",$N197="да"),$M197=""),"передан без следа",IF(AND($K197="да",$L197=""),"передан без следа","в порядке"))))))))))</x:f>
      </x:c>
    </x:row>
    <x:row r="198">
      <x:c r="A198" s="95" t="str">
        <x:f>IF($B198="","",ROW()-6)</x:f>
      </x:c>
      <x:c r="B198" s="96" t="n"/>
      <x:c r="C198" s="96" t="n"/>
      <x:c r="D198" s="96" t="n"/>
      <x:c r="E198" s="97" t="n"/>
      <x:c r="F198" s="96" t="n"/>
      <x:c r="G198" s="96" t="n"/>
      <x:c r="H198" s="96" t="n"/>
      <x:c r="I198" s="96" t="n"/>
      <x:c r="J198" s="96" t="n"/>
      <x:c r="K198" s="96" t="n"/>
      <x:c r="L198" s="97" t="n"/>
      <x:c r="M198" s="96" t="n"/>
      <x:c r="N198" s="96" t="n"/>
      <x:c r="O198" s="11" t="n"/>
      <x:c r="P198" s="10" t="n"/>
      <x:c r="Q198" s="11" t="n"/>
      <x:c r="R198" s="10" t="n"/>
      <x:c r="S198" s="10" t="n"/>
      <x:c r="T198" s="10" t="n"/>
      <x:c r="U198" s="12" t="str">
        <x:f>IF($B198="","",IF(OR(AND($G198&lt;&gt;"оригинал",$G198&lt;&gt;"копия",$G198&lt;&gt;"скан",$G198&lt;&gt;"нет"),AND($J198&lt;&gt;"да",$J198&lt;&gt;"нет")),"НЕ ПРОВЕРЕНО: наличие или обязательность",IF(AND($N198="да",OR($O198="",$M198="")),"передан без следа: эксперт или дата",IF(AND($P198="да",$Q198=""),"НЕ ПРОВЕРЕНО: дата запроса",IF($B198="","",IF(AND($J198="да",$G198="нет",$P198&lt;&gt;"да"),"дыра: обязательного документа нет, запрос не направлен",IF(AND($G198="нет",$P198="да",$R198&lt;&gt;"да"),"запрошен, не получен",IF(AND($G198="нет",$J198&lt;&gt;"да"),"отсутствует, на причину не влияет",IF(AND(OR($K198="да",$N198="да"),$M198=""),"передан без следа",IF(AND($K198="да",$L198=""),"передан без следа","в порядке"))))))))))</x:f>
      </x:c>
    </x:row>
    <x:row r="199">
      <x:c r="A199" s="95" t="str">
        <x:f>IF($B199="","",ROW()-6)</x:f>
      </x:c>
      <x:c r="B199" s="96" t="n"/>
      <x:c r="C199" s="96" t="n"/>
      <x:c r="D199" s="96" t="n"/>
      <x:c r="E199" s="97" t="n"/>
      <x:c r="F199" s="96" t="n"/>
      <x:c r="G199" s="96" t="n"/>
      <x:c r="H199" s="96" t="n"/>
      <x:c r="I199" s="96" t="n"/>
      <x:c r="J199" s="96" t="n"/>
      <x:c r="K199" s="96" t="n"/>
      <x:c r="L199" s="97" t="n"/>
      <x:c r="M199" s="96" t="n"/>
      <x:c r="N199" s="96" t="n"/>
      <x:c r="O199" s="11" t="n"/>
      <x:c r="P199" s="10" t="n"/>
      <x:c r="Q199" s="11" t="n"/>
      <x:c r="R199" s="10" t="n"/>
      <x:c r="S199" s="10" t="n"/>
      <x:c r="T199" s="10" t="n"/>
      <x:c r="U199" s="12" t="str">
        <x:f>IF($B199="","",IF(OR(AND($G199&lt;&gt;"оригинал",$G199&lt;&gt;"копия",$G199&lt;&gt;"скан",$G199&lt;&gt;"нет"),AND($J199&lt;&gt;"да",$J199&lt;&gt;"нет")),"НЕ ПРОВЕРЕНО: наличие или обязательность",IF(AND($N199="да",OR($O199="",$M199="")),"передан без следа: эксперт или дата",IF(AND($P199="да",$Q199=""),"НЕ ПРОВЕРЕНО: дата запроса",IF($B199="","",IF(AND($J199="да",$G199="нет",$P199&lt;&gt;"да"),"дыра: обязательного документа нет, запрос не направлен",IF(AND($G199="нет",$P199="да",$R199&lt;&gt;"да"),"запрошен, не получен",IF(AND($G199="нет",$J199&lt;&gt;"да"),"отсутствует, на причину не влияет",IF(AND(OR($K199="да",$N199="да"),$M199=""),"передан без следа",IF(AND($K199="да",$L199=""),"передан без следа","в порядке"))))))))))</x:f>
      </x:c>
    </x:row>
    <x:row r="200">
      <x:c r="A200" s="95" t="str">
        <x:f>IF($B200="","",ROW()-6)</x:f>
      </x:c>
      <x:c r="B200" s="96" t="n"/>
      <x:c r="C200" s="96" t="n"/>
      <x:c r="D200" s="96" t="n"/>
      <x:c r="E200" s="97" t="n"/>
      <x:c r="F200" s="96" t="n"/>
      <x:c r="G200" s="96" t="n"/>
      <x:c r="H200" s="96" t="n"/>
      <x:c r="I200" s="96" t="n"/>
      <x:c r="J200" s="96" t="n"/>
      <x:c r="K200" s="96" t="n"/>
      <x:c r="L200" s="97" t="n"/>
      <x:c r="M200" s="96" t="n"/>
      <x:c r="N200" s="96" t="n"/>
      <x:c r="O200" s="11" t="n"/>
      <x:c r="P200" s="10" t="n"/>
      <x:c r="Q200" s="11" t="n"/>
      <x:c r="R200" s="10" t="n"/>
      <x:c r="S200" s="10" t="n"/>
      <x:c r="T200" s="10" t="n"/>
      <x:c r="U200" s="12" t="str">
        <x:f>IF($B200="","",IF(OR(AND($G200&lt;&gt;"оригинал",$G200&lt;&gt;"копия",$G200&lt;&gt;"скан",$G200&lt;&gt;"нет"),AND($J200&lt;&gt;"да",$J200&lt;&gt;"нет")),"НЕ ПРОВЕРЕНО: наличие или обязательность",IF(AND($N200="да",OR($O200="",$M200="")),"передан без следа: эксперт или дата",IF(AND($P200="да",$Q200=""),"НЕ ПРОВЕРЕНО: дата запроса",IF($B200="","",IF(AND($J200="да",$G200="нет",$P200&lt;&gt;"да"),"дыра: обязательного документа нет, запрос не направлен",IF(AND($G200="нет",$P200="да",$R200&lt;&gt;"да"),"запрошен, не получен",IF(AND($G200="нет",$J200&lt;&gt;"да"),"отсутствует, на причину не влияет",IF(AND(OR($K200="да",$N200="да"),$M200=""),"передан без следа",IF(AND($K200="да",$L200=""),"передан без следа","в порядке"))))))))))</x:f>
      </x:c>
    </x:row>
    <x:row r="201">
      <x:c r="A201" s="95" t="str">
        <x:f>IF($B201="","",ROW()-6)</x:f>
      </x:c>
      <x:c r="B201" s="96" t="n"/>
      <x:c r="C201" s="96" t="n"/>
      <x:c r="D201" s="96" t="n"/>
      <x:c r="E201" s="97" t="n"/>
      <x:c r="F201" s="96" t="n"/>
      <x:c r="G201" s="96" t="n"/>
      <x:c r="H201" s="96" t="n"/>
      <x:c r="I201" s="96" t="n"/>
      <x:c r="J201" s="96" t="n"/>
      <x:c r="K201" s="96" t="n"/>
      <x:c r="L201" s="97" t="n"/>
      <x:c r="M201" s="96" t="n"/>
      <x:c r="N201" s="96" t="n"/>
      <x:c r="O201" s="11" t="n"/>
      <x:c r="P201" s="10" t="n"/>
      <x:c r="Q201" s="11" t="n"/>
      <x:c r="R201" s="10" t="n"/>
      <x:c r="S201" s="10" t="n"/>
      <x:c r="T201" s="10" t="n"/>
      <x:c r="U201" s="12" t="str">
        <x:f>IF($B201="","",IF(OR(AND($G201&lt;&gt;"оригинал",$G201&lt;&gt;"копия",$G201&lt;&gt;"скан",$G201&lt;&gt;"нет"),AND($J201&lt;&gt;"да",$J201&lt;&gt;"нет")),"НЕ ПРОВЕРЕНО: наличие или обязательность",IF(AND($N201="да",OR($O201="",$M201="")),"передан без следа: эксперт или дата",IF(AND($P201="да",$Q201=""),"НЕ ПРОВЕРЕНО: дата запроса",IF($B201="","",IF(AND($J201="да",$G201="нет",$P201&lt;&gt;"да"),"дыра: обязательного документа нет, запрос не направлен",IF(AND($G201="нет",$P201="да",$R201&lt;&gt;"да"),"запрошен, не получен",IF(AND($G201="нет",$J201&lt;&gt;"да"),"отсутствует, на причину не влияет",IF(AND(OR($K201="да",$N201="да"),$M201=""),"передан без следа",IF(AND($K201="да",$L201=""),"передан без следа","в порядке"))))))))))</x:f>
      </x:c>
    </x:row>
    <x:row r="202">
      <x:c r="A202" s="95" t="str">
        <x:f>IF($B202="","",ROW()-6)</x:f>
      </x:c>
      <x:c r="B202" s="96" t="n"/>
      <x:c r="C202" s="96" t="n"/>
      <x:c r="D202" s="96" t="n"/>
      <x:c r="E202" s="97" t="n"/>
      <x:c r="F202" s="96" t="n"/>
      <x:c r="G202" s="96" t="n"/>
      <x:c r="H202" s="96" t="n"/>
      <x:c r="I202" s="96" t="n"/>
      <x:c r="J202" s="96" t="n"/>
      <x:c r="K202" s="96" t="n"/>
      <x:c r="L202" s="97" t="n"/>
      <x:c r="M202" s="96" t="n"/>
      <x:c r="N202" s="96" t="n"/>
      <x:c r="O202" s="11" t="n"/>
      <x:c r="P202" s="10" t="n"/>
      <x:c r="Q202" s="11" t="n"/>
      <x:c r="R202" s="10" t="n"/>
      <x:c r="S202" s="10" t="n"/>
      <x:c r="T202" s="10" t="n"/>
      <x:c r="U202" s="12" t="str">
        <x:f>IF($B202="","",IF(OR(AND($G202&lt;&gt;"оригинал",$G202&lt;&gt;"копия",$G202&lt;&gt;"скан",$G202&lt;&gt;"нет"),AND($J202&lt;&gt;"да",$J202&lt;&gt;"нет")),"НЕ ПРОВЕРЕНО: наличие или обязательность",IF(AND($N202="да",OR($O202="",$M202="")),"передан без следа: эксперт или дата",IF(AND($P202="да",$Q202=""),"НЕ ПРОВЕРЕНО: дата запроса",IF($B202="","",IF(AND($J202="да",$G202="нет",$P202&lt;&gt;"да"),"дыра: обязательного документа нет, запрос не направлен",IF(AND($G202="нет",$P202="да",$R202&lt;&gt;"да"),"запрошен, не получен",IF(AND($G202="нет",$J202&lt;&gt;"да"),"отсутствует, на причину не влияет",IF(AND(OR($K202="да",$N202="да"),$M202=""),"передан без следа",IF(AND($K202="да",$L202=""),"передан без следа","в порядке"))))))))))</x:f>
      </x:c>
    </x:row>
    <x:row r="203">
      <x:c r="A203" s="95" t="str">
        <x:f>IF($B203="","",ROW()-6)</x:f>
      </x:c>
      <x:c r="B203" s="96" t="n"/>
      <x:c r="C203" s="96" t="n"/>
      <x:c r="D203" s="96" t="n"/>
      <x:c r="E203" s="97" t="n"/>
      <x:c r="F203" s="96" t="n"/>
      <x:c r="G203" s="96" t="n"/>
      <x:c r="H203" s="96" t="n"/>
      <x:c r="I203" s="96" t="n"/>
      <x:c r="J203" s="96" t="n"/>
      <x:c r="K203" s="96" t="n"/>
      <x:c r="L203" s="97" t="n"/>
      <x:c r="M203" s="96" t="n"/>
      <x:c r="N203" s="96" t="n"/>
      <x:c r="O203" s="11" t="n"/>
      <x:c r="P203" s="10" t="n"/>
      <x:c r="Q203" s="11" t="n"/>
      <x:c r="R203" s="10" t="n"/>
      <x:c r="S203" s="10" t="n"/>
      <x:c r="T203" s="10" t="n"/>
      <x:c r="U203" s="12" t="str">
        <x:f>IF($B203="","",IF(OR(AND($G203&lt;&gt;"оригинал",$G203&lt;&gt;"копия",$G203&lt;&gt;"скан",$G203&lt;&gt;"нет"),AND($J203&lt;&gt;"да",$J203&lt;&gt;"нет")),"НЕ ПРОВЕРЕНО: наличие или обязательность",IF(AND($N203="да",OR($O203="",$M203="")),"передан без следа: эксперт или дата",IF(AND($P203="да",$Q203=""),"НЕ ПРОВЕРЕНО: дата запроса",IF($B203="","",IF(AND($J203="да",$G203="нет",$P203&lt;&gt;"да"),"дыра: обязательного документа нет, запрос не направлен",IF(AND($G203="нет",$P203="да",$R203&lt;&gt;"да"),"запрошен, не получен",IF(AND($G203="нет",$J203&lt;&gt;"да"),"отсутствует, на причину не влияет",IF(AND(OR($K203="да",$N203="да"),$M203=""),"передан без следа",IF(AND($K203="да",$L203=""),"передан без следа","в порядке"))))))))))</x:f>
      </x:c>
    </x:row>
    <x:row r="204">
      <x:c r="A204" s="95" t="str">
        <x:f>IF($B204="","",ROW()-6)</x:f>
      </x:c>
      <x:c r="B204" s="96" t="n"/>
      <x:c r="C204" s="96" t="n"/>
      <x:c r="D204" s="96" t="n"/>
      <x:c r="E204" s="97" t="n"/>
      <x:c r="F204" s="96" t="n"/>
      <x:c r="G204" s="96" t="n"/>
      <x:c r="H204" s="96" t="n"/>
      <x:c r="I204" s="96" t="n"/>
      <x:c r="J204" s="96" t="n"/>
      <x:c r="K204" s="96" t="n"/>
      <x:c r="L204" s="97" t="n"/>
      <x:c r="M204" s="96" t="n"/>
      <x:c r="N204" s="96" t="n"/>
      <x:c r="O204" s="11" t="n"/>
      <x:c r="P204" s="10" t="n"/>
      <x:c r="Q204" s="11" t="n"/>
      <x:c r="R204" s="10" t="n"/>
      <x:c r="S204" s="10" t="n"/>
      <x:c r="T204" s="10" t="n"/>
      <x:c r="U204" s="12" t="str">
        <x:f>IF($B204="","",IF(OR(AND($G204&lt;&gt;"оригинал",$G204&lt;&gt;"копия",$G204&lt;&gt;"скан",$G204&lt;&gt;"нет"),AND($J204&lt;&gt;"да",$J204&lt;&gt;"нет")),"НЕ ПРОВЕРЕНО: наличие или обязательность",IF(AND($N204="да",OR($O204="",$M204="")),"передан без следа: эксперт или дата",IF(AND($P204="да",$Q204=""),"НЕ ПРОВЕРЕНО: дата запроса",IF($B204="","",IF(AND($J204="да",$G204="нет",$P204&lt;&gt;"да"),"дыра: обязательного документа нет, запрос не направлен",IF(AND($G204="нет",$P204="да",$R204&lt;&gt;"да"),"запрошен, не получен",IF(AND($G204="нет",$J204&lt;&gt;"да"),"отсутствует, на причину не влияет",IF(AND(OR($K204="да",$N204="да"),$M204=""),"передан без следа",IF(AND($K204="да",$L204=""),"передан без следа","в порядке"))))))))))</x:f>
      </x:c>
    </x:row>
    <x:row r="205">
      <x:c r="A205" s="95" t="str">
        <x:f>IF($B205="","",ROW()-6)</x:f>
      </x:c>
      <x:c r="B205" s="96" t="n"/>
      <x:c r="C205" s="96" t="n"/>
      <x:c r="D205" s="96" t="n"/>
      <x:c r="E205" s="97" t="n"/>
      <x:c r="F205" s="96" t="n"/>
      <x:c r="G205" s="96" t="n"/>
      <x:c r="H205" s="96" t="n"/>
      <x:c r="I205" s="96" t="n"/>
      <x:c r="J205" s="96" t="n"/>
      <x:c r="K205" s="96" t="n"/>
      <x:c r="L205" s="97" t="n"/>
      <x:c r="M205" s="96" t="n"/>
      <x:c r="N205" s="96" t="n"/>
      <x:c r="O205" s="11" t="n"/>
      <x:c r="P205" s="10" t="n"/>
      <x:c r="Q205" s="11" t="n"/>
      <x:c r="R205" s="10" t="n"/>
      <x:c r="S205" s="10" t="n"/>
      <x:c r="T205" s="10" t="n"/>
      <x:c r="U205" s="12" t="str">
        <x:f>IF($B205="","",IF(OR(AND($G205&lt;&gt;"оригинал",$G205&lt;&gt;"копия",$G205&lt;&gt;"скан",$G205&lt;&gt;"нет"),AND($J205&lt;&gt;"да",$J205&lt;&gt;"нет")),"НЕ ПРОВЕРЕНО: наличие или обязательность",IF(AND($N205="да",OR($O205="",$M205="")),"передан без следа: эксперт или дата",IF(AND($P205="да",$Q205=""),"НЕ ПРОВЕРЕНО: дата запроса",IF($B205="","",IF(AND($J205="да",$G205="нет",$P205&lt;&gt;"да"),"дыра: обязательного документа нет, запрос не направлен",IF(AND($G205="нет",$P205="да",$R205&lt;&gt;"да"),"запрошен, не получен",IF(AND($G205="нет",$J205&lt;&gt;"да"),"отсутствует, на причину не влияет",IF(AND(OR($K205="да",$N205="да"),$M205=""),"передан без следа",IF(AND($K205="да",$L205=""),"передан без следа","в порядке"))))))))))</x:f>
      </x:c>
    </x:row>
    <x:row r="206">
      <x:c r="A206" s="95" t="str">
        <x:f>IF($B206="","",ROW()-6)</x:f>
      </x:c>
      <x:c r="B206" s="96" t="n"/>
      <x:c r="C206" s="96" t="n"/>
      <x:c r="D206" s="96" t="n"/>
      <x:c r="E206" s="97" t="n"/>
      <x:c r="F206" s="96" t="n"/>
      <x:c r="G206" s="96" t="n"/>
      <x:c r="H206" s="96" t="n"/>
      <x:c r="I206" s="96" t="n"/>
      <x:c r="J206" s="96" t="n"/>
      <x:c r="K206" s="96" t="n"/>
      <x:c r="L206" s="97" t="n"/>
      <x:c r="M206" s="96" t="n"/>
      <x:c r="N206" s="96" t="n"/>
      <x:c r="O206" s="11" t="n"/>
      <x:c r="P206" s="10" t="n"/>
      <x:c r="Q206" s="11" t="n"/>
      <x:c r="R206" s="10" t="n"/>
      <x:c r="S206" s="10" t="n"/>
      <x:c r="T206" s="10" t="n"/>
      <x:c r="U206" s="12" t="str">
        <x:f>IF($B206="","",IF(OR(AND($G206&lt;&gt;"оригинал",$G206&lt;&gt;"копия",$G206&lt;&gt;"скан",$G206&lt;&gt;"нет"),AND($J206&lt;&gt;"да",$J206&lt;&gt;"нет")),"НЕ ПРОВЕРЕНО: наличие или обязательность",IF(AND($N206="да",OR($O206="",$M206="")),"передан без следа: эксперт или дата",IF(AND($P206="да",$Q206=""),"НЕ ПРОВЕРЕНО: дата запроса",IF($B206="","",IF(AND($J206="да",$G206="нет",$P206&lt;&gt;"да"),"дыра: обязательного документа нет, запрос не направлен",IF(AND($G206="нет",$P206="да",$R206&lt;&gt;"да"),"запрошен, не получен",IF(AND($G206="нет",$J206&lt;&gt;"да"),"отсутствует, на причину не влияет",IF(AND(OR($K206="да",$N206="да"),$M206=""),"передан без следа",IF(AND($K206="да",$L206=""),"передан без следа","в порядке"))))))))))</x:f>
      </x:c>
    </x:row>
    <x:row r="207">
      <x:c r="A207" s="58"/>
      <x:c r="B207" s="58"/>
      <x:c r="C207" s="58"/>
      <x:c r="D207" s="58"/>
      <x:c r="E207" s="58"/>
      <x:c r="F207" s="58"/>
      <x:c r="G207" s="58"/>
      <x:c r="H207" s="58"/>
      <x:c r="I207" s="58"/>
      <x:c r="J207" s="58"/>
      <x:c r="K207" s="58"/>
      <x:c r="L207" s="58"/>
      <x:c r="M207" s="58"/>
      <x:c r="N207" s="58"/>
    </x:row>
    <x:row r="208" ht="46" customHeight="1">
      <x:c r="A208" s="49" t="inlineStr">
        <x:is>
          <x:t xml:space="preserve">Красная строка — обязательный документ отсутствует и не запрошен либо документ передан оппоненту или эксперту без следа передачи. Жёлтая — запрос направлен, ответа нет дольше порога, заданного на листе «Спорная зона». Передача без описи вложения, ЭДО или письма следа не оставляет: «передал без следа» = «не передал».</x:t>
        </x:is>
      </x:c>
      <x:c r="B208" s="58"/>
      <x:c r="C208" s="58"/>
      <x:c r="D208" s="58"/>
      <x:c r="E208" s="58"/>
      <x:c r="F208" s="58"/>
      <x:c r="G208" s="58"/>
      <x:c r="H208" s="58"/>
      <x:c r="I208" s="58"/>
      <x:c r="J208" s="58"/>
      <x:c r="K208" s="58"/>
      <x:c r="L208" s="58"/>
      <x:c r="M208" s="58"/>
      <x:c r="N208" s="58"/>
    </x:row>
  </x:sheetData>
  <x:mergeCells>
    <x:mergeCell ref="A208:U208"/>
    <x:mergeCell ref="A4:U4"/>
    <x:mergeCell ref="A2:U2"/>
    <x:mergeCell ref="A3:U3"/>
  </x:mergeCells>
  <x:conditionalFormatting sqref="A7:U206">
    <x:cfRule type="expression" dxfId="0" priority="1" stopIfTrue="1">
      <x:formula>AND($B7&lt;&gt;"",$J7="да",$G7="нет",$P7&lt;&gt;"да")</x:formula>
    </x:cfRule>
    <x:cfRule type="expression" dxfId="0" priority="2" stopIfTrue="1">
      <x:formula>AND($B7&lt;&gt;"",OR($K7="да",$N7="да"),$M7="")</x:formula>
    </x:cfRule>
    <x:cfRule type="expression" dxfId="1" priority="3" stopIfTrue="1">
      <x:formula>AND($B7&lt;&gt;"",$P7="да",$R7&lt;&gt;"да",$Q7&lt;&gt;"",LEN('Спорная зона'!$B$14)&gt;0,TODAY()-$Q7&gt;'Спорная зона'!$B$14)</x:formula>
    </x:cfRule>
  </x:conditionalFormatting>
  <x:dataValidations count="4">
    <x:dataValidation type="list" allowBlank="1" showDropDown="0" showInputMessage="0" showErrorMessage="0" error="Выберите вид документа из справочника листа «Виды»" sqref="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x:formula1>'Виды'!$A$3:$A$22</x:formula1>
    </x:dataValidation>
    <x:dataValidation type="list" allowBlank="1" showDropDown="0" showInputMessage="0" showErrorMessage="0" error="Выберите: оригинал / копия / скан / нет" sqref="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x:formula1>'Виды'!$C$3:$C$6</x:formula1>
    </x:dataValidation>
    <x:dataValidation type="list" allowBlank="1" showDropDown="0" showInputMessage="0" showErrorMessage="0" error="Выберите значение из справочника листа «Виды»" sqref="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x:formula1>'Виды'!$G$3:$G$10</x:formula1>
    </x:dataValidation>
    <x:dataValidation type="list" allowBlank="1" showDropDown="0" showInputMessage="0" showErrorMessage="0" error="Введите «да» или «нет»" sqref="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x:formula1>"да,нет"</x:formula1>
    </x:dataValidation>
  </x:dataValidations>
  <x:pageMargins left="0.3" right="0.3" top="0.4" bottom="0.4" header="0.2" footer="0.2"/>
  <x:pageSetup paperSize="8" orientation="landscape" fitToWidth="1" fitToHeight="0"/>
  <x:legacyDrawing xmlns:r="http://schemas.openxmlformats.org/officeDocument/2006/relationships" r:id="R21dcfc93f2914ab1"/>
</x:worksheet>
</file>

<file path=xl/worksheets/sheet3.xml><?xml version="1.0" encoding="utf-8"?>
<x:worksheet xmlns:x="http://schemas.openxmlformats.org/spreadsheetml/2006/main">
  <x:sheetPr>
    <x:pageSetUpPr fitToPage="1"/>
  </x:sheetPr>
  <x:sheetFormatPr baseColWidth="8" defaultRowHeight="15"/>
  <x:cols>
    <x:col min="1" max="1" width="24" customWidth="1"/>
    <x:col min="2" max="2" width="42" customWidth="1"/>
    <x:col min="3" max="3" width="56" customWidth="1"/>
    <x:col min="4" max="4" width="14" customWidth="1"/>
    <x:col min="5" max="5" width="17" customWidth="1"/>
    <x:col min="6" max="6" width="26" customWidth="1"/>
  </x:cols>
  <x:sheetData>
    <x:row r="1" ht="31" customHeight="1">
      <x:c r="A1" s="76" t="inlineStr">
        <x:is>
          <x:t xml:space="preserve">Обязательный минимум по ведущему виду работ</x:t>
        </x:is>
      </x:c>
      <x:c r="B1" s="76"/>
      <x:c r="C1" s="76"/>
      <x:c r="D1" s="76"/>
      <x:c r="E1" s="76"/>
      <x:c r="F1" s="76"/>
      <x:c r="G1" s="76"/>
      <x:c r="H1" s="76"/>
      <x:c r="I1" s="76"/>
      <x:c r="J1" s="76"/>
    </x:row>
    <x:row r="2">
      <x:c r="A2" s="88" t="inlineStr">
        <x:is>
          <x:t xml:space="preserve">Что эксперт спрашивает по каждому виду работ и есть ли это у вас. Строки заданы в файле, наличие считается по листу «Опись». Строка по невыбранному виду работ даёт «не применяется» и в счётчик дыр не идёт.</x:t>
        </x:is>
      </x:c>
      <x:c r="B2" s="58"/>
      <x:c r="C2" s="58"/>
      <x:c r="D2" s="58"/>
      <x:c r="E2" s="58"/>
      <x:c r="F2" s="58"/>
      <x:c r="G2" s="58"/>
      <x:c r="H2" s="58"/>
      <x:c r="I2" s="58"/>
      <x:c r="J2" s="58"/>
    </x:row>
    <x:row r="3">
      <x:c r="A3" s="58"/>
      <x:c r="B3" s="58"/>
      <x:c r="C3" s="58"/>
      <x:c r="D3" s="58"/>
      <x:c r="E3" s="58"/>
      <x:c r="F3" s="58"/>
      <x:c r="G3" s="58"/>
      <x:c r="H3" s="58"/>
      <x:c r="I3" s="58"/>
      <x:c r="J3" s="58"/>
    </x:row>
    <x:row r="4" ht="35" customHeight="1">
      <x:c r="A4" s="99" t="inlineStr">
        <x:is>
          <x:t xml:space="preserve">Вид работ</x:t>
        </x:is>
      </x:c>
      <x:c r="B4" s="99" t="inlineStr">
        <x:is>
          <x:t xml:space="preserve">Документ</x:t>
        </x:is>
      </x:c>
      <x:c r="C4" s="99" t="inlineStr">
        <x:is>
          <x:t xml:space="preserve">Зачем нужен</x:t>
        </x:is>
      </x:c>
      <x:c r="D4" s="99" t="inlineStr">
        <x:is>
          <x:t xml:space="preserve">Строк в описи</x:t>
        </x:is>
      </x:c>
      <x:c r="E4" s="99" t="inlineStr">
        <x:is>
          <x:t xml:space="preserve">Из них в наличии</x:t>
        </x:is>
      </x:c>
      <x:c r="F4" s="99" t="inlineStr">
        <x:is>
          <x:t xml:space="preserve">Вывод</x:t>
        </x:is>
      </x:c>
      <x:c r="G4" s="110"/>
      <x:c r="H4" s="110"/>
      <x:c r="I4" s="110"/>
      <x:c r="J4" s="110"/>
    </x:row>
    <x:row r="5">
      <x:c r="A5" s="101" t="inlineStr">
        <x:is>
          <x:t xml:space="preserve">общий</x:t>
        </x:is>
      </x:c>
      <x:c r="B5" s="101" t="inlineStr">
        <x:is>
          <x:t xml:space="preserve">договор и приложения</x:t>
        </x:is>
      </x:c>
      <x:c r="C5" s="101" t="inlineStr">
        <x:is>
          <x:t xml:space="preserve">предмет, объём и границы ваших обязательств по зоне</x:t>
        </x:is>
      </x:c>
      <x:c r="D5" s="101" t="n">
        <x:f>COUNTIF('Опись'!$B$7:$B$206,$B5)</x:f>
        <x:v>0</x:v>
      </x:c>
      <x:c r="E5" s="101" t="n">
        <x:f>SUMPRODUCT(('Опись'!$B$7:$B$206=$B5)*(('Опись'!$G$7:$G$206="оригинал")+('Опись'!$G$7:$G$206="копия")+('Опись'!$G$7:$G$206="скан")))</x:f>
        <x:v>0</x:v>
      </x:c>
      <x:c r="F5" s="101" t="str">
        <x:f>IF(OR($A5="общий",$A5='Спорная зона'!$B$13),IF($E5=0,"дыра: документа нет","есть"),"не применяется")</x:f>
        <x:v>дыра: документа нет</x:v>
      </x:c>
      <x:c r="G5" s="58"/>
      <x:c r="H5" s="58"/>
      <x:c r="I5" s="58"/>
      <x:c r="J5" s="58"/>
    </x:row>
    <x:row r="6">
      <x:c r="A6" s="101" t="inlineStr">
        <x:is>
          <x:t xml:space="preserve">общий</x:t>
        </x:is>
      </x:c>
      <x:c r="B6" s="101" t="inlineStr">
        <x:is>
          <x:t xml:space="preserve">проектная и рабочая документация</x:t>
        </x:is>
      </x:c>
      <x:c r="C6" s="101" t="inlineStr">
        <x:is>
          <x:t xml:space="preserve">с чем эксперт сравнивает фактическое состояние</x:t>
        </x:is>
      </x:c>
      <x:c r="D6" s="101" t="n">
        <x:f>COUNTIF('Опись'!$B$7:$B$206,$B6)</x:f>
        <x:v>0</x:v>
      </x:c>
      <x:c r="E6" s="101" t="n">
        <x:f>SUMPRODUCT(('Опись'!$B$7:$B$206=$B6)*(('Опись'!$G$7:$G$206="оригинал")+('Опись'!$G$7:$G$206="копия")+('Опись'!$G$7:$G$206="скан")))</x:f>
        <x:v>0</x:v>
      </x:c>
      <x:c r="F6" s="101" t="str">
        <x:f>IF(OR($A6="общий",$A6='Спорная зона'!$B$13),IF($E6=0,"дыра: документа нет","есть"),"не применяется")</x:f>
        <x:v>дыра: документа нет</x:v>
      </x:c>
      <x:c r="G6" s="58"/>
      <x:c r="H6" s="58"/>
      <x:c r="I6" s="58"/>
      <x:c r="J6" s="58"/>
    </x:row>
    <x:row r="7">
      <x:c r="A7" s="101" t="inlineStr">
        <x:is>
          <x:t xml:space="preserve">общий</x:t>
        </x:is>
      </x:c>
      <x:c r="B7" s="101" t="inlineStr">
        <x:is>
          <x:t xml:space="preserve">акт передачи фронта работ</x:t>
        </x:is>
      </x:c>
      <x:c r="C7" s="101" t="inlineStr">
        <x:is>
          <x:t xml:space="preserve">состояние зоны и оснований на момент начала ваших работ</x:t>
        </x:is>
      </x:c>
      <x:c r="D7" s="101" t="n">
        <x:f>COUNTIF('Опись'!$B$7:$B$206,$B7)</x:f>
        <x:v>0</x:v>
      </x:c>
      <x:c r="E7" s="101" t="n">
        <x:f>SUMPRODUCT(('Опись'!$B$7:$B$206=$B7)*(('Опись'!$G$7:$G$206="оригинал")+('Опись'!$G$7:$G$206="копия")+('Опись'!$G$7:$G$206="скан")))</x:f>
        <x:v>0</x:v>
      </x:c>
      <x:c r="F7" s="101" t="str">
        <x:f>IF(OR($A7="общий",$A7='Спорная зона'!$B$13),IF($E7=0,"дыра: документа нет","есть"),"не применяется")</x:f>
        <x:v>дыра: документа нет</x:v>
      </x:c>
      <x:c r="G7" s="58"/>
      <x:c r="H7" s="58"/>
      <x:c r="I7" s="58"/>
      <x:c r="J7" s="58"/>
    </x:row>
    <x:row r="8">
      <x:c r="A8" s="101" t="inlineStr">
        <x:is>
          <x:t xml:space="preserve">общий</x:t>
        </x:is>
      </x:c>
      <x:c r="B8" s="101" t="inlineStr">
        <x:is>
          <x:t xml:space="preserve">акт разграничения ответственности</x:t>
        </x:is>
      </x:c>
      <x:c r="C8" s="101" t="inlineStr">
        <x:is>
          <x:t xml:space="preserve">кто отвечает за смежные конструкции и системы</x:t>
        </x:is>
      </x:c>
      <x:c r="D8" s="101" t="n">
        <x:f>COUNTIF('Опись'!$B$7:$B$206,$B8)</x:f>
        <x:v>0</x:v>
      </x:c>
      <x:c r="E8" s="101" t="n">
        <x:f>SUMPRODUCT(('Опись'!$B$7:$B$206=$B8)*(('Опись'!$G$7:$G$206="оригинал")+('Опись'!$G$7:$G$206="копия")+('Опись'!$G$7:$G$206="скан")))</x:f>
        <x:v>0</x:v>
      </x:c>
      <x:c r="F8" s="101" t="str">
        <x:f>IF(OR($A8="общий",$A8='Спорная зона'!$B$13),IF($E8=0,"дыра: документа нет","есть"),"не применяется")</x:f>
        <x:v>дыра: документа нет</x:v>
      </x:c>
      <x:c r="G8" s="58"/>
      <x:c r="H8" s="58"/>
      <x:c r="I8" s="58"/>
      <x:c r="J8" s="58"/>
    </x:row>
    <x:row r="9">
      <x:c r="A9" s="101" t="inlineStr">
        <x:is>
          <x:t xml:space="preserve">общий</x:t>
        </x:is>
      </x:c>
      <x:c r="B9" s="101" t="inlineStr">
        <x:is>
          <x:t xml:space="preserve">акт освидетельствования скрытых работ</x:t>
        </x:is>
      </x:c>
      <x:c r="C9" s="101" t="inlineStr">
        <x:is>
          <x:t xml:space="preserve">что скрыто последующими работами и в каком виде принято</x:t>
        </x:is>
      </x:c>
      <x:c r="D9" s="101" t="n">
        <x:f>COUNTIF('Опись'!$B$7:$B$206,$B9)</x:f>
        <x:v>0</x:v>
      </x:c>
      <x:c r="E9" s="101" t="n">
        <x:f>SUMPRODUCT(('Опись'!$B$7:$B$206=$B9)*(('Опись'!$G$7:$G$206="оригинал")+('Опись'!$G$7:$G$206="копия")+('Опись'!$G$7:$G$206="скан")))</x:f>
        <x:v>0</x:v>
      </x:c>
      <x:c r="F9" s="101" t="str">
        <x:f>IF(OR($A9="общий",$A9='Спорная зона'!$B$13),IF($E9=0,"дыра: документа нет","есть"),"не применяется")</x:f>
        <x:v>дыра: документа нет</x:v>
      </x:c>
      <x:c r="G9" s="58"/>
      <x:c r="H9" s="58"/>
      <x:c r="I9" s="58"/>
      <x:c r="J9" s="58"/>
    </x:row>
    <x:row r="10">
      <x:c r="A10" s="101" t="inlineStr">
        <x:is>
          <x:t xml:space="preserve">общий</x:t>
        </x:is>
      </x:c>
      <x:c r="B10" s="101" t="inlineStr">
        <x:is>
          <x:t xml:space="preserve">исполнительная схема</x:t>
        </x:is>
      </x:c>
      <x:c r="C10" s="101" t="inlineStr">
        <x:is>
          <x:t xml:space="preserve">фактическое положение конструкций и отклонения</x:t>
        </x:is>
      </x:c>
      <x:c r="D10" s="101" t="n">
        <x:f>COUNTIF('Опись'!$B$7:$B$206,$B10)</x:f>
        <x:v>0</x:v>
      </x:c>
      <x:c r="E10" s="101" t="n">
        <x:f>SUMPRODUCT(('Опись'!$B$7:$B$206=$B10)*(('Опись'!$G$7:$G$206="оригинал")+('Опись'!$G$7:$G$206="копия")+('Опись'!$G$7:$G$206="скан")))</x:f>
        <x:v>0</x:v>
      </x:c>
      <x:c r="F10" s="101" t="str">
        <x:f>IF(OR($A10="общий",$A10='Спорная зона'!$B$13),IF($E10=0,"дыра: документа нет","есть"),"не применяется")</x:f>
        <x:v>дыра: документа нет</x:v>
      </x:c>
      <x:c r="G10" s="58"/>
      <x:c r="H10" s="58"/>
      <x:c r="I10" s="58"/>
      <x:c r="J10" s="58"/>
    </x:row>
    <x:row r="11">
      <x:c r="A11" s="101" t="inlineStr">
        <x:is>
          <x:t xml:space="preserve">общий</x:t>
        </x:is>
      </x:c>
      <x:c r="B11" s="101" t="inlineStr">
        <x:is>
          <x:t xml:space="preserve">общий журнал работ</x:t>
        </x:is>
      </x:c>
      <x:c r="C11" s="101" t="inlineStr">
        <x:is>
          <x:t xml:space="preserve">последовательность и даты работ, условия производства</x:t>
        </x:is>
      </x:c>
      <x:c r="D11" s="101" t="n">
        <x:f>COUNTIF('Опись'!$B$7:$B$206,$B11)</x:f>
        <x:v>0</x:v>
      </x:c>
      <x:c r="E11" s="101" t="n">
        <x:f>SUMPRODUCT(('Опись'!$B$7:$B$206=$B11)*(('Опись'!$G$7:$G$206="оригинал")+('Опись'!$G$7:$G$206="копия")+('Опись'!$G$7:$G$206="скан")))</x:f>
        <x:v>0</x:v>
      </x:c>
      <x:c r="F11" s="101" t="str">
        <x:f>IF(OR($A11="общий",$A11='Спорная зона'!$B$13),IF($E11=0,"дыра: документа нет","есть"),"не применяется")</x:f>
        <x:v>дыра: документа нет</x:v>
      </x:c>
      <x:c r="G11" s="58"/>
      <x:c r="H11" s="58"/>
      <x:c r="I11" s="58"/>
      <x:c r="J11" s="58"/>
    </x:row>
    <x:row r="12">
      <x:c r="A12" s="101" t="inlineStr">
        <x:is>
          <x:t xml:space="preserve">общий</x:t>
        </x:is>
      </x:c>
      <x:c r="B12" s="101" t="inlineStr">
        <x:is>
          <x:t xml:space="preserve">паспорт, сертификат, протокол испытаний</x:t>
        </x:is>
      </x:c>
      <x:c r="C12" s="101" t="inlineStr">
        <x:is>
          <x:t xml:space="preserve">какие материалы применены и их характеристики</x:t>
        </x:is>
      </x:c>
      <x:c r="D12" s="101" t="n">
        <x:f>COUNTIF('Опись'!$B$7:$B$206,$B12)</x:f>
        <x:v>0</x:v>
      </x:c>
      <x:c r="E12" s="101" t="n">
        <x:f>SUMPRODUCT(('Опись'!$B$7:$B$206=$B12)*(('Опись'!$G$7:$G$206="оригинал")+('Опись'!$G$7:$G$206="копия")+('Опись'!$G$7:$G$206="скан")))</x:f>
        <x:v>0</x:v>
      </x:c>
      <x:c r="F12" s="101" t="str">
        <x:f>IF(OR($A12="общий",$A12='Спорная зона'!$B$13),IF($E12=0,"дыра: документа нет","есть"),"не применяется")</x:f>
        <x:v>дыра: документа нет</x:v>
      </x:c>
      <x:c r="G12" s="58"/>
      <x:c r="H12" s="58"/>
      <x:c r="I12" s="58"/>
      <x:c r="J12" s="58"/>
    </x:row>
    <x:row r="13">
      <x:c r="A13" s="101" t="inlineStr">
        <x:is>
          <x:t xml:space="preserve">общий</x:t>
        </x:is>
      </x:c>
      <x:c r="B13" s="101" t="inlineStr">
        <x:is>
          <x:t xml:space="preserve">акт допуска смежной организации</x:t>
        </x:is>
      </x:c>
      <x:c r="C13" s="101" t="inlineStr">
        <x:is>
          <x:t xml:space="preserve">кто и когда работал в зоне после вас</x:t>
        </x:is>
      </x:c>
      <x:c r="D13" s="101" t="n">
        <x:f>COUNTIF('Опись'!$B$7:$B$206,$B13)</x:f>
        <x:v>0</x:v>
      </x:c>
      <x:c r="E13" s="101" t="n">
        <x:f>SUMPRODUCT(('Опись'!$B$7:$B$206=$B13)*(('Опись'!$G$7:$G$206="оригинал")+('Опись'!$G$7:$G$206="копия")+('Опись'!$G$7:$G$206="скан")))</x:f>
        <x:v>0</x:v>
      </x:c>
      <x:c r="F13" s="101" t="str">
        <x:f>IF(OR($A13="общий",$A13='Спорная зона'!$B$13),IF($E13=0,"дыра: документа нет","есть"),"не применяется")</x:f>
        <x:v>дыра: документа нет</x:v>
      </x:c>
      <x:c r="G13" s="58"/>
      <x:c r="H13" s="58"/>
      <x:c r="I13" s="58"/>
      <x:c r="J13" s="58"/>
    </x:row>
    <x:row r="14">
      <x:c r="A14" s="101" t="inlineStr">
        <x:is>
          <x:t xml:space="preserve">общий</x:t>
        </x:is>
      </x:c>
      <x:c r="B14" s="101" t="inlineStr">
        <x:is>
          <x:t xml:space="preserve">фотофиксация</x:t>
        </x:is>
      </x:c>
      <x:c r="C14" s="101" t="inlineStr">
        <x:is>
          <x:t xml:space="preserve">состояние зоны на дату сдачи и на дату обнаружения дефекта</x:t>
        </x:is>
      </x:c>
      <x:c r="D14" s="101" t="n">
        <x:f>COUNTIF('Опись'!$B$7:$B$206,$B14)</x:f>
        <x:v>0</x:v>
      </x:c>
      <x:c r="E14" s="101" t="n">
        <x:f>SUMPRODUCT(('Опись'!$B$7:$B$206=$B14)*(('Опись'!$G$7:$G$206="оригинал")+('Опись'!$G$7:$G$206="копия")+('Опись'!$G$7:$G$206="скан")))</x:f>
        <x:v>0</x:v>
      </x:c>
      <x:c r="F14" s="101" t="str">
        <x:f>IF(OR($A14="общий",$A14='Спорная зона'!$B$13),IF($E14=0,"дыра: документа нет","есть"),"не применяется")</x:f>
        <x:v>дыра: документа нет</x:v>
      </x:c>
      <x:c r="G14" s="58"/>
      <x:c r="H14" s="58"/>
      <x:c r="I14" s="58"/>
      <x:c r="J14" s="58"/>
    </x:row>
    <x:row r="15">
      <x:c r="A15" s="101" t="inlineStr">
        <x:is>
          <x:t xml:space="preserve">общий</x:t>
        </x:is>
      </x:c>
      <x:c r="B15" s="101" t="inlineStr">
        <x:is>
          <x:t xml:space="preserve">акт осмотра или дефектный акт</x:t>
        </x:is>
      </x:c>
      <x:c r="C15" s="101" t="inlineStr">
        <x:is>
          <x:t xml:space="preserve">как дефект зафиксирован и кем</x:t>
        </x:is>
      </x:c>
      <x:c r="D15" s="101" t="n">
        <x:f>COUNTIF('Опись'!$B$7:$B$206,$B15)</x:f>
        <x:v>0</x:v>
      </x:c>
      <x:c r="E15" s="101" t="n">
        <x:f>SUMPRODUCT(('Опись'!$B$7:$B$206=$B15)*(('Опись'!$G$7:$G$206="оригинал")+('Опись'!$G$7:$G$206="копия")+('Опись'!$G$7:$G$206="скан")))</x:f>
        <x:v>0</x:v>
      </x:c>
      <x:c r="F15" s="101" t="str">
        <x:f>IF(OR($A15="общий",$A15='Спорная зона'!$B$13),IF($E15=0,"дыра: документа нет","есть"),"не применяется")</x:f>
        <x:v>дыра: документа нет</x:v>
      </x:c>
      <x:c r="G15" s="58"/>
      <x:c r="H15" s="58"/>
      <x:c r="I15" s="58"/>
      <x:c r="J15" s="58"/>
    </x:row>
    <x:row r="16">
      <x:c r="A16" s="101" t="inlineStr">
        <x:is>
          <x:t xml:space="preserve">общий</x:t>
        </x:is>
      </x:c>
      <x:c r="B16" s="101" t="inlineStr">
        <x:is>
          <x:t xml:space="preserve">претензия и ответ на неё</x:t>
        </x:is>
      </x:c>
      <x:c r="C16" s="101" t="inlineStr">
        <x:is>
          <x:t xml:space="preserve">что заявлено оппонентом и что вы ответили в срок</x:t>
        </x:is>
      </x:c>
      <x:c r="D16" s="101" t="n">
        <x:f>COUNTIF('Опись'!$B$7:$B$206,$B16)</x:f>
        <x:v>0</x:v>
      </x:c>
      <x:c r="E16" s="101" t="n">
        <x:f>SUMPRODUCT(('Опись'!$B$7:$B$206=$B16)*(('Опись'!$G$7:$G$206="оригинал")+('Опись'!$G$7:$G$206="копия")+('Опись'!$G$7:$G$206="скан")))</x:f>
        <x:v>0</x:v>
      </x:c>
      <x:c r="F16" s="101" t="str">
        <x:f>IF(OR($A16="общий",$A16='Спорная зона'!$B$13),IF($E16=0,"дыра: документа нет","есть"),"не применяется")</x:f>
        <x:v>дыра: документа нет</x:v>
      </x:c>
      <x:c r="G16" s="58"/>
      <x:c r="H16" s="58"/>
      <x:c r="I16" s="58"/>
      <x:c r="J16" s="58"/>
    </x:row>
    <x:row r="17">
      <x:c r="A17" s="101" t="inlineStr">
        <x:is>
          <x:t xml:space="preserve">общий</x:t>
        </x:is>
      </x:c>
      <x:c r="B17" s="101" t="inlineStr">
        <x:is>
          <x:t xml:space="preserve">переписка</x:t>
        </x:is>
      </x:c>
      <x:c r="C17" s="101" t="inlineStr">
        <x:is>
          <x:t xml:space="preserve">ход спора, вызовы на осмотр, запросы документов</x:t>
        </x:is>
      </x:c>
      <x:c r="D17" s="101" t="n">
        <x:f>COUNTIF('Опись'!$B$7:$B$206,$B17)</x:f>
        <x:v>0</x:v>
      </x:c>
      <x:c r="E17" s="101" t="n">
        <x:f>SUMPRODUCT(('Опись'!$B$7:$B$206=$B17)*(('Опись'!$G$7:$G$206="оригинал")+('Опись'!$G$7:$G$206="копия")+('Опись'!$G$7:$G$206="скан")))</x:f>
        <x:v>0</x:v>
      </x:c>
      <x:c r="F17" s="101" t="str">
        <x:f>IF(OR($A17="общий",$A17='Спорная зона'!$B$13),IF($E17=0,"дыра: документа нет","есть"),"не применяется")</x:f>
        <x:v>дыра: документа нет</x:v>
      </x:c>
      <x:c r="G17" s="58"/>
      <x:c r="H17" s="58"/>
      <x:c r="I17" s="58"/>
      <x:c r="J17" s="58"/>
    </x:row>
    <x:row r="18">
      <x:c r="A18" s="101" t="inlineStr">
        <x:is>
          <x:t xml:space="preserve">общий</x:t>
        </x:is>
      </x:c>
      <x:c r="B18" s="101" t="inlineStr">
        <x:is>
          <x:t xml:space="preserve">инструкция по эксплуатации с отметкой о передаче</x:t>
        </x:is>
      </x:c>
      <x:c r="C18" s="101" t="inlineStr">
        <x:is>
          <x:t xml:space="preserve">передан ли режим эксплуатации и кому</x:t>
        </x:is>
      </x:c>
      <x:c r="D18" s="101" t="n">
        <x:f>COUNTIF('Опись'!$B$7:$B$206,$B18)</x:f>
        <x:v>0</x:v>
      </x:c>
      <x:c r="E18" s="101" t="n">
        <x:f>SUMPRODUCT(('Опись'!$B$7:$B$206=$B18)*(('Опись'!$G$7:$G$206="оригинал")+('Опись'!$G$7:$G$206="копия")+('Опись'!$G$7:$G$206="скан")))</x:f>
        <x:v>0</x:v>
      </x:c>
      <x:c r="F18" s="101" t="str">
        <x:f>IF(OR($A18="общий",$A18='Спорная зона'!$B$13),IF($E18=0,"дыра: документа нет","есть"),"не применяется")</x:f>
        <x:v>дыра: документа нет</x:v>
      </x:c>
      <x:c r="G18" s="58"/>
      <x:c r="H18" s="58"/>
      <x:c r="I18" s="58"/>
      <x:c r="J18" s="58"/>
    </x:row>
    <x:row r="19">
      <x:c r="A19" s="101" t="inlineStr">
        <x:is>
          <x:t xml:space="preserve">бетон и монолит</x:t>
        </x:is>
      </x:c>
      <x:c r="B19" s="101" t="inlineStr">
        <x:is>
          <x:t xml:space="preserve">специальный журнал работ</x:t>
        </x:is>
      </x:c>
      <x:c r="C19" s="101" t="inlineStr">
        <x:is>
          <x:t xml:space="preserve">журнал бетонных работ: даты, захватки, условия выдерживания</x:t>
        </x:is>
      </x:c>
      <x:c r="D19" s="101" t="n">
        <x:f>COUNTIF('Опись'!$B$7:$B$206,$B19)</x:f>
        <x:v>0</x:v>
      </x:c>
      <x:c r="E19" s="101" t="n">
        <x:f>SUMPRODUCT(('Опись'!$B$7:$B$206=$B19)*(('Опись'!$G$7:$G$206="оригинал")+('Опись'!$G$7:$G$206="копия")+('Опись'!$G$7:$G$206="скан")))</x:f>
        <x:v>0</x:v>
      </x:c>
      <x:c r="F19" s="101" t="str">
        <x:f>IF(OR($A19="общий",$A19='Спорная зона'!$B$13),IF($E19=0,"дыра: документа нет","есть"),"не применяется")</x:f>
        <x:v>не применяется</x:v>
      </x:c>
      <x:c r="G19" s="58"/>
      <x:c r="H19" s="58"/>
      <x:c r="I19" s="58"/>
      <x:c r="J19" s="58"/>
    </x:row>
    <x:row r="20">
      <x:c r="A20" s="101" t="inlineStr">
        <x:is>
          <x:t xml:space="preserve">бетон и монолит</x:t>
        </x:is>
      </x:c>
      <x:c r="B20" s="101" t="inlineStr">
        <x:is>
          <x:t xml:space="preserve">паспорт, сертификат, протокол испытаний</x:t>
        </x:is>
      </x:c>
      <x:c r="C20" s="101" t="inlineStr">
        <x:is>
          <x:t xml:space="preserve">протоколы испытаний контрольных образцов и документы о смеси</x:t>
        </x:is>
      </x:c>
      <x:c r="D20" s="101" t="n">
        <x:f>COUNTIF('Опись'!$B$7:$B$206,$B20)</x:f>
        <x:v>0</x:v>
      </x:c>
      <x:c r="E20" s="101" t="n">
        <x:f>SUMPRODUCT(('Опись'!$B$7:$B$206=$B20)*(('Опись'!$G$7:$G$206="оригинал")+('Опись'!$G$7:$G$206="копия")+('Опись'!$G$7:$G$206="скан")))</x:f>
        <x:v>0</x:v>
      </x:c>
      <x:c r="F20" s="101" t="str">
        <x:f>IF(OR($A20="общий",$A20='Спорная зона'!$B$13),IF($E20=0,"дыра: документа нет","есть"),"не применяется")</x:f>
        <x:v>не применяется</x:v>
      </x:c>
      <x:c r="G20" s="58"/>
      <x:c r="H20" s="58"/>
      <x:c r="I20" s="58"/>
      <x:c r="J20" s="58"/>
    </x:row>
    <x:row r="21">
      <x:c r="A21" s="101" t="inlineStr">
        <x:is>
          <x:t xml:space="preserve">бетон и монолит</x:t>
        </x:is>
      </x:c>
      <x:c r="B21" s="101" t="inlineStr">
        <x:is>
          <x:t xml:space="preserve">журнал входного контроля</x:t>
        </x:is>
      </x:c>
      <x:c r="C21" s="101" t="inlineStr">
        <x:is>
          <x:t xml:space="preserve">приёмка смеси и арматуры, режим выдерживания</x:t>
        </x:is>
      </x:c>
      <x:c r="D21" s="101" t="n">
        <x:f>COUNTIF('Опись'!$B$7:$B$206,$B21)</x:f>
        <x:v>0</x:v>
      </x:c>
      <x:c r="E21" s="101" t="n">
        <x:f>SUMPRODUCT(('Опись'!$B$7:$B$206=$B21)*(('Опись'!$G$7:$G$206="оригинал")+('Опись'!$G$7:$G$206="копия")+('Опись'!$G$7:$G$206="скан")))</x:f>
        <x:v>0</x:v>
      </x:c>
      <x:c r="F21" s="101" t="str">
        <x:f>IF(OR($A21="общий",$A21='Спорная зона'!$B$13),IF($E21=0,"дыра: документа нет","есть"),"не применяется")</x:f>
        <x:v>не применяется</x:v>
      </x:c>
      <x:c r="G21" s="58"/>
      <x:c r="H21" s="58"/>
      <x:c r="I21" s="58"/>
      <x:c r="J21" s="58"/>
    </x:row>
    <x:row r="22">
      <x:c r="A22" s="101" t="inlineStr">
        <x:is>
          <x:t xml:space="preserve">кладка</x:t>
        </x:is>
      </x:c>
      <x:c r="B22" s="101" t="inlineStr">
        <x:is>
          <x:t xml:space="preserve">специальный журнал работ</x:t>
        </x:is>
      </x:c>
      <x:c r="C22" s="101" t="inlineStr">
        <x:is>
          <x:t xml:space="preserve">журнал работ по кладке: захватки, армирование, перевязка</x:t>
        </x:is>
      </x:c>
      <x:c r="D22" s="101" t="n">
        <x:f>COUNTIF('Опись'!$B$7:$B$206,$B22)</x:f>
        <x:v>0</x:v>
      </x:c>
      <x:c r="E22" s="101" t="n">
        <x:f>SUMPRODUCT(('Опись'!$B$7:$B$206=$B22)*(('Опись'!$G$7:$G$206="оригинал")+('Опись'!$G$7:$G$206="копия")+('Опись'!$G$7:$G$206="скан")))</x:f>
        <x:v>0</x:v>
      </x:c>
      <x:c r="F22" s="101" t="str">
        <x:f>IF(OR($A22="общий",$A22='Спорная зона'!$B$13),IF($E22=0,"дыра: документа нет","есть"),"не применяется")</x:f>
        <x:v>не применяется</x:v>
      </x:c>
      <x:c r="G22" s="58"/>
      <x:c r="H22" s="58"/>
      <x:c r="I22" s="58"/>
      <x:c r="J22" s="58"/>
    </x:row>
    <x:row r="23">
      <x:c r="A23" s="101" t="inlineStr">
        <x:is>
          <x:t xml:space="preserve">кладка</x:t>
        </x:is>
      </x:c>
      <x:c r="B23" s="101" t="inlineStr">
        <x:is>
          <x:t xml:space="preserve">журнал входного контроля</x:t>
        </x:is>
      </x:c>
      <x:c r="C23" s="101" t="inlineStr">
        <x:is>
          <x:t xml:space="preserve">изделия и раствор: вид, марка, прочность</x:t>
        </x:is>
      </x:c>
      <x:c r="D23" s="101" t="n">
        <x:f>COUNTIF('Опись'!$B$7:$B$206,$B23)</x:f>
        <x:v>0</x:v>
      </x:c>
      <x:c r="E23" s="101" t="n">
        <x:f>SUMPRODUCT(('Опись'!$B$7:$B$206=$B23)*(('Опись'!$G$7:$G$206="оригинал")+('Опись'!$G$7:$G$206="копия")+('Опись'!$G$7:$G$206="скан")))</x:f>
        <x:v>0</x:v>
      </x:c>
      <x:c r="F23" s="101" t="str">
        <x:f>IF(OR($A23="общий",$A23='Спорная зона'!$B$13),IF($E23=0,"дыра: документа нет","есть"),"не применяется")</x:f>
        <x:v>не применяется</x:v>
      </x:c>
      <x:c r="G23" s="58"/>
      <x:c r="H23" s="58"/>
      <x:c r="I23" s="58"/>
      <x:c r="J23" s="58"/>
    </x:row>
    <x:row r="24">
      <x:c r="A24" s="101" t="inlineStr">
        <x:is>
          <x:t xml:space="preserve">отделка</x:t>
        </x:is>
      </x:c>
      <x:c r="B24" s="101" t="inlineStr">
        <x:is>
          <x:t xml:space="preserve">акт приёмки выполненных работ</x:t>
        </x:is>
      </x:c>
      <x:c r="C24" s="101" t="inlineStr">
        <x:is>
          <x:t xml:space="preserve">акты приёмки оснований под отделку</x:t>
        </x:is>
      </x:c>
      <x:c r="D24" s="101" t="n">
        <x:f>COUNTIF('Опись'!$B$7:$B$206,$B24)</x:f>
        <x:v>0</x:v>
      </x:c>
      <x:c r="E24" s="101" t="n">
        <x:f>SUMPRODUCT(('Опись'!$B$7:$B$206=$B24)*(('Опись'!$G$7:$G$206="оригинал")+('Опись'!$G$7:$G$206="копия")+('Опись'!$G$7:$G$206="скан")))</x:f>
        <x:v>0</x:v>
      </x:c>
      <x:c r="F24" s="101" t="str">
        <x:f>IF(OR($A24="общий",$A24='Спорная зона'!$B$13),IF($E24=0,"дыра: документа нет","есть"),"не применяется")</x:f>
        <x:v>не применяется</x:v>
      </x:c>
      <x:c r="G24" s="58"/>
      <x:c r="H24" s="58"/>
      <x:c r="I24" s="58"/>
      <x:c r="J24" s="58"/>
    </x:row>
    <x:row r="25">
      <x:c r="A25" s="101" t="inlineStr">
        <x:is>
          <x:t xml:space="preserve">отделка</x:t>
        </x:is>
      </x:c>
      <x:c r="B25" s="101" t="inlineStr">
        <x:is>
          <x:t xml:space="preserve">журнал входного контроля</x:t>
        </x:is>
      </x:c>
      <x:c r="C25" s="101" t="inlineStr">
        <x:is>
          <x:t xml:space="preserve">влажность и температурный режим помещений на момент работ</x:t>
        </x:is>
      </x:c>
      <x:c r="D25" s="101" t="n">
        <x:f>COUNTIF('Опись'!$B$7:$B$206,$B25)</x:f>
        <x:v>0</x:v>
      </x:c>
      <x:c r="E25" s="101" t="n">
        <x:f>SUMPRODUCT(('Опись'!$B$7:$B$206=$B25)*(('Опись'!$G$7:$G$206="оригинал")+('Опись'!$G$7:$G$206="копия")+('Опись'!$G$7:$G$206="скан")))</x:f>
        <x:v>0</x:v>
      </x:c>
      <x:c r="F25" s="101" t="str">
        <x:f>IF(OR($A25="общий",$A25='Спорная зона'!$B$13),IF($E25=0,"дыра: документа нет","есть"),"не применяется")</x:f>
        <x:v>не применяется</x:v>
      </x:c>
      <x:c r="G25" s="58"/>
      <x:c r="H25" s="58"/>
      <x:c r="I25" s="58"/>
      <x:c r="J25" s="58"/>
    </x:row>
    <x:row r="26">
      <x:c r="A26" s="101" t="inlineStr">
        <x:is>
          <x:t xml:space="preserve">отделка</x:t>
        </x:is>
      </x:c>
      <x:c r="B26" s="101" t="inlineStr">
        <x:is>
          <x:t xml:space="preserve">паспорт, сертификат, протокол испытаний</x:t>
        </x:is>
      </x:c>
      <x:c r="C26" s="101" t="inlineStr">
        <x:is>
          <x:t xml:space="preserve">материал и область его применения по данным изготовителя</x:t>
        </x:is>
      </x:c>
      <x:c r="D26" s="101" t="n">
        <x:f>COUNTIF('Опись'!$B$7:$B$206,$B26)</x:f>
        <x:v>0</x:v>
      </x:c>
      <x:c r="E26" s="101" t="n">
        <x:f>SUMPRODUCT(('Опись'!$B$7:$B$206=$B26)*(('Опись'!$G$7:$G$206="оригинал")+('Опись'!$G$7:$G$206="копия")+('Опись'!$G$7:$G$206="скан")))</x:f>
        <x:v>0</x:v>
      </x:c>
      <x:c r="F26" s="101" t="str">
        <x:f>IF(OR($A26="общий",$A26='Спорная зона'!$B$13),IF($E26=0,"дыра: документа нет","есть"),"не применяется")</x:f>
        <x:v>не применяется</x:v>
      </x:c>
      <x:c r="G26" s="58"/>
      <x:c r="H26" s="58"/>
      <x:c r="I26" s="58"/>
      <x:c r="J26" s="58"/>
    </x:row>
    <x:row r="27">
      <x:c r="A27" s="101" t="inlineStr">
        <x:is>
          <x:t xml:space="preserve">кровля и гидроизоляция</x:t>
        </x:is>
      </x:c>
      <x:c r="B27" s="101" t="inlineStr">
        <x:is>
          <x:t xml:space="preserve">акт освидетельствования скрытых работ</x:t>
        </x:is>
      </x:c>
      <x:c r="C27" s="101" t="inlineStr">
        <x:is>
          <x:t xml:space="preserve">освидетельствование по слоям кровельного пирога</x:t>
        </x:is>
      </x:c>
      <x:c r="D27" s="101" t="n">
        <x:f>COUNTIF('Опись'!$B$7:$B$206,$B27)</x:f>
        <x:v>0</x:v>
      </x:c>
      <x:c r="E27" s="101" t="n">
        <x:f>SUMPRODUCT(('Опись'!$B$7:$B$206=$B27)*(('Опись'!$G$7:$G$206="оригинал")+('Опись'!$G$7:$G$206="копия")+('Опись'!$G$7:$G$206="скан")))</x:f>
        <x:v>0</x:v>
      </x:c>
      <x:c r="F27" s="101" t="str">
        <x:f>IF(OR($A27="общий",$A27='Спорная зона'!$B$13),IF($E27=0,"дыра: документа нет","есть"),"не применяется")</x:f>
        <x:v>не применяется</x:v>
      </x:c>
      <x:c r="G27" s="58"/>
      <x:c r="H27" s="58"/>
      <x:c r="I27" s="58"/>
      <x:c r="J27" s="58"/>
    </x:row>
    <x:row r="28">
      <x:c r="A28" s="101" t="inlineStr">
        <x:is>
          <x:t xml:space="preserve">кровля и гидроизоляция</x:t>
        </x:is>
      </x:c>
      <x:c r="B28" s="101" t="inlineStr">
        <x:is>
          <x:t xml:space="preserve">исполнительная схема</x:t>
        </x:is>
      </x:c>
      <x:c r="C28" s="101" t="inlineStr">
        <x:is>
          <x:t xml:space="preserve">схема уклонов и водоотвода</x:t>
        </x:is>
      </x:c>
      <x:c r="D28" s="101" t="n">
        <x:f>COUNTIF('Опись'!$B$7:$B$206,$B28)</x:f>
        <x:v>0</x:v>
      </x:c>
      <x:c r="E28" s="101" t="n">
        <x:f>SUMPRODUCT(('Опись'!$B$7:$B$206=$B28)*(('Опись'!$G$7:$G$206="оригинал")+('Опись'!$G$7:$G$206="копия")+('Опись'!$G$7:$G$206="скан")))</x:f>
        <x:v>0</x:v>
      </x:c>
      <x:c r="F28" s="101" t="str">
        <x:f>IF(OR($A28="общий",$A28='Спорная зона'!$B$13),IF($E28=0,"дыра: документа нет","есть"),"не применяется")</x:f>
        <x:v>не применяется</x:v>
      </x:c>
      <x:c r="G28" s="58"/>
      <x:c r="H28" s="58"/>
      <x:c r="I28" s="58"/>
      <x:c r="J28" s="58"/>
    </x:row>
    <x:row r="29">
      <x:c r="A29" s="101" t="inlineStr">
        <x:is>
          <x:t xml:space="preserve">кровля и гидроизоляция</x:t>
        </x:is>
      </x:c>
      <x:c r="B29" s="101" t="inlineStr">
        <x:is>
          <x:t xml:space="preserve">акт допуска смежной организации</x:t>
        </x:is>
      </x:c>
      <x:c r="C29" s="101" t="inlineStr">
        <x:is>
          <x:t xml:space="preserve">последующие проходки и установка оборудования на кровле</x:t>
        </x:is>
      </x:c>
      <x:c r="D29" s="101" t="n">
        <x:f>COUNTIF('Опись'!$B$7:$B$206,$B29)</x:f>
        <x:v>0</x:v>
      </x:c>
      <x:c r="E29" s="101" t="n">
        <x:f>SUMPRODUCT(('Опись'!$B$7:$B$206=$B29)*(('Опись'!$G$7:$G$206="оригинал")+('Опись'!$G$7:$G$206="копия")+('Опись'!$G$7:$G$206="скан")))</x:f>
        <x:v>0</x:v>
      </x:c>
      <x:c r="F29" s="101" t="str">
        <x:f>IF(OR($A29="общий",$A29='Спорная зона'!$B$13),IF($E29=0,"дыра: документа нет","есть"),"не применяется")</x:f>
        <x:v>не применяется</x:v>
      </x:c>
      <x:c r="G29" s="58"/>
      <x:c r="H29" s="58"/>
      <x:c r="I29" s="58"/>
      <x:c r="J29" s="58"/>
    </x:row>
    <x:row r="30">
      <x:c r="A30" s="101" t="inlineStr">
        <x:is>
          <x:t xml:space="preserve">инженерные системы</x:t>
        </x:is>
      </x:c>
      <x:c r="B30" s="101" t="inlineStr">
        <x:is>
          <x:t xml:space="preserve">паспорт, сертификат, протокол испытаний</x:t>
        </x:is>
      </x:c>
      <x:c r="C30" s="101" t="inlineStr">
        <x:is>
          <x:t xml:space="preserve">акты испытаний и промывки, паспорта оборудования</x:t>
        </x:is>
      </x:c>
      <x:c r="D30" s="101" t="n">
        <x:f>COUNTIF('Опись'!$B$7:$B$206,$B30)</x:f>
        <x:v>0</x:v>
      </x:c>
      <x:c r="E30" s="101" t="n">
        <x:f>SUMPRODUCT(('Опись'!$B$7:$B$206=$B30)*(('Опись'!$G$7:$G$206="оригинал")+('Опись'!$G$7:$G$206="копия")+('Опись'!$G$7:$G$206="скан")))</x:f>
        <x:v>0</x:v>
      </x:c>
      <x:c r="F30" s="101" t="str">
        <x:f>IF(OR($A30="общий",$A30='Спорная зона'!$B$13),IF($E30=0,"дыра: документа нет","есть"),"не применяется")</x:f>
        <x:v>не применяется</x:v>
      </x:c>
      <x:c r="G30" s="58"/>
      <x:c r="H30" s="58"/>
      <x:c r="I30" s="58"/>
      <x:c r="J30" s="58"/>
    </x:row>
    <x:row r="31">
      <x:c r="A31" s="101" t="inlineStr">
        <x:is>
          <x:t xml:space="preserve">инженерные системы</x:t>
        </x:is>
      </x:c>
      <x:c r="B31" s="101" t="inlineStr">
        <x:is>
          <x:t xml:space="preserve">специальный журнал работ</x:t>
        </x:is>
      </x:c>
      <x:c r="C31" s="101" t="inlineStr">
        <x:is>
          <x:t xml:space="preserve">протоколы пусконаладки и монтажные записи</x:t>
        </x:is>
      </x:c>
      <x:c r="D31" s="101" t="n">
        <x:f>COUNTIF('Опись'!$B$7:$B$206,$B31)</x:f>
        <x:v>0</x:v>
      </x:c>
      <x:c r="E31" s="101" t="n">
        <x:f>SUMPRODUCT(('Опись'!$B$7:$B$206=$B31)*(('Опись'!$G$7:$G$206="оригинал")+('Опись'!$G$7:$G$206="копия")+('Опись'!$G$7:$G$206="скан")))</x:f>
        <x:v>0</x:v>
      </x:c>
      <x:c r="F31" s="101" t="str">
        <x:f>IF(OR($A31="общий",$A31='Спорная зона'!$B$13),IF($E31=0,"дыра: документа нет","есть"),"не применяется")</x:f>
        <x:v>не применяется</x:v>
      </x:c>
      <x:c r="G31" s="58"/>
      <x:c r="H31" s="58"/>
      <x:c r="I31" s="58"/>
      <x:c r="J31" s="58"/>
    </x:row>
    <x:row r="32">
      <x:c r="A32" s="101" t="inlineStr">
        <x:is>
          <x:t xml:space="preserve">инженерные системы</x:t>
        </x:is>
      </x:c>
      <x:c r="B32" s="101" t="inlineStr">
        <x:is>
          <x:t xml:space="preserve">журнал эксплуатационного обслуживания</x:t>
        </x:is>
      </x:c>
      <x:c r="C32" s="101" t="inlineStr">
        <x:is>
          <x:t xml:space="preserve">регламентное обслуживание после передачи системы</x:t>
        </x:is>
      </x:c>
      <x:c r="D32" s="101" t="n">
        <x:f>COUNTIF('Опись'!$B$7:$B$206,$B32)</x:f>
        <x:v>0</x:v>
      </x:c>
      <x:c r="E32" s="101" t="n">
        <x:f>SUMPRODUCT(('Опись'!$B$7:$B$206=$B32)*(('Опись'!$G$7:$G$206="оригинал")+('Опись'!$G$7:$G$206="копия")+('Опись'!$G$7:$G$206="скан")))</x:f>
        <x:v>0</x:v>
      </x:c>
      <x:c r="F32" s="101" t="str">
        <x:f>IF(OR($A32="общий",$A32='Спорная зона'!$B$13),IF($E32=0,"дыра: документа нет","есть"),"не применяется")</x:f>
        <x:v>не применяется</x:v>
      </x:c>
      <x:c r="G32" s="58"/>
      <x:c r="H32" s="58"/>
      <x:c r="I32" s="58"/>
      <x:c r="J32" s="58"/>
    </x:row>
    <x:row r="33">
      <x:c r="A33" s="101" t="inlineStr">
        <x:is>
          <x:t xml:space="preserve">иное</x:t>
        </x:is>
      </x:c>
      <x:c r="B33" s="101" t="inlineStr">
        <x:is>
          <x:t xml:space="preserve">заключение или акт обследования</x:t>
        </x:is>
      </x:c>
      <x:c r="C33" s="101" t="inlineStr">
        <x:is>
          <x:t xml:space="preserve">чужое заключение и перечень исходных данных его составителя</x:t>
        </x:is>
      </x:c>
      <x:c r="D33" s="101" t="n">
        <x:f>COUNTIF('Опись'!$B$7:$B$206,$B33)</x:f>
        <x:v>0</x:v>
      </x:c>
      <x:c r="E33" s="101" t="n">
        <x:f>SUMPRODUCT(('Опись'!$B$7:$B$206=$B33)*(('Опись'!$G$7:$G$206="оригинал")+('Опись'!$G$7:$G$206="копия")+('Опись'!$G$7:$G$206="скан")))</x:f>
        <x:v>0</x:v>
      </x:c>
      <x:c r="F33" s="101" t="str">
        <x:f>IF(OR($A33="общий",$A33='Спорная зона'!$B$13),IF($E33=0,"дыра: документа нет","есть"),"не применяется")</x:f>
        <x:v>не применяется</x:v>
      </x:c>
      <x:c r="G33" s="58"/>
      <x:c r="H33" s="58"/>
      <x:c r="I33" s="58"/>
      <x:c r="J33" s="58"/>
    </x:row>
    <x:row r="34">
      <x:c r="A34" s="58"/>
      <x:c r="B34" s="58"/>
      <x:c r="C34" s="58"/>
      <x:c r="D34" s="58"/>
      <x:c r="E34" s="58"/>
      <x:c r="F34" s="58"/>
      <x:c r="G34" s="58"/>
      <x:c r="H34" s="58"/>
      <x:c r="I34" s="58"/>
      <x:c r="J34" s="58"/>
    </x:row>
    <x:row r="35">
      <x:c r="A35" s="58"/>
      <x:c r="B35" s="58"/>
      <x:c r="C35" s="58"/>
      <x:c r="D35" s="58"/>
      <x:c r="E35" s="58"/>
      <x:c r="F35" s="58"/>
      <x:c r="G35" s="58"/>
      <x:c r="H35" s="58"/>
      <x:c r="I35" s="58"/>
      <x:c r="J35" s="58"/>
    </x:row>
    <x:row r="36">
      <x:c r="A36" s="58"/>
      <x:c r="B36" s="58"/>
      <x:c r="C36" s="58"/>
      <x:c r="D36" s="58"/>
      <x:c r="E36" s="58"/>
      <x:c r="F36" s="58"/>
      <x:c r="G36" s="58"/>
      <x:c r="H36" s="58"/>
      <x:c r="I36" s="58"/>
      <x:c r="J36" s="58"/>
    </x:row>
    <x:row r="37">
      <x:c r="A37" s="58"/>
      <x:c r="B37" s="58"/>
      <x:c r="C37" s="58"/>
      <x:c r="D37" s="58"/>
      <x:c r="E37" s="58"/>
      <x:c r="F37" s="58"/>
      <x:c r="G37" s="58"/>
      <x:c r="H37" s="58"/>
      <x:c r="I37" s="58"/>
      <x:c r="J37" s="58"/>
    </x:row>
    <x:row r="38">
      <x:c r="A38" s="58"/>
      <x:c r="B38" s="58"/>
      <x:c r="C38" s="58"/>
      <x:c r="D38" s="58"/>
      <x:c r="E38" s="58"/>
      <x:c r="F38" s="58"/>
      <x:c r="G38" s="58"/>
      <x:c r="H38" s="58"/>
      <x:c r="I38" s="58"/>
      <x:c r="J38" s="58"/>
    </x:row>
    <x:row r="39">
      <x:c r="A39" s="58"/>
      <x:c r="B39" s="58"/>
      <x:c r="C39" s="58"/>
      <x:c r="D39" s="58"/>
      <x:c r="E39" s="58"/>
      <x:c r="F39" s="58"/>
      <x:c r="G39" s="58"/>
      <x:c r="H39" s="58"/>
      <x:c r="I39" s="58"/>
      <x:c r="J39" s="58"/>
    </x:row>
    <x:row r="40">
      <x:c r="A40" s="58"/>
      <x:c r="B40" s="58"/>
      <x:c r="C40" s="58"/>
      <x:c r="D40" s="58"/>
      <x:c r="E40" s="58"/>
      <x:c r="F40" s="58"/>
      <x:c r="G40" s="58"/>
      <x:c r="H40" s="58"/>
      <x:c r="I40" s="58"/>
      <x:c r="J40" s="58"/>
    </x:row>
    <x:row r="41">
      <x:c r="A41" s="58"/>
      <x:c r="B41" s="58"/>
      <x:c r="C41" s="58"/>
      <x:c r="D41" s="58"/>
      <x:c r="E41" s="58"/>
      <x:c r="F41" s="58"/>
      <x:c r="G41" s="58"/>
      <x:c r="H41" s="58"/>
      <x:c r="I41" s="58"/>
      <x:c r="J41" s="58"/>
    </x:row>
    <x:row r="42">
      <x:c r="A42" s="58"/>
      <x:c r="B42" s="58"/>
      <x:c r="C42" s="58"/>
      <x:c r="D42" s="58"/>
      <x:c r="E42" s="58"/>
      <x:c r="F42" s="58"/>
      <x:c r="G42" s="58"/>
      <x:c r="H42" s="58"/>
      <x:c r="I42" s="58"/>
      <x:c r="J42" s="58"/>
    </x:row>
    <x:row r="43">
      <x:c r="A43" s="58"/>
      <x:c r="B43" s="58"/>
      <x:c r="C43" s="58"/>
      <x:c r="D43" s="58"/>
      <x:c r="E43" s="58"/>
      <x:c r="F43" s="58"/>
      <x:c r="G43" s="58"/>
      <x:c r="H43" s="58"/>
      <x:c r="I43" s="58"/>
      <x:c r="J43" s="58"/>
    </x:row>
    <x:row r="44">
      <x:c r="A44" s="58"/>
      <x:c r="B44" s="58"/>
      <x:c r="C44" s="58"/>
      <x:c r="D44" s="58"/>
      <x:c r="E44" s="58"/>
      <x:c r="F44" s="58"/>
      <x:c r="G44" s="58"/>
      <x:c r="H44" s="58"/>
      <x:c r="I44" s="58"/>
      <x:c r="J44" s="58"/>
    </x:row>
    <x:row r="45">
      <x:c r="A45" s="58"/>
      <x:c r="B45" s="58"/>
      <x:c r="C45" s="58"/>
      <x:c r="D45" s="58"/>
      <x:c r="E45" s="58"/>
      <x:c r="F45" s="58"/>
      <x:c r="G45" s="58"/>
      <x:c r="H45" s="58"/>
      <x:c r="I45" s="58"/>
      <x:c r="J45" s="58"/>
    </x:row>
    <x:row r="46">
      <x:c r="A46" s="58"/>
      <x:c r="B46" s="58"/>
      <x:c r="C46" s="58"/>
      <x:c r="D46" s="58"/>
      <x:c r="E46" s="58"/>
      <x:c r="F46" s="58"/>
      <x:c r="G46" s="58"/>
      <x:c r="H46" s="58"/>
      <x:c r="I46" s="58"/>
      <x:c r="J46" s="58"/>
    </x:row>
    <x:row r="47">
      <x:c r="A47" s="58"/>
      <x:c r="B47" s="58"/>
      <x:c r="C47" s="58"/>
      <x:c r="D47" s="58"/>
      <x:c r="E47" s="58"/>
      <x:c r="F47" s="58"/>
      <x:c r="G47" s="58"/>
      <x:c r="H47" s="58"/>
      <x:c r="I47" s="58"/>
      <x:c r="J47" s="58"/>
    </x:row>
    <x:row r="48">
      <x:c r="A48" s="58"/>
      <x:c r="B48" s="58"/>
      <x:c r="C48" s="58"/>
      <x:c r="D48" s="58"/>
      <x:c r="E48" s="58"/>
      <x:c r="F48" s="58"/>
      <x:c r="G48" s="58"/>
      <x:c r="H48" s="58"/>
      <x:c r="I48" s="58"/>
      <x:c r="J48" s="58"/>
    </x:row>
    <x:row r="49">
      <x:c r="A49" s="58"/>
      <x:c r="B49" s="58"/>
      <x:c r="C49" s="58"/>
      <x:c r="D49" s="58"/>
      <x:c r="E49" s="58"/>
      <x:c r="F49" s="58"/>
      <x:c r="G49" s="58"/>
      <x:c r="H49" s="58"/>
      <x:c r="I49" s="58"/>
      <x:c r="J49" s="58"/>
    </x:row>
    <x:row r="50">
      <x:c r="A50" s="58"/>
      <x:c r="B50" s="58"/>
      <x:c r="C50" s="58"/>
      <x:c r="D50" s="58"/>
      <x:c r="E50" s="58"/>
      <x:c r="F50" s="58"/>
      <x:c r="G50" s="58"/>
      <x:c r="H50" s="58"/>
      <x:c r="I50" s="58"/>
      <x:c r="J50" s="58"/>
    </x:row>
    <x:row r="51">
      <x:c r="A51" s="58"/>
      <x:c r="B51" s="58"/>
      <x:c r="C51" s="58"/>
      <x:c r="D51" s="58"/>
      <x:c r="E51" s="58"/>
      <x:c r="F51" s="58"/>
      <x:c r="G51" s="58"/>
      <x:c r="H51" s="58"/>
      <x:c r="I51" s="58"/>
      <x:c r="J51" s="58"/>
    </x:row>
    <x:row r="52">
      <x:c r="A52" s="58"/>
      <x:c r="B52" s="58"/>
      <x:c r="C52" s="58"/>
      <x:c r="D52" s="58"/>
      <x:c r="E52" s="58"/>
      <x:c r="F52" s="58"/>
      <x:c r="G52" s="58"/>
      <x:c r="H52" s="58"/>
      <x:c r="I52" s="58"/>
      <x:c r="J52" s="58"/>
    </x:row>
    <x:row r="53">
      <x:c r="A53" s="58"/>
      <x:c r="B53" s="58"/>
      <x:c r="C53" s="58"/>
      <x:c r="D53" s="58"/>
      <x:c r="E53" s="58"/>
      <x:c r="F53" s="58"/>
      <x:c r="G53" s="58"/>
      <x:c r="H53" s="58"/>
      <x:c r="I53" s="58"/>
      <x:c r="J53" s="58"/>
    </x:row>
    <x:row r="54">
      <x:c r="A54" s="58"/>
      <x:c r="B54" s="58"/>
      <x:c r="C54" s="58"/>
      <x:c r="D54" s="58"/>
      <x:c r="E54" s="58"/>
      <x:c r="F54" s="58"/>
      <x:c r="G54" s="58"/>
      <x:c r="H54" s="58"/>
      <x:c r="I54" s="58"/>
      <x:c r="J54" s="58"/>
    </x:row>
    <x:row r="55">
      <x:c r="A55" s="58"/>
      <x:c r="B55" s="58"/>
      <x:c r="C55" s="58"/>
      <x:c r="D55" s="58"/>
      <x:c r="E55" s="58"/>
      <x:c r="F55" s="58"/>
      <x:c r="G55" s="58"/>
      <x:c r="H55" s="58"/>
      <x:c r="I55" s="58"/>
      <x:c r="J55" s="58"/>
    </x:row>
    <x:row r="56">
      <x:c r="A56" s="58"/>
      <x:c r="B56" s="58"/>
      <x:c r="C56" s="58"/>
      <x:c r="D56" s="58"/>
      <x:c r="E56" s="58"/>
      <x:c r="F56" s="58"/>
      <x:c r="G56" s="58"/>
      <x:c r="H56" s="58"/>
      <x:c r="I56" s="58"/>
      <x:c r="J56" s="58"/>
    </x:row>
    <x:row r="57">
      <x:c r="A57" s="58"/>
      <x:c r="B57" s="58"/>
      <x:c r="C57" s="58"/>
      <x:c r="D57" s="58"/>
      <x:c r="E57" s="58"/>
      <x:c r="F57" s="58"/>
      <x:c r="G57" s="58"/>
      <x:c r="H57" s="58"/>
      <x:c r="I57" s="58"/>
      <x:c r="J57" s="58"/>
    </x:row>
    <x:row r="58">
      <x:c r="A58" s="58"/>
      <x:c r="B58" s="58"/>
      <x:c r="C58" s="58"/>
      <x:c r="D58" s="58"/>
      <x:c r="E58" s="58"/>
      <x:c r="F58" s="58"/>
      <x:c r="G58" s="58"/>
      <x:c r="H58" s="58"/>
      <x:c r="I58" s="58"/>
      <x:c r="J58" s="58"/>
    </x:row>
    <x:row r="59">
      <x:c r="A59" s="58"/>
      <x:c r="B59" s="58"/>
      <x:c r="C59" s="58"/>
      <x:c r="D59" s="58"/>
      <x:c r="E59" s="58"/>
      <x:c r="F59" s="58"/>
      <x:c r="G59" s="58"/>
      <x:c r="H59" s="58"/>
      <x:c r="I59" s="58"/>
      <x:c r="J59" s="58"/>
    </x:row>
    <x:row r="60">
      <x:c r="A60" s="58"/>
      <x:c r="B60" s="58"/>
      <x:c r="C60" s="58"/>
      <x:c r="D60" s="58"/>
      <x:c r="E60" s="58"/>
      <x:c r="F60" s="58"/>
      <x:c r="G60" s="58"/>
      <x:c r="H60" s="58"/>
      <x:c r="I60" s="58"/>
      <x:c r="J60" s="58"/>
    </x:row>
    <x:row r="61">
      <x:c r="A61" s="58"/>
      <x:c r="B61" s="58"/>
      <x:c r="C61" s="58"/>
      <x:c r="D61" s="58"/>
      <x:c r="E61" s="58"/>
      <x:c r="F61" s="58"/>
      <x:c r="G61" s="58"/>
      <x:c r="H61" s="58"/>
      <x:c r="I61" s="58"/>
      <x:c r="J61" s="58"/>
    </x:row>
    <x:row r="62" ht="46" customHeight="1">
      <x:c r="A62" s="49" t="inlineStr">
        <x:is>
          <x:t xml:space="preserve">Перечень типовой. Состав документов по вашему объекту определяется договором и требованиями, действующими на дату заполнения; сверяете вы. «Дыра: документа нет» означает, что в описи нет ни одной строки этого вида документа в наличии, — а не то, что документа не существует: заведите строку или направьте запрос другой стороне.</x:t>
        </x:is>
      </x:c>
      <x:c r="B62" s="58"/>
      <x:c r="C62" s="58"/>
      <x:c r="D62" s="58"/>
      <x:c r="E62" s="58"/>
      <x:c r="F62" s="58"/>
      <x:c r="G62" s="58"/>
      <x:c r="H62" s="58"/>
      <x:c r="I62" s="58"/>
      <x:c r="J62" s="58"/>
    </x:row>
    <x:row r="63">
      <x:c r="A63" s="58"/>
      <x:c r="B63" s="58"/>
      <x:c r="C63" s="58"/>
      <x:c r="D63" s="58"/>
      <x:c r="E63" s="58"/>
      <x:c r="F63" s="58"/>
      <x:c r="G63" s="58"/>
      <x:c r="H63" s="58"/>
      <x:c r="I63" s="58"/>
      <x:c r="J63" s="58"/>
    </x:row>
    <x:row r="64">
      <x:c r="A64" s="58"/>
      <x:c r="B64" s="58"/>
      <x:c r="C64" s="58"/>
      <x:c r="D64" s="58"/>
      <x:c r="E64" s="58"/>
      <x:c r="F64" s="58"/>
      <x:c r="G64" s="58"/>
      <x:c r="H64" s="58"/>
      <x:c r="I64" s="58"/>
      <x:c r="J64" s="58"/>
    </x:row>
    <x:row r="65">
      <x:c r="A65" s="58"/>
      <x:c r="B65" s="58"/>
      <x:c r="C65" s="58"/>
      <x:c r="D65" s="58"/>
      <x:c r="E65" s="58"/>
      <x:c r="F65" s="58"/>
      <x:c r="G65" s="58"/>
      <x:c r="H65" s="58"/>
      <x:c r="I65" s="58"/>
      <x:c r="J65" s="58"/>
    </x:row>
  </x:sheetData>
  <x:mergeCells>
    <x:mergeCell ref="A2:F2"/>
    <x:mergeCell ref="A62:F62"/>
  </x:mergeCells>
  <x:pageMargins left="0.3" right="0.3" top="0.4" bottom="0.4" header="0.2" footer="0.2"/>
  <x:pageSetup paperSize="9" orientation="landscape" fitToWidth="1" fitToHeight="0"/>
</x:worksheet>
</file>

<file path=xl/worksheets/sheet4.xml><?xml version="1.0" encoding="utf-8"?>
<x:worksheet xmlns:x="http://schemas.openxmlformats.org/spreadsheetml/2006/main">
  <x:sheetPr>
    <x:pageSetUpPr fitToPage="1"/>
  </x:sheetPr>
  <x:sheetFormatPr baseColWidth="8" defaultRowHeight="15"/>
  <x:cols>
    <x:col min="1" max="1" width="46" customWidth="1"/>
    <x:col min="2" max="2" width="22" customWidth="1"/>
    <x:col min="3" max="3" width="4" customWidth="1"/>
    <x:col min="4" max="4" width="60" customWidth="1"/>
  </x:cols>
  <x:sheetData>
    <x:row r="1" ht="31" customHeight="1">
      <x:c r="A1" s="76" t="str">
        <x:v>Сводка: недостающие доказательства</x:v>
      </x:c>
      <x:c r="B1" s="76"/>
      <x:c r="C1" s="76"/>
      <x:c r="D1" s="76"/>
      <x:c r="E1" s="76"/>
      <x:c r="F1" s="76"/>
      <x:c r="G1" s="76"/>
      <x:c r="H1" s="58"/>
      <x:c r="I1" s="58"/>
    </x:row>
    <x:row r="2">
      <x:c r="A2" s="88" t="inlineStr">
        <x:is>
          <x:t xml:space="preserve">Считается по листам «Опись» и «Обязательный минимум». Вводимое поле одно — порог ожидания ответа, и он живёт на листе «Спорная зона».</x:t>
        </x:is>
      </x:c>
      <x:c r="B2" s="58"/>
      <x:c r="C2" s="58"/>
      <x:c r="D2" s="58"/>
      <x:c r="E2" s="58"/>
      <x:c r="F2" s="58"/>
      <x:c r="G2" s="58"/>
      <x:c r="H2" s="58"/>
      <x:c r="I2" s="58"/>
    </x:row>
    <x:row r="3">
      <x:c r="A3" s="58"/>
      <x:c r="B3" s="58"/>
      <x:c r="C3" s="58"/>
      <x:c r="D3" s="58"/>
      <x:c r="E3" s="58"/>
      <x:c r="F3" s="58"/>
      <x:c r="G3" s="58"/>
      <x:c r="H3" s="58"/>
      <x:c r="I3" s="58"/>
    </x:row>
    <x:row r="4">
      <x:c r="A4" s="59" t="inlineStr">
        <x:is>
          <x:t xml:space="preserve">Всего строк в описи</x:t>
        </x:is>
      </x:c>
      <x:c r="B4" s="117" t="n">
        <x:f>SUMPRODUCT(('Опись'!$B$7:$B$206&lt;&gt;"")*1)</x:f>
        <x:v>0</x:v>
      </x:c>
      <x:c r="C4" s="58"/>
      <x:c r="D4" s="49" t="inlineStr">
        <x:is>
          <x:t xml:space="preserve">Объём собранного</x:t>
        </x:is>
      </x:c>
      <x:c r="E4" s="58"/>
      <x:c r="F4" s="58"/>
      <x:c r="G4" s="58"/>
      <x:c r="H4" s="58"/>
      <x:c r="I4" s="58"/>
    </x:row>
    <x:row r="5">
      <x:c r="A5" s="59" t="inlineStr">
        <x:is>
          <x:t xml:space="preserve">Обязательных для причины</x:t>
        </x:is>
      </x:c>
      <x:c r="B5" s="117" t="n">
        <x:f>COUNTIF('Опись'!$J$7:$J$206,"да")</x:f>
        <x:v>0</x:v>
      </x:c>
      <x:c r="C5" s="58"/>
      <x:c r="D5" s="49" t="inlineStr">
        <x:is>
          <x:t xml:space="preserve">Строки, отмеченные «обязателен для причины»</x:t>
        </x:is>
      </x:c>
      <x:c r="E5" s="58"/>
      <x:c r="F5" s="58"/>
      <x:c r="G5" s="58"/>
      <x:c r="H5" s="58"/>
      <x:c r="I5" s="58"/>
    </x:row>
    <x:row r="6">
      <x:c r="A6" s="59" t="inlineStr">
        <x:is>
          <x:t xml:space="preserve">Дыр: обязательных и отсутствующих</x:t>
        </x:is>
      </x:c>
      <x:c r="B6" s="117" t="n">
        <x:f>SUMPRODUCT(('Опись'!$J$7:$J$206="да")*('Опись'!$G$7:$G$206="нет"))</x:f>
        <x:v>0</x:v>
      </x:c>
      <x:c r="C6" s="58"/>
      <x:c r="D6" s="49" t="inlineStr">
        <x:is>
          <x:t xml:space="preserve">Целевое значение — ноль</x:t>
        </x:is>
      </x:c>
      <x:c r="E6" s="58"/>
      <x:c r="F6" s="58"/>
      <x:c r="G6" s="58"/>
      <x:c r="H6" s="58"/>
      <x:c r="I6" s="58"/>
    </x:row>
    <x:row r="7">
      <x:c r="A7" s="59" t="inlineStr">
        <x:is>
          <x:t xml:space="preserve">Из них запрос не направлен</x:t>
        </x:is>
      </x:c>
      <x:c r="B7" s="117" t="n">
        <x:f>SUMPRODUCT(('Опись'!$J$7:$J$206="да")*('Опись'!$G$7:$G$206="нет")*('Опись'!$P$7:$P$206&lt;&gt;"да"))</x:f>
        <x:v>0</x:v>
      </x:c>
      <x:c r="C7" s="58"/>
      <x:c r="D7" s="49" t="inlineStr">
        <x:is>
          <x:t xml:space="preserve">То, что можно закрыть сегодня письмом</x:t>
        </x:is>
      </x:c>
      <x:c r="E7" s="58"/>
      <x:c r="F7" s="58"/>
      <x:c r="G7" s="58"/>
      <x:c r="H7" s="58"/>
      <x:c r="I7" s="58"/>
    </x:row>
    <x:row r="8">
      <x:c r="A8" s="59" t="inlineStr">
        <x:is>
          <x:t xml:space="preserve">Запрошено и не получено</x:t>
        </x:is>
      </x:c>
      <x:c r="B8" s="117" t="n">
        <x:f>SUMPRODUCT(('Опись'!$P$7:$P$206="да")*('Опись'!$R$7:$R$206&lt;&gt;"да"))</x:f>
        <x:v>0</x:v>
      </x:c>
      <x:c r="C8" s="58"/>
      <x:c r="D8" s="49" t="inlineStr">
        <x:is>
          <x:t xml:space="preserve">Ждёте ответа другой стороны; после порога строки желтеют</x:t>
        </x:is>
      </x:c>
      <x:c r="E8" s="58"/>
      <x:c r="F8" s="58"/>
      <x:c r="G8" s="58"/>
      <x:c r="H8" s="58"/>
      <x:c r="I8" s="58"/>
    </x:row>
    <x:row r="9">
      <x:c r="A9" s="59" t="inlineStr">
        <x:is>
          <x:t xml:space="preserve">Передано без следа</x:t>
        </x:is>
      </x:c>
      <x:c r="B9" s="117" t="n">
        <x:f>SUMPRODUCT(((('Опись'!$K$7:$K$206="да")+('Опись'!$N$7:$N$206="да"))&gt;0)*('Опись'!$M$7:$M$206=""))</x:f>
        <x:v>0</x:v>
      </x:c>
      <x:c r="C9" s="58"/>
      <x:c r="D9" s="49" t="inlineStr">
        <x:is>
          <x:t xml:space="preserve">«Передал без следа» = «не передал»</x:t>
        </x:is>
      </x:c>
      <x:c r="E9" s="58"/>
      <x:c r="F9" s="58"/>
      <x:c r="G9" s="58"/>
      <x:c r="H9" s="58"/>
      <x:c r="I9" s="58"/>
    </x:row>
    <x:row r="10">
      <x:c r="A10" s="59" t="inlineStr">
        <x:is>
          <x:t xml:space="preserve">Обязательных, не переданных эксперту</x:t>
        </x:is>
      </x:c>
      <x:c r="B10" s="117" t="n">
        <x:f>SUMPRODUCT(('Опись'!$J$7:$J$206="да")*('Опись'!$G$7:$G$206&lt;&gt;"нет")*('Опись'!$G$7:$G$206&lt;&gt;"")*('Опись'!$N$7:$N$206&lt;&gt;"да"))</x:f>
        <x:v>0</x:v>
      </x:c>
      <x:c r="C10" s="58"/>
      <x:c r="D10" s="49" t="inlineStr">
        <x:is>
          <x:t xml:space="preserve">Документ есть, но к эксперту не попал</x:t>
        </x:is>
      </x:c>
      <x:c r="E10" s="58"/>
      <x:c r="F10" s="58"/>
      <x:c r="G10" s="58"/>
      <x:c r="H10" s="58"/>
      <x:c r="I10" s="58"/>
    </x:row>
    <x:row r="11">
      <x:c r="A11" s="59" t="inlineStr">
        <x:is>
          <x:t xml:space="preserve">Доля обязательных, обеспеченных документом</x:t>
        </x:is>
      </x:c>
      <x:c r="B11" s="117" t="str">
        <x:f>IFERROR(ROUND(SUMPRODUCT(('Опись'!$J$7:$J$206="да")*('Опись'!$G$7:$G$206&lt;&gt;"нет")*('Опись'!$G$7:$G$206&lt;&gt;""))/COUNTIF('Опись'!$J$7:$J$206,"да"),2),"")</x:f>
      </x:c>
      <x:c r="C11" s="58"/>
      <x:c r="D11" s="49" t="inlineStr">
        <x:is>
          <x:t xml:space="preserve">Пусто, пока обязательных строк нет</x:t>
        </x:is>
      </x:c>
      <x:c r="E11" s="58"/>
      <x:c r="F11" s="58"/>
      <x:c r="G11" s="58"/>
      <x:c r="H11" s="58"/>
      <x:c r="I11" s="58"/>
    </x:row>
    <x:row r="12">
      <x:c r="A12" s="59" t="inlineStr">
        <x:is>
          <x:t xml:space="preserve">Первая дыра</x:t>
        </x:is>
      </x:c>
      <x:c r="B12" s="117" t="str">
        <x:f>IFERROR(INDEX('Опись'!$C$7:$C$206,MATCH(1,INDEX(('Опись'!$J$7:$J$206="да")*('Опись'!$G$7:$G$206="нет"),0),0)),"дыр нет")</x:f>
        <x:v>дыр нет</x:v>
      </x:c>
      <x:c r="C12" s="58"/>
      <x:c r="D12" s="49" t="inlineStr">
        <x:is>
          <x:t xml:space="preserve">С чего начинать</x:t>
        </x:is>
      </x:c>
      <x:c r="E12" s="58"/>
      <x:c r="F12" s="58"/>
      <x:c r="G12" s="58"/>
      <x:c r="H12" s="58"/>
      <x:c r="I12" s="58"/>
    </x:row>
    <x:row r="13">
      <x:c r="A13" s="59" t="inlineStr">
        <x:is>
          <x:t xml:space="preserve">Блоков минимума не закрыто</x:t>
        </x:is>
      </x:c>
      <x:c r="B13" s="117" t="n">
        <x:f>COUNTIF('Обязательный минимум'!$F$5:$F$60,"дыра: документа нет")</x:f>
        <x:v>14</x:v>
      </x:c>
      <x:c r="C13" s="58"/>
      <x:c r="D13" s="49" t="inlineStr">
        <x:is>
          <x:t xml:space="preserve">По выбранному ведущему виду работ</x:t>
        </x:is>
      </x:c>
      <x:c r="E13" s="58"/>
      <x:c r="F13" s="58"/>
      <x:c r="G13" s="58"/>
      <x:c r="H13" s="58"/>
      <x:c r="I13" s="58"/>
    </x:row>
    <x:row r="14">
      <x:c r="A14" s="58"/>
      <x:c r="B14" s="58"/>
      <x:c r="C14" s="58"/>
      <x:c r="D14" s="58"/>
      <x:c r="E14" s="58"/>
      <x:c r="F14" s="58"/>
      <x:c r="G14" s="58"/>
      <x:c r="H14" s="58"/>
      <x:c r="I14" s="58"/>
    </x:row>
    <x:row r="15" ht="46" customHeight="1">
      <x:c r="A15" s="118" t="str">
        <x:f>IF($B$4=0,"НЕТ ДАННЫХ: заполните опись и обязательный минимум",IF(COUNTIF('Опись'!$U$7:$U$206,"НЕ ПРОВЕРЕНО*")&gt;0,"НЕ ПРОВЕРЕНО: устраните неизвестные сведения",IF(OR($B$6&gt;0,$B$13&gt;0),"Есть незакрытые обязательные документы или блоки минимума. Закройте дыры или направьте запрос.",IF(OR($B$8&gt;0,$B$9&gt;0,$B$10&gt;0,COUNTIF('Опись'!$U$7:$U$206,"передан без следа*")&gt;0),"Проверьте запросы, получение и передачу эксперту","По внесённым сведениям минимум закрыт; сверить состав и доказательства передачи"))))</x:f>
        <x:v>НЕТ ДАННЫХ: заполните опись и обязательный минимум</x:v>
      </x:c>
      <x:c r="B15" s="58"/>
      <x:c r="C15" s="58"/>
      <x:c r="D15" s="58"/>
      <x:c r="E15" s="58"/>
      <x:c r="F15" s="58"/>
      <x:c r="G15" s="58"/>
      <x:c r="H15" s="58"/>
      <x:c r="I15" s="58"/>
    </x:row>
    <x:row r="16">
      <x:c r="A16" s="58"/>
      <x:c r="B16" s="58"/>
      <x:c r="C16" s="58"/>
      <x:c r="D16" s="58"/>
      <x:c r="E16" s="58"/>
      <x:c r="F16" s="58"/>
      <x:c r="G16" s="58"/>
      <x:c r="H16" s="58"/>
      <x:c r="I16" s="58"/>
    </x:row>
    <x:row r="17" ht="34" customHeight="1">
      <x:c r="A17" s="114" t="inlineStr">
        <x:is>
          <x:t xml:space="preserve">Опись показывает состояние доказательств, а не перспективу спора: утверждений об исходе здесь нет и быть не должно. Ненулевое число дыр — это перечень дел на сегодня, а не оценка ваших шансов.</x:t>
        </x:is>
      </x:c>
      <x:c r="B17" s="58"/>
      <x:c r="C17" s="58"/>
      <x:c r="D17" s="58"/>
      <x:c r="E17" s="58"/>
      <x:c r="F17" s="58"/>
      <x:c r="G17" s="58"/>
      <x:c r="H17" s="58"/>
      <x:c r="I17" s="58"/>
    </x:row>
    <x:row r="18">
      <x:c r="A18" s="58"/>
      <x:c r="B18" s="58"/>
      <x:c r="C18" s="58"/>
      <x:c r="D18" s="58"/>
      <x:c r="E18" s="58"/>
      <x:c r="F18" s="58"/>
      <x:c r="G18" s="58"/>
      <x:c r="H18" s="58"/>
      <x:c r="I18" s="58"/>
    </x:row>
    <x:row r="19">
      <x:c r="A19" s="58"/>
      <x:c r="B19" s="58"/>
      <x:c r="C19" s="58"/>
      <x:c r="D19" s="58"/>
      <x:c r="E19" s="58"/>
      <x:c r="F19" s="58"/>
      <x:c r="G19" s="58"/>
      <x:c r="H19" s="58"/>
      <x:c r="I19" s="58"/>
    </x:row>
    <x:row r="20">
      <x:c r="A20" s="58"/>
      <x:c r="B20" s="58"/>
      <x:c r="C20" s="58"/>
      <x:c r="D20" s="58"/>
      <x:c r="E20" s="58"/>
      <x:c r="F20" s="58"/>
      <x:c r="G20" s="58"/>
      <x:c r="H20" s="58"/>
      <x:c r="I20" s="58"/>
    </x:row>
    <x:row r="21">
      <x:c r="A21" s="58"/>
      <x:c r="B21" s="58"/>
      <x:c r="C21" s="58"/>
      <x:c r="D21" s="58"/>
      <x:c r="E21" s="58"/>
      <x:c r="F21" s="58"/>
      <x:c r="G21" s="58"/>
      <x:c r="H21" s="58"/>
      <x:c r="I21" s="58"/>
    </x:row>
    <x:row r="22">
      <x:c r="A22" s="58"/>
      <x:c r="B22" s="58"/>
      <x:c r="C22" s="58"/>
      <x:c r="D22" s="58"/>
      <x:c r="E22" s="58"/>
      <x:c r="F22" s="58"/>
      <x:c r="G22" s="58"/>
      <x:c r="H22" s="58"/>
      <x:c r="I22" s="58"/>
    </x:row>
    <x:row r="23">
      <x:c r="A23" s="58"/>
      <x:c r="B23" s="58"/>
      <x:c r="C23" s="58"/>
      <x:c r="D23" s="58"/>
      <x:c r="E23" s="58"/>
      <x:c r="F23" s="58"/>
      <x:c r="G23" s="58"/>
      <x:c r="H23" s="58"/>
      <x:c r="I23" s="58"/>
    </x:row>
    <x:row r="24">
      <x:c r="A24" s="58"/>
      <x:c r="B24" s="58"/>
      <x:c r="C24" s="58"/>
      <x:c r="D24" s="58"/>
      <x:c r="E24" s="58"/>
      <x:c r="F24" s="58"/>
      <x:c r="G24" s="58"/>
      <x:c r="H24" s="58"/>
      <x:c r="I24" s="58"/>
    </x:row>
    <x:row r="25">
      <x:c r="A25" s="58"/>
      <x:c r="B25" s="58"/>
      <x:c r="C25" s="58"/>
      <x:c r="D25" s="58"/>
      <x:c r="E25" s="58"/>
      <x:c r="F25" s="58"/>
      <x:c r="G25" s="58"/>
      <x:c r="H25" s="58"/>
      <x:c r="I25" s="58"/>
    </x:row>
    <x:row r="26">
      <x:c r="A26" s="58"/>
      <x:c r="B26" s="58"/>
      <x:c r="C26" s="58"/>
      <x:c r="D26" s="58"/>
      <x:c r="E26" s="58"/>
      <x:c r="F26" s="58"/>
      <x:c r="G26" s="58"/>
      <x:c r="H26" s="58"/>
      <x:c r="I26" s="58"/>
    </x:row>
    <x:row r="27">
      <x:c r="A27" s="58"/>
      <x:c r="B27" s="58"/>
      <x:c r="C27" s="58"/>
      <x:c r="D27" s="58"/>
      <x:c r="E27" s="58"/>
      <x:c r="F27" s="58"/>
      <x:c r="G27" s="58"/>
      <x:c r="H27" s="58"/>
      <x:c r="I27" s="58"/>
    </x:row>
    <x:row r="28">
      <x:c r="A28" s="58"/>
      <x:c r="B28" s="58"/>
      <x:c r="C28" s="58"/>
      <x:c r="D28" s="58"/>
      <x:c r="E28" s="58"/>
      <x:c r="F28" s="58"/>
      <x:c r="G28" s="58"/>
      <x:c r="H28" s="58"/>
      <x:c r="I28" s="58"/>
    </x:row>
  </x:sheetData>
  <x:mergeCells>
    <x:mergeCell ref="A15:D15"/>
    <x:mergeCell ref="A17:D17"/>
    <x:mergeCell ref="A2:D2"/>
  </x:mergeCells>
  <x:pageMargins left="0.3" right="0.3" top="0.4" bottom="0.4" header="0.2" footer="0.2"/>
  <x:pageSetup paperSize="9" orientation="landscape" fitToWidth="1" fitToHeight="0"/>
</x:worksheet>
</file>

<file path=xl/worksheets/sheet5.xml><?xml version="1.0" encoding="utf-8"?>
<x:worksheet xmlns:x="http://schemas.openxmlformats.org/spreadsheetml/2006/main">
  <x:sheetPr>
    <x:pageSetUpPr fitToPage="1"/>
  </x:sheetPr>
  <x:sheetFormatPr baseColWidth="8" defaultRowHeight="15"/>
  <x:cols>
    <x:col min="1" max="1" width="44" customWidth="1"/>
    <x:col min="2" max="2" width="3" customWidth="1"/>
    <x:col min="3" max="3" width="16" customWidth="1"/>
    <x:col min="4" max="4" width="3" customWidth="1"/>
    <x:col min="5" max="5" width="26" customWidth="1"/>
    <x:col min="6" max="6" width="3" customWidth="1"/>
    <x:col min="7" max="7" width="30" customWidth="1"/>
  </x:cols>
  <x:sheetData>
    <x:row r="1" ht="31" customHeight="1">
      <x:c r="A1" s="76" t="inlineStr">
        <x:is>
          <x:t xml:space="preserve">Справочники</x:t>
        </x:is>
      </x:c>
      <x:c r="B1" s="76"/>
      <x:c r="C1" s="76"/>
      <x:c r="D1" s="76"/>
      <x:c r="E1" s="76"/>
      <x:c r="F1" s="76"/>
      <x:c r="G1" s="76"/>
      <x:c r="H1" s="76"/>
      <x:c r="I1" s="76"/>
    </x:row>
    <x:row r="2" ht="35" customHeight="1">
      <x:c r="A2" s="99" t="inlineStr">
        <x:is>
          <x:t xml:space="preserve">Вид документа</x:t>
        </x:is>
      </x:c>
      <x:c r="B2" s="110"/>
      <x:c r="C2" s="99" t="inlineStr">
        <x:is>
          <x:t xml:space="preserve">Наличие</x:t>
        </x:is>
      </x:c>
      <x:c r="D2" s="110"/>
      <x:c r="E2" s="99" t="inlineStr">
        <x:is>
          <x:t xml:space="preserve">Ведущий вид работ</x:t>
        </x:is>
      </x:c>
      <x:c r="F2" s="110"/>
      <x:c r="G2" s="99" t="inlineStr">
        <x:is>
          <x:t xml:space="preserve">Что подтверждает</x:t>
        </x:is>
      </x:c>
      <x:c r="H2" s="110"/>
      <x:c r="I2" s="110"/>
    </x:row>
    <x:row r="3">
      <x:c r="A3" s="101" t="inlineStr">
        <x:is>
          <x:t xml:space="preserve">договор и приложения</x:t>
        </x:is>
      </x:c>
      <x:c r="B3" s="58"/>
      <x:c r="C3" s="101" t="inlineStr">
        <x:is>
          <x:t xml:space="preserve">оригинал</x:t>
        </x:is>
      </x:c>
      <x:c r="D3" s="58"/>
      <x:c r="E3" s="101" t="inlineStr">
        <x:is>
          <x:t xml:space="preserve">бетон и монолит</x:t>
        </x:is>
      </x:c>
      <x:c r="F3" s="58"/>
      <x:c r="G3" s="101" t="inlineStr">
        <x:is>
          <x:t xml:space="preserve">объём и факт выполнения</x:t>
        </x:is>
      </x:c>
      <x:c r="H3" s="58"/>
      <x:c r="I3" s="58"/>
    </x:row>
    <x:row r="4">
      <x:c r="A4" s="101" t="inlineStr">
        <x:is>
          <x:t xml:space="preserve">проектная и рабочая документация</x:t>
        </x:is>
      </x:c>
      <x:c r="B4" s="58"/>
      <x:c r="C4" s="101" t="inlineStr">
        <x:is>
          <x:t xml:space="preserve">копия</x:t>
        </x:is>
      </x:c>
      <x:c r="D4" s="58"/>
      <x:c r="E4" s="101" t="inlineStr">
        <x:is>
          <x:t xml:space="preserve">кладка</x:t>
        </x:is>
      </x:c>
      <x:c r="F4" s="58"/>
      <x:c r="G4" s="101" t="inlineStr">
        <x:is>
          <x:t xml:space="preserve">качество и соответствие</x:t>
        </x:is>
      </x:c>
      <x:c r="H4" s="58"/>
      <x:c r="I4" s="58"/>
    </x:row>
    <x:row r="5">
      <x:c r="A5" s="101" t="inlineStr">
        <x:is>
          <x:t xml:space="preserve">акт передачи фронта работ</x:t>
        </x:is>
      </x:c>
      <x:c r="B5" s="58"/>
      <x:c r="C5" s="101" t="inlineStr">
        <x:is>
          <x:t xml:space="preserve">скан</x:t>
        </x:is>
      </x:c>
      <x:c r="D5" s="58"/>
      <x:c r="E5" s="101" t="inlineStr">
        <x:is>
          <x:t xml:space="preserve">отделка</x:t>
        </x:is>
      </x:c>
      <x:c r="F5" s="58"/>
      <x:c r="G5" s="101" t="inlineStr">
        <x:is>
          <x:t xml:space="preserve">граница ответственности</x:t>
        </x:is>
      </x:c>
      <x:c r="H5" s="58"/>
      <x:c r="I5" s="58"/>
    </x:row>
    <x:row r="6">
      <x:c r="A6" s="101" t="inlineStr">
        <x:is>
          <x:t xml:space="preserve">акт разграничения ответственности</x:t>
        </x:is>
      </x:c>
      <x:c r="B6" s="58"/>
      <x:c r="C6" s="101" t="inlineStr">
        <x:is>
          <x:t xml:space="preserve">нет</x:t>
        </x:is>
      </x:c>
      <x:c r="D6" s="58"/>
      <x:c r="E6" s="101" t="inlineStr">
        <x:is>
          <x:t xml:space="preserve">кровля и гидроизоляция</x:t>
        </x:is>
      </x:c>
      <x:c r="F6" s="58"/>
      <x:c r="G6" s="101" t="inlineStr">
        <x:is>
          <x:t xml:space="preserve">состояние на дату сдачи</x:t>
        </x:is>
      </x:c>
      <x:c r="H6" s="58"/>
      <x:c r="I6" s="58"/>
    </x:row>
    <x:row r="7">
      <x:c r="A7" s="101" t="inlineStr">
        <x:is>
          <x:t xml:space="preserve">акт освидетельствования скрытых работ</x:t>
        </x:is>
      </x:c>
      <x:c r="B7" s="58"/>
      <x:c r="C7" s="58"/>
      <x:c r="D7" s="58"/>
      <x:c r="E7" s="101" t="inlineStr">
        <x:is>
          <x:t xml:space="preserve">инженерные системы</x:t>
        </x:is>
      </x:c>
      <x:c r="F7" s="58"/>
      <x:c r="G7" s="101" t="inlineStr">
        <x:is>
          <x:t xml:space="preserve">доступ третьих лиц</x:t>
        </x:is>
      </x:c>
      <x:c r="H7" s="58"/>
      <x:c r="I7" s="58"/>
    </x:row>
    <x:row r="8">
      <x:c r="A8" s="101" t="inlineStr">
        <x:is>
          <x:t xml:space="preserve">исполнительная схема</x:t>
        </x:is>
      </x:c>
      <x:c r="B8" s="58"/>
      <x:c r="C8" s="58"/>
      <x:c r="D8" s="58"/>
      <x:c r="E8" s="101" t="inlineStr">
        <x:is>
          <x:t xml:space="preserve">иное</x:t>
        </x:is>
      </x:c>
      <x:c r="F8" s="58"/>
      <x:c r="G8" s="101" t="inlineStr">
        <x:is>
          <x:t xml:space="preserve">условия эксплуатации</x:t>
        </x:is>
      </x:c>
      <x:c r="H8" s="58"/>
      <x:c r="I8" s="58"/>
    </x:row>
    <x:row r="9">
      <x:c r="A9" s="101" t="inlineStr">
        <x:is>
          <x:t xml:space="preserve">общий журнал работ</x:t>
        </x:is>
      </x:c>
      <x:c r="B9" s="58"/>
      <x:c r="C9" s="58"/>
      <x:c r="D9" s="58"/>
      <x:c r="E9" s="58"/>
      <x:c r="F9" s="58"/>
      <x:c r="G9" s="101" t="inlineStr">
        <x:is>
          <x:t xml:space="preserve">момент обнаружения</x:t>
        </x:is>
      </x:c>
      <x:c r="H9" s="58"/>
      <x:c r="I9" s="58"/>
    </x:row>
    <x:row r="10">
      <x:c r="A10" s="101" t="inlineStr">
        <x:is>
          <x:t xml:space="preserve">специальный журнал работ</x:t>
        </x:is>
      </x:c>
      <x:c r="B10" s="58"/>
      <x:c r="C10" s="58"/>
      <x:c r="D10" s="58"/>
      <x:c r="E10" s="58"/>
      <x:c r="F10" s="58"/>
      <x:c r="G10" s="101" t="inlineStr">
        <x:is>
          <x:t xml:space="preserve">переписка о споре</x:t>
        </x:is>
      </x:c>
      <x:c r="H10" s="58"/>
      <x:c r="I10" s="58"/>
    </x:row>
    <x:row r="11">
      <x:c r="A11" s="101" t="inlineStr">
        <x:is>
          <x:t xml:space="preserve">журнал входного контроля</x:t>
        </x:is>
      </x:c>
      <x:c r="B11" s="58"/>
      <x:c r="C11" s="58"/>
      <x:c r="D11" s="58"/>
      <x:c r="E11" s="58"/>
      <x:c r="F11" s="58"/>
      <x:c r="G11" s="58"/>
      <x:c r="H11" s="58"/>
      <x:c r="I11" s="58"/>
    </x:row>
    <x:row r="12">
      <x:c r="A12" s="101" t="inlineStr">
        <x:is>
          <x:t xml:space="preserve">паспорт, сертификат, протокол испытаний</x:t>
        </x:is>
      </x:c>
      <x:c r="B12" s="58"/>
      <x:c r="C12" s="58"/>
      <x:c r="D12" s="58"/>
      <x:c r="E12" s="58"/>
      <x:c r="F12" s="58"/>
      <x:c r="G12" s="58"/>
      <x:c r="H12" s="58"/>
      <x:c r="I12" s="58"/>
    </x:row>
    <x:row r="13">
      <x:c r="A13" s="101" t="inlineStr">
        <x:is>
          <x:t xml:space="preserve">акт допуска смежной организации</x:t>
        </x:is>
      </x:c>
      <x:c r="B13" s="58"/>
      <x:c r="C13" s="58"/>
      <x:c r="D13" s="58"/>
      <x:c r="E13" s="58"/>
      <x:c r="F13" s="58"/>
      <x:c r="G13" s="58"/>
      <x:c r="H13" s="58"/>
      <x:c r="I13" s="58"/>
    </x:row>
    <x:row r="14">
      <x:c r="A14" s="101" t="inlineStr">
        <x:is>
          <x:t xml:space="preserve">акт приёмки выполненных работ</x:t>
        </x:is>
      </x:c>
      <x:c r="B14" s="58"/>
      <x:c r="C14" s="58"/>
      <x:c r="D14" s="58"/>
      <x:c r="E14" s="58"/>
      <x:c r="F14" s="58"/>
      <x:c r="G14" s="58"/>
      <x:c r="H14" s="58"/>
      <x:c r="I14" s="58"/>
    </x:row>
    <x:row r="15">
      <x:c r="A15" s="101" t="inlineStr">
        <x:is>
          <x:t xml:space="preserve">фотофиксация</x:t>
        </x:is>
      </x:c>
      <x:c r="B15" s="58"/>
      <x:c r="C15" s="58"/>
      <x:c r="D15" s="58"/>
      <x:c r="E15" s="58"/>
      <x:c r="F15" s="58"/>
      <x:c r="G15" s="58"/>
      <x:c r="H15" s="58"/>
      <x:c r="I15" s="58"/>
    </x:row>
    <x:row r="16">
      <x:c r="A16" s="101" t="inlineStr">
        <x:is>
          <x:t xml:space="preserve">акт осмотра или дефектный акт</x:t>
        </x:is>
      </x:c>
      <x:c r="B16" s="58"/>
      <x:c r="C16" s="58"/>
      <x:c r="D16" s="58"/>
      <x:c r="E16" s="58"/>
      <x:c r="F16" s="58"/>
      <x:c r="G16" s="58"/>
      <x:c r="H16" s="58"/>
      <x:c r="I16" s="58"/>
    </x:row>
    <x:row r="17">
      <x:c r="A17" s="101" t="inlineStr">
        <x:is>
          <x:t xml:space="preserve">претензия и ответ на неё</x:t>
        </x:is>
      </x:c>
      <x:c r="B17" s="58"/>
      <x:c r="C17" s="58"/>
      <x:c r="D17" s="58"/>
      <x:c r="E17" s="58"/>
      <x:c r="F17" s="58"/>
      <x:c r="G17" s="58"/>
      <x:c r="H17" s="58"/>
      <x:c r="I17" s="58"/>
    </x:row>
    <x:row r="18">
      <x:c r="A18" s="101" t="inlineStr">
        <x:is>
          <x:t xml:space="preserve">переписка</x:t>
        </x:is>
      </x:c>
      <x:c r="B18" s="58"/>
      <x:c r="C18" s="58"/>
      <x:c r="D18" s="58"/>
      <x:c r="E18" s="58"/>
      <x:c r="F18" s="58"/>
      <x:c r="G18" s="58"/>
      <x:c r="H18" s="58"/>
      <x:c r="I18" s="58"/>
    </x:row>
    <x:row r="19">
      <x:c r="A19" s="101" t="inlineStr">
        <x:is>
          <x:t xml:space="preserve">инструкция по эксплуатации с отметкой о передаче</x:t>
        </x:is>
      </x:c>
      <x:c r="B19" s="58"/>
      <x:c r="C19" s="58"/>
      <x:c r="D19" s="58"/>
      <x:c r="E19" s="58"/>
      <x:c r="F19" s="58"/>
      <x:c r="G19" s="58"/>
      <x:c r="H19" s="58"/>
      <x:c r="I19" s="58"/>
    </x:row>
    <x:row r="20">
      <x:c r="A20" s="101" t="inlineStr">
        <x:is>
          <x:t xml:space="preserve">журнал эксплуатационного обслуживания</x:t>
        </x:is>
      </x:c>
      <x:c r="B20" s="58"/>
      <x:c r="C20" s="58"/>
      <x:c r="D20" s="58"/>
      <x:c r="E20" s="58"/>
      <x:c r="F20" s="58"/>
      <x:c r="G20" s="58"/>
      <x:c r="H20" s="58"/>
      <x:c r="I20" s="58"/>
    </x:row>
    <x:row r="21">
      <x:c r="A21" s="101" t="inlineStr">
        <x:is>
          <x:t xml:space="preserve">заключение или акт обследования</x:t>
        </x:is>
      </x:c>
      <x:c r="B21" s="58"/>
      <x:c r="C21" s="58"/>
      <x:c r="D21" s="58"/>
      <x:c r="E21" s="58"/>
      <x:c r="F21" s="58"/>
      <x:c r="G21" s="58"/>
      <x:c r="H21" s="58"/>
      <x:c r="I21" s="58"/>
    </x:row>
    <x:row r="22">
      <x:c r="A22" s="101" t="inlineStr">
        <x:is>
          <x:t xml:space="preserve">иное</x:t>
        </x:is>
      </x:c>
      <x:c r="B22" s="58"/>
      <x:c r="C22" s="58"/>
      <x:c r="D22" s="58"/>
      <x:c r="E22" s="58"/>
      <x:c r="F22" s="58"/>
      <x:c r="G22" s="58"/>
      <x:c r="H22" s="58"/>
      <x:c r="I22" s="58"/>
    </x:row>
    <x:row r="23">
      <x:c r="A23" s="58"/>
      <x:c r="B23" s="58"/>
      <x:c r="C23" s="58"/>
      <x:c r="D23" s="58"/>
      <x:c r="E23" s="58"/>
      <x:c r="F23" s="58"/>
      <x:c r="G23" s="58"/>
      <x:c r="H23" s="58"/>
      <x:c r="I23" s="58"/>
    </x:row>
    <x:row r="24">
      <x:c r="A24" s="58"/>
      <x:c r="B24" s="58"/>
      <x:c r="C24" s="58"/>
      <x:c r="D24" s="58"/>
      <x:c r="E24" s="58"/>
      <x:c r="F24" s="58"/>
      <x:c r="G24" s="58"/>
      <x:c r="H24" s="58"/>
      <x:c r="I24" s="58"/>
    </x:row>
    <x:row r="25" ht="46" customHeight="1">
      <x:c r="A25" s="49" t="inlineStr">
        <x:is>
          <x:t xml:space="preserve">Перечень типовой. Состав документов по вашему объекту определяется договором и требованиями, действующими на дату заполнения; сверяете вы. Что не легло в справочник, вносите как «иное» с пояснением в колонке «Наименование и реквизиты».</x:t>
        </x:is>
      </x:c>
      <x:c r="B25" s="58"/>
      <x:c r="C25" s="58"/>
      <x:c r="D25" s="58"/>
      <x:c r="E25" s="58"/>
      <x:c r="F25" s="58"/>
      <x:c r="G25" s="58"/>
      <x:c r="H25" s="58"/>
      <x:c r="I25" s="58"/>
    </x:row>
    <x:row r="26">
      <x:c r="A26" s="58"/>
      <x:c r="B26" s="58"/>
      <x:c r="C26" s="58"/>
      <x:c r="D26" s="58"/>
      <x:c r="E26" s="58"/>
      <x:c r="F26" s="58"/>
      <x:c r="G26" s="58"/>
      <x:c r="H26" s="58"/>
      <x:c r="I26" s="58"/>
    </x:row>
    <x:row r="27">
      <x:c r="A27" s="58"/>
      <x:c r="B27" s="58"/>
      <x:c r="C27" s="58"/>
      <x:c r="D27" s="58"/>
      <x:c r="E27" s="58"/>
      <x:c r="F27" s="58"/>
      <x:c r="G27" s="58"/>
      <x:c r="H27" s="58"/>
      <x:c r="I27" s="58"/>
    </x:row>
    <x:row r="28">
      <x:c r="A28" s="58"/>
      <x:c r="B28" s="58"/>
      <x:c r="C28" s="58"/>
      <x:c r="D28" s="58"/>
      <x:c r="E28" s="58"/>
      <x:c r="F28" s="58"/>
      <x:c r="G28" s="58"/>
      <x:c r="H28" s="58"/>
      <x:c r="I28" s="58"/>
    </x:row>
  </x:sheetData>
  <x:mergeCells>
    <x:mergeCell ref="A25:G25"/>
  </x:mergeCells>
  <x:pageMargins left="0.3" right="0.3" top="0.4" bottom="0.4" header="0.2" footer="0.2"/>
  <x:pageSetup paperSize="9" orientation="landscape" fitToWidth="1" fitToHeight="0"/>
</x:worksheet>
</file>

<file path=xl/worksheets/sheet6.xml><?xml version="1.0" encoding="utf-8"?>
<x:worksheet xmlns:x="http://schemas.openxmlformats.org/spreadsheetml/2006/main">
  <x:sheetPr>
    <x:pageSetUpPr fitToPage="1"/>
  </x:sheetPr>
  <x:sheetFormatPr baseColWidth="8" defaultRowHeight="15"/>
  <x:cols>
    <x:col min="1" max="1" width="5" customWidth="1"/>
    <x:col min="2" max="2" width="26" customWidth="1"/>
    <x:col min="3" max="3" width="30" customWidth="1"/>
    <x:col min="4" max="4" width="24" customWidth="1"/>
    <x:col min="5" max="5" width="13" customWidth="1"/>
    <x:col min="6" max="6" width="22" customWidth="1"/>
    <x:col min="7" max="7" width="12" customWidth="1"/>
    <x:col min="8" max="8" width="24" customWidth="1"/>
    <x:col min="9" max="9" width="22" customWidth="1"/>
    <x:col min="10" max="10" width="14" customWidth="1"/>
    <x:col min="11" max="11" width="13" customWidth="1"/>
    <x:col min="12" max="12" width="15" customWidth="1"/>
    <x:col min="13" max="13" width="22" customWidth="1"/>
    <x:col min="14" max="14" width="15" customWidth="1"/>
    <x:col min="15" max="15" width="15" customWidth="1"/>
    <x:col min="16" max="16" width="15" customWidth="1"/>
    <x:col min="17" max="17" width="13" customWidth="1"/>
    <x:col min="18" max="18" width="14" customWidth="1"/>
    <x:col min="19" max="19" width="34" customWidth="1"/>
    <x:col min="20" max="20" width="26" customWidth="1"/>
    <x:col min="21" max="21" width="34" customWidth="1"/>
  </x:cols>
  <x:sheetData>
    <x:row r="1" ht="31" customHeight="1">
      <x:c r="A1" s="76" t="inlineStr">
        <x:is>
          <x:t xml:space="preserve">Пример: как выглядят заполненные строки</x:t>
        </x:is>
      </x:c>
      <x:c r="B1" s="76"/>
      <x:c r="C1" s="76"/>
      <x:c r="D1" s="76"/>
      <x:c r="E1" s="76"/>
      <x:c r="F1" s="76"/>
      <x:c r="G1" s="76"/>
      <x:c r="H1" s="76"/>
      <x:c r="I1" s="76"/>
      <x:c r="J1" s="76"/>
      <x:c r="K1" s="76"/>
      <x:c r="L1" s="76"/>
      <x:c r="M1" s="76"/>
      <x:c r="N1" s="76"/>
    </x:row>
    <x:row r="2">
      <x:c r="A2" s="125" t="inlineStr">
        <x:is>
          <x:t xml:space="preserve">Здесь показан формат ввода, а не ваш случай. Наименования, номера и даты вымышленные. Ничего отсюда не переносите в свой файл и тем более в документы.</x:t>
        </x:is>
      </x:c>
      <x:c r="B2" s="58"/>
      <x:c r="C2" s="58"/>
      <x:c r="D2" s="58"/>
      <x:c r="E2" s="58"/>
      <x:c r="F2" s="58"/>
      <x:c r="G2" s="58"/>
      <x:c r="H2" s="58"/>
      <x:c r="I2" s="58"/>
      <x:c r="J2" s="58"/>
      <x:c r="K2" s="58"/>
      <x:c r="L2" s="58"/>
      <x:c r="M2" s="58"/>
      <x:c r="N2" s="58"/>
    </x:row>
    <x:row r="3">
      <x:c r="A3" s="58"/>
      <x:c r="B3" s="58"/>
      <x:c r="C3" s="58"/>
      <x:c r="D3" s="58"/>
      <x:c r="E3" s="58"/>
      <x:c r="F3" s="58"/>
      <x:c r="G3" s="58"/>
      <x:c r="H3" s="58"/>
      <x:c r="I3" s="58"/>
      <x:c r="J3" s="58"/>
      <x:c r="K3" s="58"/>
      <x:c r="L3" s="58"/>
      <x:c r="M3" s="58"/>
      <x:c r="N3" s="58"/>
    </x:row>
    <x:row r="4">
      <x:c r="A4" s="86" t="inlineStr">
        <x:is>
          <x:t xml:space="preserve">Лист «Опись»</x:t>
        </x:is>
      </x:c>
      <x:c r="B4" s="86"/>
      <x:c r="C4" s="86"/>
      <x:c r="D4" s="86"/>
      <x:c r="E4" s="86"/>
      <x:c r="F4" s="86"/>
      <x:c r="G4" s="86"/>
      <x:c r="H4" s="86"/>
      <x:c r="I4" s="86"/>
      <x:c r="J4" s="86"/>
      <x:c r="K4" s="86"/>
      <x:c r="L4" s="86"/>
      <x:c r="M4" s="86"/>
      <x:c r="N4" s="86"/>
    </x:row>
    <x:row r="5" ht="35" customHeight="1">
      <x:c r="A5" s="99" t="inlineStr">
        <x:is>
          <x:t xml:space="preserve">№</x:t>
        </x:is>
      </x:c>
      <x:c r="B5" s="99" t="inlineStr">
        <x:is>
          <x:t xml:space="preserve">Вид документа</x:t>
        </x:is>
      </x:c>
      <x:c r="C5" s="99" t="inlineStr">
        <x:is>
          <x:t xml:space="preserve">Наименование и реквизиты</x:t>
        </x:is>
      </x:c>
      <x:c r="D5" s="99" t="inlineStr">
        <x:is>
          <x:t xml:space="preserve">К чему относится</x:t>
        </x:is>
      </x:c>
      <x:c r="E5" s="99" t="inlineStr">
        <x:is>
          <x:t xml:space="preserve">Дата документа</x:t>
        </x:is>
      </x:c>
      <x:c r="F5" s="99" t="inlineStr">
        <x:is>
          <x:t xml:space="preserve">Кем подписан</x:t>
        </x:is>
      </x:c>
      <x:c r="G5" s="99" t="inlineStr">
        <x:is>
          <x:t xml:space="preserve">Наличие</x:t>
        </x:is>
      </x:c>
      <x:c r="H5" s="99" t="inlineStr">
        <x:is>
          <x:t xml:space="preserve">Где находится</x:t>
        </x:is>
      </x:c>
      <x:c r="I5" s="99" t="inlineStr">
        <x:is>
          <x:t xml:space="preserve">Что подтверждает</x:t>
        </x:is>
      </x:c>
      <x:c r="J5" s="99" t="inlineStr">
        <x:is>
          <x:t xml:space="preserve">Обязателен для причины</x:t>
        </x:is>
      </x:c>
      <x:c r="K5" s="99" t="inlineStr">
        <x:is>
          <x:t xml:space="preserve">Передан оппоненту</x:t>
        </x:is>
      </x:c>
      <x:c r="L5" s="99" t="inlineStr">
        <x:is>
          <x:t xml:space="preserve">Дата передачи оппоненту</x:t>
        </x:is>
      </x:c>
      <x:c r="M5" s="99" t="inlineStr">
        <x:is>
          <x:t xml:space="preserve">След передачи</x:t>
        </x:is>
      </x:c>
      <x:c r="N5" s="99" t="inlineStr">
        <x:is>
          <x:t xml:space="preserve">Передан эксперту или в дело</x:t>
        </x:is>
      </x:c>
      <x:c r="O5" s="8" t="inlineStr">
        <x:is>
          <x:t xml:space="preserve">Дата передачи эксперту</x:t>
        </x:is>
      </x:c>
      <x:c r="P5" s="8" t="inlineStr">
        <x:is>
          <x:t xml:space="preserve">Запрошен у другой стороны</x:t>
        </x:is>
      </x:c>
      <x:c r="Q5" s="8" t="inlineStr">
        <x:is>
          <x:t xml:space="preserve">Дата запроса</x:t>
        </x:is>
      </x:c>
      <x:c r="R5" s="8" t="inlineStr">
        <x:is>
          <x:t xml:space="preserve">Получен по запросу</x:t>
        </x:is>
      </x:c>
      <x:c r="S5" s="8" t="inlineStr">
        <x:is>
          <x:t xml:space="preserve">Что ещё относится к этому обстоятельству</x:t>
        </x:is>
      </x:c>
      <x:c r="T5" s="8" t="inlineStr">
        <x:is>
          <x:t xml:space="preserve">Примечание</x:t>
        </x:is>
      </x:c>
      <x:c r="U5" s="8" t="inlineStr">
        <x:is>
          <x:t xml:space="preserve">Состояние</x:t>
        </x:is>
      </x:c>
    </x:row>
    <x:row r="6">
      <x:c r="A6" s="126" t="inlineStr">
        <x:is>
          <x:t xml:space="preserve">1</x:t>
        </x:is>
      </x:c>
      <x:c r="B6" s="134" t="inlineStr">
        <x:is>
          <x:t xml:space="preserve">акт освидетельствования скрытых работ</x:t>
        </x:is>
      </x:c>
      <x:c r="C6" s="134" t="inlineStr">
        <x:is>
          <x:t xml:space="preserve">АОСР № 12 от 14.04.2026, армирование плиты</x:t>
        </x:is>
      </x:c>
      <x:c r="D6" s="134" t="inlineStr">
        <x:is>
          <x:t xml:space="preserve">оси 3–5, отм. +3,300</x:t>
        </x:is>
      </x:c>
      <x:c r="E6" s="134" t="inlineStr">
        <x:is>
          <x:t xml:space="preserve">14.04.2026</x:t>
        </x:is>
      </x:c>
      <x:c r="F6" s="134" t="inlineStr">
        <x:is>
          <x:t xml:space="preserve">подрядчик, генподрядчик, технадзор</x:t>
        </x:is>
      </x:c>
      <x:c r="G6" s="134" t="inlineStr">
        <x:is>
          <x:t xml:space="preserve">оригинал</x:t>
        </x:is>
      </x:c>
      <x:c r="H6" s="134" t="inlineStr">
        <x:is>
          <x:t xml:space="preserve">папка «Исполнилка», кабинет ПТО</x:t>
        </x:is>
      </x:c>
      <x:c r="I6" s="134" t="inlineStr">
        <x:is>
          <x:t xml:space="preserve">качество и соответствие</x:t>
        </x:is>
      </x:c>
      <x:c r="J6" s="134" t="inlineStr">
        <x:is>
          <x:t xml:space="preserve">да</x:t>
        </x:is>
      </x:c>
      <x:c r="K6" s="134" t="inlineStr">
        <x:is>
          <x:t xml:space="preserve">да</x:t>
        </x:is>
      </x:c>
      <x:c r="L6" s="134" t="inlineStr">
        <x:is>
          <x:t xml:space="preserve">20.05.2026</x:t>
        </x:is>
      </x:c>
      <x:c r="M6" s="134" t="inlineStr">
        <x:is>
          <x:t xml:space="preserve">опись вложения, письмо № 88</x:t>
        </x:is>
      </x:c>
      <x:c r="N6" s="134" t="inlineStr">
        <x:is>
          <x:t xml:space="preserve">да</x:t>
        </x:is>
      </x:c>
      <x:c r="O6" s="19" t="inlineStr">
        <x:is>
          <x:t xml:space="preserve">02.06.2026</x:t>
        </x:is>
      </x:c>
      <x:c r="P6" s="19" t="inlineStr">
        <x:is>
          <x:t xml:space="preserve">нет</x:t>
        </x:is>
      </x:c>
      <x:c r="Q6" s="19" t="inlineStr">
        <x:is>
          <x:t xml:space="preserve"/>
        </x:is>
      </x:c>
      <x:c r="R6" s="19" t="inlineStr">
        <x:is>
          <x:t xml:space="preserve"/>
        </x:is>
      </x:c>
      <x:c r="S6" s="19" t="inlineStr">
        <x:is>
          <x:t xml:space="preserve">фото армирования от 13.04.2026, запись в общем журнале</x:t>
        </x:is>
      </x:c>
      <x:c r="T6" s="19" t="inlineStr">
        <x:is>
          <x:t xml:space="preserve"/>
        </x:is>
      </x:c>
      <x:c r="U6" s="18" t="inlineStr">
        <x:is>
          <x:t xml:space="preserve">в порядке</x:t>
        </x:is>
      </x:c>
    </x:row>
    <x:row r="7">
      <x:c r="A7" s="126" t="inlineStr">
        <x:is>
          <x:t xml:space="preserve">2</x:t>
        </x:is>
      </x:c>
      <x:c r="B7" s="134" t="inlineStr">
        <x:is>
          <x:t xml:space="preserve">журнал входного контроля</x:t>
        </x:is>
      </x:c>
      <x:c r="C7" s="134" t="inlineStr">
        <x:is>
          <x:t xml:space="preserve">журнал за апрель 2026 (том 2)</x:t>
        </x:is>
      </x:c>
      <x:c r="D7" s="134" t="inlineStr">
        <x:is>
          <x:t xml:space="preserve">зона в целом</x:t>
        </x:is>
      </x:c>
      <x:c r="E7" s="134" t="inlineStr">
        <x:is>
          <x:t xml:space="preserve">30.04.2026</x:t>
        </x:is>
      </x:c>
      <x:c r="F7" s="134" t="inlineStr">
        <x:is>
          <x:t xml:space="preserve">подрядчик</x:t>
        </x:is>
      </x:c>
      <x:c r="G7" s="134" t="inlineStr">
        <x:is>
          <x:t xml:space="preserve">нет</x:t>
        </x:is>
      </x:c>
      <x:c r="H7" s="134" t="inlineStr">
        <x:is>
          <x:t xml:space="preserve">не найден, запрашивается у прораба</x:t>
        </x:is>
      </x:c>
      <x:c r="I7" s="134" t="inlineStr">
        <x:is>
          <x:t xml:space="preserve">качество и соответствие</x:t>
        </x:is>
      </x:c>
      <x:c r="J7" s="134" t="inlineStr">
        <x:is>
          <x:t xml:space="preserve">да</x:t>
        </x:is>
      </x:c>
      <x:c r="K7" s="134" t="inlineStr">
        <x:is>
          <x:t xml:space="preserve">нет</x:t>
        </x:is>
      </x:c>
      <x:c r="L7" s="134" t="inlineStr">
        <x:is>
          <x:t xml:space="preserve"/>
        </x:is>
      </x:c>
      <x:c r="M7" s="134" t="inlineStr">
        <x:is>
          <x:t xml:space="preserve"/>
        </x:is>
      </x:c>
      <x:c r="N7" s="134" t="inlineStr">
        <x:is>
          <x:t xml:space="preserve">нет</x:t>
        </x:is>
      </x:c>
      <x:c r="O7" s="19" t="inlineStr">
        <x:is>
          <x:t xml:space="preserve"/>
        </x:is>
      </x:c>
      <x:c r="P7" s="19" t="inlineStr">
        <x:is>
          <x:t xml:space="preserve">нет</x:t>
        </x:is>
      </x:c>
      <x:c r="Q7" s="19" t="inlineStr">
        <x:is>
          <x:t xml:space="preserve"/>
        </x:is>
      </x:c>
      <x:c r="R7" s="19" t="inlineStr">
        <x:is>
          <x:t xml:space="preserve"/>
        </x:is>
      </x:c>
      <x:c r="S7" s="19" t="inlineStr">
        <x:is>
          <x:t xml:space="preserve"/>
        </x:is>
      </x:c>
      <x:c r="T7" s="19" t="inlineStr">
        <x:is>
          <x:t xml:space="preserve">искать в архиве участка</x:t>
        </x:is>
      </x:c>
      <x:c r="U7" s="18" t="inlineStr">
        <x:is>
          <x:t xml:space="preserve">дыра: обязательного документа нет, запрос не направлен</x:t>
        </x:is>
      </x:c>
    </x:row>
    <x:row r="8">
      <x:c r="A8" s="126" t="inlineStr">
        <x:is>
          <x:t xml:space="preserve">3</x:t>
        </x:is>
      </x:c>
      <x:c r="B8" s="134" t="inlineStr">
        <x:is>
          <x:t xml:space="preserve">акт допуска смежной организации</x:t>
        </x:is>
      </x:c>
      <x:c r="C8" s="134" t="inlineStr">
        <x:is>
          <x:t xml:space="preserve">акт допуска от 12.05.2026 (у генподрядчика)</x:t>
        </x:is>
      </x:c>
      <x:c r="D8" s="134" t="inlineStr">
        <x:is>
          <x:t xml:space="preserve">оси 3–5, помещение 204</x:t>
        </x:is>
      </x:c>
      <x:c r="E8" s="134" t="inlineStr">
        <x:is>
          <x:t xml:space="preserve">12.05.2026</x:t>
        </x:is>
      </x:c>
      <x:c r="F8" s="134" t="inlineStr">
        <x:is>
          <x:t xml:space="preserve">генподрядчик, смежник</x:t>
        </x:is>
      </x:c>
      <x:c r="G8" s="134" t="inlineStr">
        <x:is>
          <x:t xml:space="preserve">нет</x:t>
        </x:is>
      </x:c>
      <x:c r="H8" s="134" t="inlineStr">
        <x:is>
          <x:t xml:space="preserve">у генподрядчика</x:t>
        </x:is>
      </x:c>
      <x:c r="I8" s="134" t="inlineStr">
        <x:is>
          <x:t xml:space="preserve">доступ третьих лиц</x:t>
        </x:is>
      </x:c>
      <x:c r="J8" s="134" t="inlineStr">
        <x:is>
          <x:t xml:space="preserve">да</x:t>
        </x:is>
      </x:c>
      <x:c r="K8" s="134" t="inlineStr">
        <x:is>
          <x:t xml:space="preserve">нет</x:t>
        </x:is>
      </x:c>
      <x:c r="L8" s="134" t="inlineStr">
        <x:is>
          <x:t xml:space="preserve"/>
        </x:is>
      </x:c>
      <x:c r="M8" s="134" t="inlineStr">
        <x:is>
          <x:t xml:space="preserve"/>
        </x:is>
      </x:c>
      <x:c r="N8" s="134" t="inlineStr">
        <x:is>
          <x:t xml:space="preserve">нет</x:t>
        </x:is>
      </x:c>
      <x:c r="O8" s="19" t="inlineStr">
        <x:is>
          <x:t xml:space="preserve"/>
        </x:is>
      </x:c>
      <x:c r="P8" s="19" t="inlineStr">
        <x:is>
          <x:t xml:space="preserve">да</x:t>
        </x:is>
      </x:c>
      <x:c r="Q8" s="19" t="inlineStr">
        <x:is>
          <x:t xml:space="preserve">18.06.2026</x:t>
        </x:is>
      </x:c>
      <x:c r="R8" s="19" t="inlineStr">
        <x:is>
          <x:t xml:space="preserve">нет</x:t>
        </x:is>
      </x:c>
      <x:c r="S8" s="19" t="inlineStr">
        <x:is>
          <x:t xml:space="preserve">переписка о работах смежника в зоне</x:t>
        </x:is>
      </x:c>
      <x:c r="T8" s="19" t="inlineStr">
        <x:is>
          <x:t xml:space="preserve">запрос письмом № 104</x:t>
        </x:is>
      </x:c>
      <x:c r="U8" s="18" t="inlineStr">
        <x:is>
          <x:t xml:space="preserve">запрошен, не получен</x:t>
        </x:is>
      </x:c>
    </x:row>
    <x:row r="9">
      <x:c r="A9" s="126" t="inlineStr">
        <x:is>
          <x:t xml:space="preserve">4</x:t>
        </x:is>
      </x:c>
      <x:c r="B9" s="134" t="inlineStr">
        <x:is>
          <x:t xml:space="preserve">фотофиксация</x:t>
        </x:is>
      </x:c>
      <x:c r="C9" s="134" t="inlineStr">
        <x:is>
          <x:t xml:space="preserve">съёмка зоны на дату сдачи участка</x:t>
        </x:is>
      </x:c>
      <x:c r="D9" s="134" t="inlineStr">
        <x:is>
          <x:t xml:space="preserve">оси 3–5, отм. +3,300</x:t>
        </x:is>
      </x:c>
      <x:c r="E9" s="134" t="inlineStr">
        <x:is>
          <x:t xml:space="preserve">25.04.2026</x:t>
        </x:is>
      </x:c>
      <x:c r="F9" s="134" t="inlineStr">
        <x:is>
          <x:t xml:space="preserve">подрядчик</x:t>
        </x:is>
      </x:c>
      <x:c r="G9" s="134" t="inlineStr">
        <x:is>
          <x:t xml:space="preserve">скан</x:t>
        </x:is>
      </x:c>
      <x:c r="H9" s="134" t="inlineStr">
        <x:is>
          <x:t xml:space="preserve">облако, папка «Сдача участка»</x:t>
        </x:is>
      </x:c>
      <x:c r="I9" s="134" t="inlineStr">
        <x:is>
          <x:t xml:space="preserve">состояние на дату сдачи</x:t>
        </x:is>
      </x:c>
      <x:c r="J9" s="134" t="inlineStr">
        <x:is>
          <x:t xml:space="preserve">нет</x:t>
        </x:is>
      </x:c>
      <x:c r="K9" s="134" t="inlineStr">
        <x:is>
          <x:t xml:space="preserve">да</x:t>
        </x:is>
      </x:c>
      <x:c r="L9" s="134" t="inlineStr">
        <x:is>
          <x:t xml:space="preserve"/>
        </x:is>
      </x:c>
      <x:c r="M9" s="134" t="inlineStr">
        <x:is>
          <x:t xml:space="preserve"/>
        </x:is>
      </x:c>
      <x:c r="N9" s="134" t="inlineStr">
        <x:is>
          <x:t xml:space="preserve">нет</x:t>
        </x:is>
      </x:c>
      <x:c r="O9" s="19" t="inlineStr">
        <x:is>
          <x:t xml:space="preserve"/>
        </x:is>
      </x:c>
      <x:c r="P9" s="19" t="inlineStr">
        <x:is>
          <x:t xml:space="preserve">нет</x:t>
        </x:is>
      </x:c>
      <x:c r="Q9" s="19" t="inlineStr">
        <x:is>
          <x:t xml:space="preserve"/>
        </x:is>
      </x:c>
      <x:c r="R9" s="19" t="inlineStr">
        <x:is>
          <x:t xml:space="preserve"/>
        </x:is>
      </x:c>
      <x:c r="S9" s="19" t="inlineStr">
        <x:is>
          <x:t xml:space="preserve">акт передачи фронта работ</x:t>
        </x:is>
      </x:c>
      <x:c r="T9" s="19" t="inlineStr">
        <x:is>
          <x:t xml:space="preserve">передавали в мессенджере</x:t>
        </x:is>
      </x:c>
      <x:c r="U9" s="18" t="inlineStr">
        <x:is>
          <x:t xml:space="preserve">передан без следа</x:t>
        </x:is>
      </x:c>
    </x:row>
    <x:row r="10">
      <x:c r="A10" s="58"/>
      <x:c r="B10" s="58"/>
      <x:c r="C10" s="58"/>
      <x:c r="D10" s="58"/>
      <x:c r="E10" s="58"/>
      <x:c r="F10" s="58"/>
      <x:c r="G10" s="58"/>
      <x:c r="H10" s="58"/>
      <x:c r="I10" s="58"/>
      <x:c r="J10" s="58"/>
      <x:c r="K10" s="58"/>
      <x:c r="L10" s="58"/>
      <x:c r="M10" s="58"/>
      <x:c r="N10" s="58"/>
    </x:row>
    <x:row r="11" ht="46" customHeight="1">
      <x:c r="A11" s="114" t="inlineStr">
        <x:is>
          <x:t xml:space="preserve">Колонки «№» и «Состояние» в рабочем листе считаются сами — здесь они показаны, чтобы было видно, какой ввод какой вердикт даёт. Вторая строка в рабочем листе была бы красной (обязательный документ отсутствует и не запрошен), четвёртая — тоже красной (передан без следа), третья при заполненном пороге со временем станет жёлтой (запрошен, ответа нет дольше порога).</x:t>
        </x:is>
      </x:c>
      <x:c r="B11" s="58"/>
      <x:c r="C11" s="58"/>
      <x:c r="D11" s="58"/>
      <x:c r="E11" s="58"/>
      <x:c r="F11" s="58"/>
      <x:c r="G11" s="58"/>
      <x:c r="H11" s="58"/>
      <x:c r="I11" s="58"/>
      <x:c r="J11" s="58"/>
      <x:c r="K11" s="58"/>
      <x:c r="L11" s="58"/>
      <x:c r="M11" s="58"/>
      <x:c r="N11" s="58"/>
    </x:row>
    <x:row r="12">
      <x:c r="A12" s="58"/>
      <x:c r="B12" s="58"/>
      <x:c r="C12" s="58"/>
      <x:c r="D12" s="58"/>
      <x:c r="E12" s="58"/>
      <x:c r="F12" s="58"/>
      <x:c r="G12" s="58"/>
      <x:c r="H12" s="58"/>
      <x:c r="I12" s="58"/>
      <x:c r="J12" s="58"/>
      <x:c r="K12" s="58"/>
      <x:c r="L12" s="58"/>
      <x:c r="M12" s="58"/>
      <x:c r="N12" s="58"/>
    </x:row>
    <x:row r="13">
      <x:c r="A13" s="57" t="inlineStr">
        <x:is>
          <x:t xml:space="preserve">Лист «Сводка» при таком заполнении</x:t>
        </x:is>
      </x:c>
      <x:c r="B13" s="58"/>
      <x:c r="C13" s="58"/>
      <x:c r="D13" s="58"/>
      <x:c r="E13" s="58"/>
      <x:c r="F13" s="58"/>
      <x:c r="G13" s="58"/>
      <x:c r="H13" s="58"/>
      <x:c r="I13" s="58"/>
      <x:c r="J13" s="58"/>
      <x:c r="K13" s="58"/>
      <x:c r="L13" s="58"/>
      <x:c r="M13" s="58"/>
      <x:c r="N13" s="58"/>
    </x:row>
    <x:row r="14">
      <x:c r="A14" s="95" t="inlineStr">
        <x:is>
          <x:t xml:space="preserve">Всего строк в описи</x:t>
        </x:is>
      </x:c>
      <x:c r="B14" s="135" t="inlineStr">
        <x:is>
          <x:t xml:space="preserve">4</x:t>
        </x:is>
      </x:c>
      <x:c r="C14" s="136" t="n"/>
      <x:c r="D14" s="136" t="n"/>
      <x:c r="E14" s="136" t="n"/>
      <x:c r="F14" s="137" t="n"/>
      <x:c r="G14" s="58"/>
      <x:c r="H14" s="58"/>
      <x:c r="I14" s="58"/>
      <x:c r="J14" s="58"/>
      <x:c r="K14" s="58"/>
      <x:c r="L14" s="58"/>
      <x:c r="M14" s="58"/>
      <x:c r="N14" s="58"/>
    </x:row>
    <x:row r="15">
      <x:c r="A15" s="95" t="inlineStr">
        <x:is>
          <x:t xml:space="preserve">Обязательных для причины</x:t>
        </x:is>
      </x:c>
      <x:c r="B15" s="135" t="inlineStr">
        <x:is>
          <x:t xml:space="preserve">3</x:t>
        </x:is>
      </x:c>
      <x:c r="C15" s="136" t="n"/>
      <x:c r="D15" s="136" t="n"/>
      <x:c r="E15" s="136" t="n"/>
      <x:c r="F15" s="137" t="n"/>
      <x:c r="G15" s="58"/>
      <x:c r="H15" s="58"/>
      <x:c r="I15" s="58"/>
      <x:c r="J15" s="58"/>
      <x:c r="K15" s="58"/>
      <x:c r="L15" s="58"/>
      <x:c r="M15" s="58"/>
      <x:c r="N15" s="58"/>
    </x:row>
    <x:row r="16">
      <x:c r="A16" s="95" t="inlineStr">
        <x:is>
          <x:t xml:space="preserve">Дыр: обязательных и отсутствующих</x:t>
        </x:is>
      </x:c>
      <x:c r="B16" s="135" t="inlineStr">
        <x:is>
          <x:t xml:space="preserve">2</x:t>
        </x:is>
      </x:c>
      <x:c r="C16" s="136" t="n"/>
      <x:c r="D16" s="136" t="n"/>
      <x:c r="E16" s="136" t="n"/>
      <x:c r="F16" s="137" t="n"/>
      <x:c r="G16" s="58"/>
      <x:c r="H16" s="58"/>
      <x:c r="I16" s="58"/>
      <x:c r="J16" s="58"/>
      <x:c r="K16" s="58"/>
      <x:c r="L16" s="58"/>
      <x:c r="M16" s="58"/>
      <x:c r="N16" s="58"/>
    </x:row>
    <x:row r="17">
      <x:c r="A17" s="95" t="inlineStr">
        <x:is>
          <x:t xml:space="preserve">Из них запрос не направлен</x:t>
        </x:is>
      </x:c>
      <x:c r="B17" s="135" t="inlineStr">
        <x:is>
          <x:t xml:space="preserve">1</x:t>
        </x:is>
      </x:c>
      <x:c r="C17" s="136" t="n"/>
      <x:c r="D17" s="136" t="n"/>
      <x:c r="E17" s="136" t="n"/>
      <x:c r="F17" s="137" t="n"/>
      <x:c r="G17" s="58"/>
      <x:c r="H17" s="58"/>
      <x:c r="I17" s="58"/>
      <x:c r="J17" s="58"/>
      <x:c r="K17" s="58"/>
      <x:c r="L17" s="58"/>
      <x:c r="M17" s="58"/>
      <x:c r="N17" s="58"/>
    </x:row>
    <x:row r="18">
      <x:c r="A18" s="95" t="inlineStr">
        <x:is>
          <x:t xml:space="preserve">Первая дыра</x:t>
        </x:is>
      </x:c>
      <x:c r="B18" s="135" t="inlineStr">
        <x:is>
          <x:t xml:space="preserve">журнал за апрель 2026 (том 2)</x:t>
        </x:is>
      </x:c>
      <x:c r="C18" s="136" t="n"/>
      <x:c r="D18" s="136" t="n"/>
      <x:c r="E18" s="136" t="n"/>
      <x:c r="F18" s="137" t="n"/>
      <x:c r="G18" s="58"/>
      <x:c r="H18" s="58"/>
      <x:c r="I18" s="58"/>
      <x:c r="J18" s="58"/>
      <x:c r="K18" s="58"/>
      <x:c r="L18" s="58"/>
      <x:c r="M18" s="58"/>
      <x:c r="N18" s="58"/>
    </x:row>
    <x:row r="19">
      <x:c r="A19" s="58"/>
      <x:c r="B19" s="58"/>
      <x:c r="C19" s="58"/>
      <x:c r="D19" s="58"/>
      <x:c r="E19" s="58"/>
      <x:c r="F19" s="58"/>
      <x:c r="G19" s="58"/>
      <x:c r="H19" s="58"/>
      <x:c r="I19" s="58"/>
      <x:c r="J19" s="58"/>
      <x:c r="K19" s="58"/>
      <x:c r="L19" s="58"/>
      <x:c r="M19" s="58"/>
      <x:c r="N19" s="58"/>
    </x:row>
    <x:row r="20" ht="34" customHeight="1">
      <x:c r="A20" s="114" t="inlineStr">
        <x:is>
          <x:t xml:space="preserve">Ненулевое число дыр — это перечень дел на сегодня, а не оценка ваших шансов в споре: два документа надо найти или запросить у другой стороны до того, как готовятся вопросы эксперту.</x:t>
        </x:is>
      </x:c>
      <x:c r="B20" s="58"/>
      <x:c r="C20" s="58"/>
      <x:c r="D20" s="58"/>
      <x:c r="E20" s="58"/>
      <x:c r="F20" s="58"/>
      <x:c r="G20" s="58"/>
      <x:c r="H20" s="58"/>
      <x:c r="I20" s="58"/>
      <x:c r="J20" s="58"/>
      <x:c r="K20" s="58"/>
      <x:c r="L20" s="58"/>
      <x:c r="M20" s="58"/>
      <x:c r="N20" s="58"/>
    </x:row>
    <x:row r="21">
      <x:c r="A21" s="58"/>
      <x:c r="B21" s="58"/>
      <x:c r="C21" s="58"/>
      <x:c r="D21" s="58"/>
      <x:c r="E21" s="58"/>
      <x:c r="F21" s="58"/>
      <x:c r="G21" s="58"/>
      <x:c r="H21" s="58"/>
      <x:c r="I21" s="58"/>
      <x:c r="J21" s="58"/>
      <x:c r="K21" s="58"/>
      <x:c r="L21" s="58"/>
      <x:c r="M21" s="58"/>
      <x:c r="N21" s="58"/>
    </x:row>
    <x:row r="22">
      <x:c r="A22" s="58"/>
      <x:c r="B22" s="58"/>
      <x:c r="C22" s="58"/>
      <x:c r="D22" s="58"/>
      <x:c r="E22" s="58"/>
      <x:c r="F22" s="58"/>
      <x:c r="G22" s="58"/>
      <x:c r="H22" s="58"/>
      <x:c r="I22" s="58"/>
      <x:c r="J22" s="58"/>
      <x:c r="K22" s="58"/>
      <x:c r="L22" s="58"/>
      <x:c r="M22" s="58"/>
      <x:c r="N22" s="58"/>
    </x:row>
    <x:row r="23">
      <x:c r="A23" s="58"/>
      <x:c r="B23" s="58"/>
      <x:c r="C23" s="58"/>
      <x:c r="D23" s="58"/>
      <x:c r="E23" s="58"/>
      <x:c r="F23" s="58"/>
      <x:c r="G23" s="58"/>
      <x:c r="H23" s="58"/>
      <x:c r="I23" s="58"/>
      <x:c r="J23" s="58"/>
      <x:c r="K23" s="58"/>
      <x:c r="L23" s="58"/>
      <x:c r="M23" s="58"/>
      <x:c r="N23" s="58"/>
    </x:row>
    <x:row r="24">
      <x:c r="A24" s="58"/>
      <x:c r="B24" s="58"/>
      <x:c r="C24" s="58"/>
      <x:c r="D24" s="58"/>
      <x:c r="E24" s="58"/>
      <x:c r="F24" s="58"/>
      <x:c r="G24" s="58"/>
      <x:c r="H24" s="58"/>
      <x:c r="I24" s="58"/>
      <x:c r="J24" s="58"/>
      <x:c r="K24" s="58"/>
      <x:c r="L24" s="58"/>
      <x:c r="M24" s="58"/>
      <x:c r="N24" s="58"/>
    </x:row>
    <x:row r="25">
      <x:c r="A25" s="58"/>
      <x:c r="B25" s="58"/>
      <x:c r="C25" s="58"/>
      <x:c r="D25" s="58"/>
      <x:c r="E25" s="58"/>
      <x:c r="F25" s="58"/>
      <x:c r="G25" s="58"/>
      <x:c r="H25" s="58"/>
      <x:c r="I25" s="58"/>
      <x:c r="J25" s="58"/>
      <x:c r="K25" s="58"/>
      <x:c r="L25" s="58"/>
      <x:c r="M25" s="58"/>
      <x:c r="N25" s="58"/>
    </x:row>
    <x:row r="26">
      <x:c r="A26" s="58"/>
      <x:c r="B26" s="58"/>
      <x:c r="C26" s="58"/>
      <x:c r="D26" s="58"/>
      <x:c r="E26" s="58"/>
      <x:c r="F26" s="58"/>
      <x:c r="G26" s="58"/>
      <x:c r="H26" s="58"/>
      <x:c r="I26" s="58"/>
      <x:c r="J26" s="58"/>
      <x:c r="K26" s="58"/>
      <x:c r="L26" s="58"/>
      <x:c r="M26" s="58"/>
      <x:c r="N26" s="58"/>
    </x:row>
    <x:row r="27">
      <x:c r="A27" s="58"/>
      <x:c r="B27" s="58"/>
      <x:c r="C27" s="58"/>
      <x:c r="D27" s="58"/>
      <x:c r="E27" s="58"/>
      <x:c r="F27" s="58"/>
      <x:c r="G27" s="58"/>
      <x:c r="H27" s="58"/>
      <x:c r="I27" s="58"/>
      <x:c r="J27" s="58"/>
      <x:c r="K27" s="58"/>
      <x:c r="L27" s="58"/>
      <x:c r="M27" s="58"/>
      <x:c r="N27" s="58"/>
    </x:row>
    <x:row r="28">
      <x:c r="A28" s="58"/>
      <x:c r="B28" s="58"/>
      <x:c r="C28" s="58"/>
      <x:c r="D28" s="58"/>
      <x:c r="E28" s="58"/>
      <x:c r="F28" s="58"/>
      <x:c r="G28" s="58"/>
      <x:c r="H28" s="58"/>
      <x:c r="I28" s="58"/>
      <x:c r="J28" s="58"/>
      <x:c r="K28" s="58"/>
      <x:c r="L28" s="58"/>
      <x:c r="M28" s="58"/>
      <x:c r="N28" s="58"/>
    </x:row>
  </x:sheetData>
  <x:mergeCells>
    <x:mergeCell ref="A20:U20"/>
    <x:mergeCell ref="A2:U2"/>
    <x:mergeCell ref="B16:F16"/>
    <x:mergeCell ref="B15:F15"/>
    <x:mergeCell ref="A11:U11"/>
    <x:mergeCell ref="B14:F14"/>
    <x:mergeCell ref="B17:F17"/>
    <x:mergeCell ref="B18:F18"/>
  </x:mergeCells>
  <x:pageMargins left="0.3" right="0.3" top="0.4" bottom="0.4" header="0.2" footer="0.2"/>
  <x:pageSetup paperSize="8" orientation="landscape" fitToWidth="1" fitToHeight="0"/>
</x:worksheet>
</file>