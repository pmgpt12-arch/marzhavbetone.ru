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featurePropertyBag/featurePropertyBag.xml" ContentType="application/vnd.ms-excel.featurepropertyba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x6\AppData\Local\MB-ExcelQA\runs\nsp-avans-reopen-v1-20261023\"/>
    </mc:Choice>
  </mc:AlternateContent>
  <bookViews>
    <workbookView xWindow="0" yWindow="0" windowWidth="19710" windowHeight="6810"/>
  </bookViews>
  <sheets>
    <sheet name="Изъятия" sheetId="1" r:id="rId1"/>
    <sheet name="Как считать" sheetId="2" r:id="rId2"/>
  </sheets>
  <definedNames>
    <definedName name="Print_Area" localSheetId="0">Изъятия!$A$1:$G$19</definedName>
    <definedName name="Print_Area" localSheetId="1">'Как считать'!$A$1:$C$14</definedName>
    <definedName name="Print_Titles" localSheetId="0">Изъятия!$3:$3</definedName>
    <definedName name="Print_Titles" localSheetId="1">'Как считать'!$3:$3</definedName>
  </definedNames>
  <calcPr calcId="162913"/>
</workbook>
</file>

<file path=xl/calcChain.xml><?xml version="1.0" encoding="utf-8"?>
<calcChain xmlns="http://schemas.openxmlformats.org/spreadsheetml/2006/main">
  <c r="D16" i="1" l="1"/>
  <c r="D15" i="1"/>
  <c r="D14" i="1"/>
  <c r="D13" i="1"/>
  <c r="D12" i="1"/>
</calcChain>
</file>

<file path=xl/sharedStrings.xml><?xml version="1.0" encoding="utf-8"?>
<sst xmlns="http://schemas.openxmlformats.org/spreadsheetml/2006/main" count="92" uniqueCount="83">
  <si>
    <t>Деньги и обязательства по объекту</t>
  </si>
  <si>
    <t>Дата среза</t>
  </si>
  <si>
    <t>Пусто — не проверено. Ноль — проверено, отсутствует.</t>
  </si>
  <si>
    <t>Показатель</t>
  </si>
  <si>
    <t>Основание</t>
  </si>
  <si>
    <t>Что проверить</t>
  </si>
  <si>
    <t>Сумма, ₽</t>
  </si>
  <si>
    <t>Условия и документы</t>
  </si>
  <si>
    <t>За чей счёт</t>
  </si>
  <si>
    <t>Сверка и исключение повторов</t>
  </si>
  <si>
    <t>Аванс — непогашенный остаток</t>
  </si>
  <si>
    <t>Выдано минус зачтено и возвращено</t>
  </si>
  <si>
    <t>По расчётам и документам сторон</t>
  </si>
  <si>
    <t>—</t>
  </si>
  <si>
    <t>Отдельное обязательство; не сумма изъятых денег</t>
  </si>
  <si>
    <t>Гарантийное удержание</t>
  </si>
  <si>
    <t>Фактический остаток удержания на дату</t>
  </si>
  <si>
    <t>База, процент, событие и срок возврата</t>
  </si>
  <si>
    <t>Подрядчик</t>
  </si>
  <si>
    <t>Не повторять в денежном обеспечении</t>
  </si>
  <si>
    <t>Вознаграждение банка</t>
  </si>
  <si>
    <t>Фактически уплаченные комиссии</t>
  </si>
  <si>
    <t>С учётом подтверждённых возвратов</t>
  </si>
  <si>
    <t>По договору</t>
  </si>
  <si>
    <t>Номинал гарантии сюда не включать</t>
  </si>
  <si>
    <t>Денежное покрытие в банке</t>
  </si>
  <si>
    <t>Только фактически заблокированные деньги</t>
  </si>
  <si>
    <t>Условия освобождения по соглашению с банком</t>
  </si>
  <si>
    <t>По соглашению</t>
  </si>
  <si>
    <t>Залог имущества и лимит гарантии не включать</t>
  </si>
  <si>
    <t>Обеспечительный платёж</t>
  </si>
  <si>
    <t>Переданные и не возвращённые деньги</t>
  </si>
  <si>
    <t>Условия возврата по договору</t>
  </si>
  <si>
    <t>Не повторять сумму удержания из строки 5</t>
  </si>
  <si>
    <t>Генподрядные услуги</t>
  </si>
  <si>
    <t>Оплачено или документально списано</t>
  </si>
  <si>
    <t>Акты, расчёты, платежи и заявления</t>
  </si>
  <si>
    <t>Без повторов и с учётом возвратов</t>
  </si>
  <si>
    <t>Штрафы и иные списания</t>
  </si>
  <si>
    <t>Фактически уменьшившие расчёты суммы</t>
  </si>
  <si>
    <t>Основание, документ и позиция по спору</t>
  </si>
  <si>
    <t>Не включать повторно суммы других строк</t>
  </si>
  <si>
    <t>Выполнено, но не принято</t>
  </si>
  <si>
    <t>Стоимость подтверждённых работ</t>
  </si>
  <si>
    <t>Документы выполнения и сдачи, причины отказа</t>
  </si>
  <si>
    <t>Может включать удержание; с ним не складывать</t>
  </si>
  <si>
    <t>Удержано и заблокировано</t>
  </si>
  <si>
    <t/>
  </si>
  <si>
    <t>Сумма строк 5, 7 и 8. Только непересекающиеся денежные остатки.</t>
  </si>
  <si>
    <t>Фактические затраты</t>
  </si>
  <si>
    <t>Сумма строк 6 и 9. Не прибавляется к остаткам для оценки кассы.</t>
  </si>
  <si>
    <t>Непогашенный аванс</t>
  </si>
  <si>
    <t>Строка 4. Не показывает доступный остаток денег на счёте.</t>
  </si>
  <si>
    <t>Строка 11. Срок оплаты и наличие долга проверяются отдельно.</t>
  </si>
  <si>
    <t>Строка 10. Спорность и отсутствие повторов подтверждаются документами.</t>
  </si>
  <si>
    <t>Общий кассовый разрыв здесь не рассчитывается. Для него нужны доступные деньги и календарь поступлений и выплат.</t>
  </si>
  <si>
    <t>Суммы не складываются между показателями. Сверку оснований и исключение повторов фиксируйте в графе G.</t>
  </si>
  <si>
    <t>Как заполнить реестр</t>
  </si>
  <si>
    <t>Шаг</t>
  </si>
  <si>
    <t>Действие</t>
  </si>
  <si>
    <t>Правило</t>
  </si>
  <si>
    <t>Укажите дату среза в ячейке D2 первого листа.</t>
  </si>
  <si>
    <t>Все остатки и накопленные затраты относятся к одной дате.</t>
  </si>
  <si>
    <t>Заполните сумму каждой строки.</t>
  </si>
  <si>
    <t>Пусто означает «не проверено». После проверки введите число, в том числе 0 при отсутствии суммы. Отрицательные и нечисловые значения не дают корректного итога.</t>
  </si>
  <si>
    <t>Аванс укажите отдельным остатком.</t>
  </si>
  <si>
    <t>Выданный аванс минус зачтённые и возвращённые суммы. Наличие обязательства не означает, что эти деньги недоступны на счёте.</t>
  </si>
  <si>
    <t>Удержание берите из сверенных расчётов.</t>
  </si>
  <si>
    <t>База и процент определяются договором. Не умножайте процент автоматически на сумму чистого платежа. Учитывайте возвраты.</t>
  </si>
  <si>
    <t>В покрытие банка включайте только деньги.</t>
  </si>
  <si>
    <t>Имущественный залог и номинал гарантии не являются заблокированными денежными средствами. Условия освобождения проверьте в банковском соглашении.</t>
  </si>
  <si>
    <t>Разделите расходы и возвратные остатки.</t>
  </si>
  <si>
    <t>Комиссии банка и оплаченные либо списанные услуги — затраты. Удержание, денежное покрытие и обеспечительный платёж — отдельные остатки.</t>
  </si>
  <si>
    <t>Исключите повторение одной суммы.</t>
  </si>
  <si>
    <t>Одно удержание нельзя одновременно внести как обеспечительный платёж. Укажите основания и сверку в графе G; автоматически выявить такие повторы по суммам невозможно.</t>
  </si>
  <si>
    <t>Непринятые работы и списания проверяйте отдельно.</t>
  </si>
  <si>
    <t>Стоимость работ может уже включать удержание. Не прибавляйте её к сумме удержания. Не учитывайте один платёж повторно в строках расходов и списаний.</t>
  </si>
  <si>
    <t>Читайте каждый итог отдельно.</t>
  </si>
  <si>
    <t>Здесь нет общего итога «денег не у вас», чистого долга или расчёта запаса ликвидности. Достоверность оснований подтверждается документами.</t>
  </si>
  <si>
    <t>Для финансирования составьте календарь.</t>
  </si>
  <si>
    <t>Сопоставьте доступный остаток денег, ожидаемые поступления, сроки зачёта аванса и обязательные выплаты по датам.</t>
  </si>
  <si>
    <t>Пересчитывайте после новых событий.</t>
  </si>
  <si>
    <t>Платёж, зачёт аванса, возврат покрытия и акт меняют разные показатели. Сохраните датированную копию и документы сверки.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</si>
</sst>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.mm\.yyyy"/>
  </numFmts>
  <fonts count="9" x14ac:knownFonts="1">
    <font>
      <sz val="11"/>
      <color theme="1"/>
      <name val="Calibri"/>
      <family val="2"/>
      <scheme val="minor"/>
    </font>
    <font>
      <sz val="11"/>
      <color rgb="FF222222"/>
      <name val="Arial"/>
    </font>
    <font>
      <sz val="11"/>
      <color rgb="FF222222"/>
      <name val="Calibri"/>
      <family val="2"/>
      <scheme val="minor"/>
    </font>
    <font>
      <b/>
      <sz val="15"/>
      <color rgb="FF222222"/>
      <name val="Arial"/>
    </font>
    <font>
      <b/>
      <sz val="11"/>
      <color rgb="FFFFFFFF"/>
      <name val="Calibri"/>
      <family val="2"/>
      <scheme val="minor"/>
    </font>
    <font>
      <b/>
      <sz val="11"/>
      <color rgb="FF222222"/>
      <name val="Arial"/>
    </font>
    <font>
      <b/>
      <sz val="11"/>
      <color rgb="FF222222"/>
      <name val="Calibri"/>
      <family val="2"/>
      <scheme val="minor"/>
    </font>
    <font>
      <i/>
      <sz val="10"/>
      <color rgb="FF222222"/>
      <name val="Calibri"/>
      <family val="2"/>
      <scheme val="minor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343B40"/>
      </patternFill>
    </fill>
    <fill>
      <patternFill patternType="solid">
        <fgColor rgb="FFFFF2CC"/>
      </patternFill>
    </fill>
    <fill>
      <patternFill patternType="solid">
        <fgColor rgb="FFF3F0E8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8" fillId="0" borderId="0"/>
  </cellStyleXfs>
  <cellXfs count="15">
    <xf numFmtId="0" fontId="0" fillId="0" borderId="0" xfId="0"/>
    <xf numFmtId="0" fontId="1" fillId="2" borderId="2" xfId="1" applyNumberFormat="1" applyFont="1" applyFill="1" applyBorder="1" applyAlignment="1">
      <alignment horizontal="center" vertical="center" wrapText="1"/>
    </xf>
    <xf numFmtId="0" fontId="2" fillId="2" borderId="2" xfId="1" applyNumberFormat="1" applyFont="1" applyFill="1" applyBorder="1" applyAlignment="1">
      <alignment vertical="center" wrapText="1"/>
    </xf>
    <xf numFmtId="0" fontId="1" fillId="2" borderId="2" xfId="1" applyNumberFormat="1" applyFont="1" applyFill="1" applyBorder="1" applyAlignment="1">
      <alignment vertical="center" wrapText="1"/>
    </xf>
    <xf numFmtId="0" fontId="2" fillId="2" borderId="1" xfId="1" applyNumberFormat="1" applyFont="1" applyFill="1" applyBorder="1" applyAlignment="1">
      <alignment vertical="center" wrapText="1"/>
    </xf>
    <xf numFmtId="0" fontId="3" fillId="2" borderId="1" xfId="1" applyNumberFormat="1" applyFont="1" applyFill="1" applyBorder="1" applyAlignment="1">
      <alignment vertical="center"/>
    </xf>
    <xf numFmtId="0" fontId="4" fillId="3" borderId="1" xfId="1" applyNumberFormat="1" applyFont="1" applyFill="1" applyBorder="1" applyAlignment="1">
      <alignment vertical="center" wrapText="1"/>
    </xf>
    <xf numFmtId="0" fontId="5" fillId="5" borderId="2" xfId="1" applyNumberFormat="1" applyFont="1" applyFill="1" applyBorder="1" applyAlignment="1">
      <alignment vertical="center" wrapText="1"/>
    </xf>
    <xf numFmtId="4" fontId="5" fillId="5" borderId="2" xfId="1" applyNumberFormat="1" applyFont="1" applyFill="1" applyBorder="1" applyAlignment="1">
      <alignment horizontal="right" vertical="center" wrapText="1"/>
    </xf>
    <xf numFmtId="0" fontId="6" fillId="5" borderId="1" xfId="1" applyNumberFormat="1" applyFont="1" applyFill="1" applyBorder="1" applyAlignment="1">
      <alignment vertical="center" wrapText="1"/>
    </xf>
    <xf numFmtId="4" fontId="6" fillId="5" borderId="1" xfId="1" applyNumberFormat="1" applyFont="1" applyFill="1" applyBorder="1" applyAlignment="1">
      <alignment horizontal="right" vertical="center" wrapText="1"/>
    </xf>
    <xf numFmtId="0" fontId="7" fillId="2" borderId="1" xfId="1" applyNumberFormat="1" applyFont="1" applyFill="1" applyBorder="1" applyAlignment="1">
      <alignment vertical="center"/>
    </xf>
    <xf numFmtId="164" fontId="1" fillId="4" borderId="2" xfId="1" applyNumberFormat="1" applyFont="1" applyFill="1" applyBorder="1" applyAlignment="1" applyProtection="1">
      <alignment horizontal="center" vertical="center" wrapText="1"/>
      <protection locked="0"/>
    </xf>
    <xf numFmtId="0" fontId="2" fillId="2" borderId="2" xfId="1" applyNumberFormat="1" applyFont="1" applyFill="1" applyBorder="1" applyAlignment="1" applyProtection="1">
      <alignment vertical="center" wrapText="1"/>
      <protection locked="0"/>
    </xf>
    <xf numFmtId="4" fontId="2" fillId="4" borderId="2" xfId="1" applyNumberFormat="1" applyFont="1" applyFill="1" applyBorder="1" applyAlignment="1" applyProtection="1">
      <alignment horizontal="right" vertical="center" wrapText="1"/>
      <protection locked="0"/>
    </xf>
  </cellXfs>
  <cellStyles count="2">
    <cellStyle name="Normal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170fedc0a7cb4631" Type="http://schemas.microsoft.com/office/2022/11/relationships/FeaturePropertyBag" Target="featurePropertyBag/featurePropertyBag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9"/>
  <sheetViews>
    <sheetView showGridLines="0" tabSelected="1" workbookViewId="0"/>
  </sheetViews>
  <sheetFormatPr defaultRowHeight="15" x14ac:dyDescent="0.25"/>
  <cols>
    <col min="1" max="1" width="34" customWidth="1"/>
    <col min="2" max="2" width="13" customWidth="1"/>
    <col min="3" max="3" width="34" customWidth="1"/>
    <col min="4" max="4" width="24" customWidth="1"/>
    <col min="5" max="5" width="39" customWidth="1"/>
    <col min="6" max="6" width="17" customWidth="1"/>
    <col min="7" max="7" width="34" customWidth="1"/>
  </cols>
  <sheetData>
    <row r="1" spans="1:7" ht="27.95" customHeight="1" x14ac:dyDescent="0.25">
      <c r="A1" s="5" t="s">
        <v>0</v>
      </c>
      <c r="B1" s="4"/>
      <c r="C1" s="4"/>
      <c r="D1" s="4"/>
      <c r="E1" s="4"/>
      <c r="F1" s="4"/>
      <c r="G1" s="4"/>
    </row>
    <row r="2" spans="1:7" ht="42" customHeight="1" x14ac:dyDescent="0.25">
      <c r="A2" s="1" t="s">
        <v>1</v>
      </c>
      <c r="B2" s="1"/>
      <c r="C2" s="1"/>
      <c r="D2" s="12"/>
      <c r="E2" s="1" t="s">
        <v>2</v>
      </c>
      <c r="F2" s="1"/>
      <c r="G2" s="1"/>
    </row>
    <row r="3" spans="1:7" ht="35.1" customHeight="1" x14ac:dyDescent="0.25">
      <c r="A3" s="6" t="s">
        <v>3</v>
      </c>
      <c r="B3" s="6" t="s">
        <v>4</v>
      </c>
      <c r="C3" s="6" t="s">
        <v>5</v>
      </c>
      <c r="D3" s="6" t="s">
        <v>6</v>
      </c>
      <c r="E3" s="6" t="s">
        <v>7</v>
      </c>
      <c r="F3" s="6" t="s">
        <v>8</v>
      </c>
      <c r="G3" s="6" t="s">
        <v>9</v>
      </c>
    </row>
    <row r="4" spans="1:7" ht="48" customHeight="1" x14ac:dyDescent="0.25">
      <c r="A4" s="2" t="s">
        <v>10</v>
      </c>
      <c r="B4" s="13"/>
      <c r="C4" s="2" t="s">
        <v>11</v>
      </c>
      <c r="D4" s="14"/>
      <c r="E4" s="2" t="s">
        <v>12</v>
      </c>
      <c r="F4" s="2" t="s">
        <v>13</v>
      </c>
      <c r="G4" s="13" t="s">
        <v>14</v>
      </c>
    </row>
    <row r="5" spans="1:7" ht="48" customHeight="1" x14ac:dyDescent="0.25">
      <c r="A5" s="2" t="s">
        <v>15</v>
      </c>
      <c r="B5" s="13"/>
      <c r="C5" s="2" t="s">
        <v>16</v>
      </c>
      <c r="D5" s="14"/>
      <c r="E5" s="2" t="s">
        <v>17</v>
      </c>
      <c r="F5" s="2" t="s">
        <v>18</v>
      </c>
      <c r="G5" s="13" t="s">
        <v>19</v>
      </c>
    </row>
    <row r="6" spans="1:7" ht="48" customHeight="1" x14ac:dyDescent="0.25">
      <c r="A6" s="2" t="s">
        <v>20</v>
      </c>
      <c r="B6" s="13"/>
      <c r="C6" s="2" t="s">
        <v>21</v>
      </c>
      <c r="D6" s="14"/>
      <c r="E6" s="2" t="s">
        <v>22</v>
      </c>
      <c r="F6" s="2" t="s">
        <v>23</v>
      </c>
      <c r="G6" s="13" t="s">
        <v>24</v>
      </c>
    </row>
    <row r="7" spans="1:7" ht="48" customHeight="1" x14ac:dyDescent="0.25">
      <c r="A7" s="2" t="s">
        <v>25</v>
      </c>
      <c r="B7" s="13"/>
      <c r="C7" s="2" t="s">
        <v>26</v>
      </c>
      <c r="D7" s="14"/>
      <c r="E7" s="2" t="s">
        <v>27</v>
      </c>
      <c r="F7" s="2" t="s">
        <v>28</v>
      </c>
      <c r="G7" s="13" t="s">
        <v>29</v>
      </c>
    </row>
    <row r="8" spans="1:7" ht="48" customHeight="1" x14ac:dyDescent="0.25">
      <c r="A8" s="2" t="s">
        <v>30</v>
      </c>
      <c r="B8" s="13"/>
      <c r="C8" s="2" t="s">
        <v>31</v>
      </c>
      <c r="D8" s="14"/>
      <c r="E8" s="2" t="s">
        <v>32</v>
      </c>
      <c r="F8" s="2" t="s">
        <v>23</v>
      </c>
      <c r="G8" s="13" t="s">
        <v>33</v>
      </c>
    </row>
    <row r="9" spans="1:7" ht="48" customHeight="1" x14ac:dyDescent="0.25">
      <c r="A9" s="2" t="s">
        <v>34</v>
      </c>
      <c r="B9" s="13"/>
      <c r="C9" s="2" t="s">
        <v>35</v>
      </c>
      <c r="D9" s="14"/>
      <c r="E9" s="2" t="s">
        <v>36</v>
      </c>
      <c r="F9" s="2" t="s">
        <v>23</v>
      </c>
      <c r="G9" s="13" t="s">
        <v>37</v>
      </c>
    </row>
    <row r="10" spans="1:7" ht="48" customHeight="1" x14ac:dyDescent="0.25">
      <c r="A10" s="2" t="s">
        <v>38</v>
      </c>
      <c r="B10" s="13"/>
      <c r="C10" s="2" t="s">
        <v>39</v>
      </c>
      <c r="D10" s="14"/>
      <c r="E10" s="2" t="s">
        <v>40</v>
      </c>
      <c r="F10" s="2" t="s">
        <v>13</v>
      </c>
      <c r="G10" s="13" t="s">
        <v>41</v>
      </c>
    </row>
    <row r="11" spans="1:7" ht="48" customHeight="1" x14ac:dyDescent="0.25">
      <c r="A11" s="2" t="s">
        <v>42</v>
      </c>
      <c r="B11" s="13"/>
      <c r="C11" s="2" t="s">
        <v>43</v>
      </c>
      <c r="D11" s="14"/>
      <c r="E11" s="2" t="s">
        <v>44</v>
      </c>
      <c r="F11" s="2" t="s">
        <v>13</v>
      </c>
      <c r="G11" s="13" t="s">
        <v>45</v>
      </c>
    </row>
    <row r="12" spans="1:7" ht="45" customHeight="1" x14ac:dyDescent="0.25">
      <c r="A12" s="7" t="s">
        <v>46</v>
      </c>
      <c r="B12" s="7" t="s">
        <v>47</v>
      </c>
      <c r="C12" s="7" t="s">
        <v>47</v>
      </c>
      <c r="D12" s="8" t="str">
        <f>IF(OR(NOT(ISNUMBER($D$2)),$D$2&lt;1),"УКАЖИТЕ ДАТУ",IF(COUNT(D5,D7,D8)&lt;&gt;3,"НЕ ПРОВЕРЕНО",IF(MIN(D5,D7,D8)&lt;0,"ОШИБКА: сумма меньше нуля",ROUND(SUM(D5,D7,D8),2))))</f>
        <v>УКАЖИТЕ ДАТУ</v>
      </c>
      <c r="E12" s="3" t="s">
        <v>48</v>
      </c>
      <c r="F12" s="3" t="s">
        <v>47</v>
      </c>
      <c r="G12" s="3" t="s">
        <v>47</v>
      </c>
    </row>
    <row r="13" spans="1:7" ht="45" customHeight="1" x14ac:dyDescent="0.25">
      <c r="A13" s="9" t="s">
        <v>49</v>
      </c>
      <c r="B13" s="9"/>
      <c r="C13" s="9"/>
      <c r="D13" s="10" t="str">
        <f>IF(OR(NOT(ISNUMBER($D$2)),$D$2&lt;1),"УКАЖИТЕ ДАТУ",IF(COUNT(D6,D9)&lt;&gt;2,"НЕ ПРОВЕРЕНО",IF(MIN(D6,D9)&lt;0,"ОШИБКА: сумма меньше нуля",ROUND(SUM(D6,D9),2))))</f>
        <v>УКАЖИТЕ ДАТУ</v>
      </c>
      <c r="E13" s="4" t="s">
        <v>50</v>
      </c>
      <c r="F13" s="4"/>
      <c r="G13" s="4"/>
    </row>
    <row r="14" spans="1:7" ht="45" customHeight="1" x14ac:dyDescent="0.25">
      <c r="A14" s="9" t="s">
        <v>51</v>
      </c>
      <c r="B14" s="9"/>
      <c r="C14" s="9"/>
      <c r="D14" s="10" t="str">
        <f>IF(OR(NOT(ISNUMBER($D$2)),$D$2&lt;1),"УКАЖИТЕ ДАТУ",IF(NOT(ISNUMBER(D4)),"НЕ ПРОВЕРЕНО",IF(D4&lt;0,"ОШИБКА: сумма меньше нуля",ROUND(D4,2))))</f>
        <v>УКАЖИТЕ ДАТУ</v>
      </c>
      <c r="E14" s="4" t="s">
        <v>52</v>
      </c>
      <c r="F14" s="4"/>
      <c r="G14" s="4"/>
    </row>
    <row r="15" spans="1:7" ht="45" customHeight="1" x14ac:dyDescent="0.25">
      <c r="A15" s="9" t="s">
        <v>42</v>
      </c>
      <c r="B15" s="9"/>
      <c r="C15" s="9"/>
      <c r="D15" s="10" t="str">
        <f>IF(OR(NOT(ISNUMBER($D$2)),$D$2&lt;1),"УКАЖИТЕ ДАТУ",IF(NOT(ISNUMBER(D11)),"НЕ ПРОВЕРЕНО",IF(D11&lt;0,"ОШИБКА: сумма меньше нуля",ROUND(D11,2))))</f>
        <v>УКАЖИТЕ ДАТУ</v>
      </c>
      <c r="E15" s="4" t="s">
        <v>53</v>
      </c>
      <c r="F15" s="4"/>
      <c r="G15" s="4"/>
    </row>
    <row r="16" spans="1:7" ht="45" customHeight="1" x14ac:dyDescent="0.25">
      <c r="A16" s="9" t="s">
        <v>38</v>
      </c>
      <c r="B16" s="9"/>
      <c r="C16" s="9"/>
      <c r="D16" s="10" t="str">
        <f>IF(OR(NOT(ISNUMBER($D$2)),$D$2&lt;1),"УКАЖИТЕ ДАТУ",IF(NOT(ISNUMBER(D10)),"НЕ ПРОВЕРЕНО",IF(D10&lt;0,"ОШИБКА: сумма меньше нуля",ROUND(D10,2))))</f>
        <v>УКАЖИТЕ ДАТУ</v>
      </c>
      <c r="E16" s="4" t="s">
        <v>54</v>
      </c>
      <c r="F16" s="4"/>
      <c r="G16" s="4"/>
    </row>
    <row r="17" spans="1:7" x14ac:dyDescent="0.25">
      <c r="A17" s="4"/>
      <c r="B17" s="4"/>
      <c r="C17" s="4"/>
      <c r="D17" s="4"/>
      <c r="E17" s="4"/>
      <c r="F17" s="4"/>
      <c r="G17" s="4"/>
    </row>
    <row r="18" spans="1:7" ht="23.1" customHeight="1" x14ac:dyDescent="0.25">
      <c r="A18" s="11" t="s">
        <v>55</v>
      </c>
      <c r="B18" s="4"/>
      <c r="C18" s="4"/>
      <c r="D18" s="4"/>
      <c r="E18" s="4"/>
      <c r="F18" s="4"/>
      <c r="G18" s="4"/>
    </row>
    <row r="19" spans="1:7" ht="23.1" customHeight="1" x14ac:dyDescent="0.25">
      <c r="A19" s="11" t="s">
        <v>56</v>
      </c>
      <c r="B19" s="4"/>
      <c r="C19" s="4"/>
      <c r="D19" s="4"/>
      <c r="E19" s="4"/>
      <c r="F19" s="4"/>
      <c r="G19" s="4"/>
    </row>
  </sheetData>
  <sheetProtection sheet="1" objects="1" scenarios="1"/>
  <dataValidations count="2">
    <dataValidation type="custom" allowBlank="1" showErrorMessage="1" errorTitle="Проверьте значение" error="Введите число. Суммы не могут быть отрицательными." sqref="D2">
      <formula1>OR(ISBLANK(D2),AND(ISNUMBER(D2),D2&gt;=1))</formula1>
    </dataValidation>
    <dataValidation type="custom" allowBlank="1" showErrorMessage="1" errorTitle="Проверьте значение" error="Введите число. Суммы не могут быть отрицательными." sqref="D4:D11">
      <formula1>OR(ISBLANK(D4),AND(ISNUMBER(D4),D4&gt;=0))</formula1>
    </dataValidation>
  </dataValidations>
  <pageMargins left="0.3" right="0.3" top="0.3" bottom="0.3" header="0.1" footer="0.1"/>
  <pageSetup paperSize="8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14"/>
  <sheetViews>
    <sheetView showGridLines="0" workbookViewId="0"/>
  </sheetViews>
  <sheetFormatPr defaultRowHeight="15" x14ac:dyDescent="0.25"/>
  <cols>
    <col min="1" max="1" width="7" customWidth="1"/>
    <col min="2" max="2" width="42" customWidth="1"/>
    <col min="3" max="3" width="56" customWidth="1"/>
  </cols>
  <sheetData>
    <row r="1" spans="1:3" ht="27.95" customHeight="1" x14ac:dyDescent="0.25">
      <c r="A1" s="5" t="s">
        <v>57</v>
      </c>
      <c r="B1" s="4"/>
      <c r="C1" s="4"/>
    </row>
    <row r="2" spans="1:3" x14ac:dyDescent="0.25">
      <c r="A2" s="4"/>
      <c r="B2" s="4"/>
      <c r="C2" s="4"/>
    </row>
    <row r="3" spans="1:3" ht="27.95" customHeight="1" x14ac:dyDescent="0.25">
      <c r="A3" s="6" t="s">
        <v>58</v>
      </c>
      <c r="B3" s="6" t="s">
        <v>59</v>
      </c>
      <c r="C3" s="6" t="s">
        <v>60</v>
      </c>
    </row>
    <row r="4" spans="1:3" ht="60" customHeight="1" x14ac:dyDescent="0.25">
      <c r="A4" s="2">
        <v>1</v>
      </c>
      <c r="B4" s="2" t="s">
        <v>61</v>
      </c>
      <c r="C4" s="2" t="s">
        <v>62</v>
      </c>
    </row>
    <row r="5" spans="1:3" ht="60" customHeight="1" x14ac:dyDescent="0.25">
      <c r="A5" s="2">
        <v>2</v>
      </c>
      <c r="B5" s="2" t="s">
        <v>63</v>
      </c>
      <c r="C5" s="2" t="s">
        <v>64</v>
      </c>
    </row>
    <row r="6" spans="1:3" ht="60" customHeight="1" x14ac:dyDescent="0.25">
      <c r="A6" s="2">
        <v>3</v>
      </c>
      <c r="B6" s="2" t="s">
        <v>65</v>
      </c>
      <c r="C6" s="2" t="s">
        <v>66</v>
      </c>
    </row>
    <row r="7" spans="1:3" ht="60" customHeight="1" x14ac:dyDescent="0.25">
      <c r="A7" s="2">
        <v>4</v>
      </c>
      <c r="B7" s="2" t="s">
        <v>67</v>
      </c>
      <c r="C7" s="2" t="s">
        <v>68</v>
      </c>
    </row>
    <row r="8" spans="1:3" ht="60" customHeight="1" x14ac:dyDescent="0.25">
      <c r="A8" s="2">
        <v>5</v>
      </c>
      <c r="B8" s="2" t="s">
        <v>69</v>
      </c>
      <c r="C8" s="2" t="s">
        <v>70</v>
      </c>
    </row>
    <row r="9" spans="1:3" ht="60" customHeight="1" x14ac:dyDescent="0.25">
      <c r="A9" s="2">
        <v>6</v>
      </c>
      <c r="B9" s="2" t="s">
        <v>71</v>
      </c>
      <c r="C9" s="2" t="s">
        <v>72</v>
      </c>
    </row>
    <row r="10" spans="1:3" ht="60" customHeight="1" x14ac:dyDescent="0.25">
      <c r="A10" s="2">
        <v>7</v>
      </c>
      <c r="B10" s="2" t="s">
        <v>73</v>
      </c>
      <c r="C10" s="2" t="s">
        <v>74</v>
      </c>
    </row>
    <row r="11" spans="1:3" ht="60" customHeight="1" x14ac:dyDescent="0.25">
      <c r="A11" s="4">
        <v>8</v>
      </c>
      <c r="B11" s="4" t="s">
        <v>75</v>
      </c>
      <c r="C11" s="4" t="s">
        <v>76</v>
      </c>
    </row>
    <row r="12" spans="1:3" ht="60" customHeight="1" x14ac:dyDescent="0.25">
      <c r="A12" s="4">
        <v>9</v>
      </c>
      <c r="B12" s="4" t="s">
        <v>77</v>
      </c>
      <c r="C12" s="4" t="s">
        <v>78</v>
      </c>
    </row>
    <row r="13" spans="1:3" ht="60" customHeight="1" x14ac:dyDescent="0.25">
      <c r="A13" s="4">
        <v>10</v>
      </c>
      <c r="B13" s="4" t="s">
        <v>79</v>
      </c>
      <c r="C13" s="4" t="s">
        <v>80</v>
      </c>
    </row>
    <row r="14" spans="1:3" ht="60" customHeight="1" x14ac:dyDescent="0.25">
      <c r="A14" s="4">
        <v>11</v>
      </c>
      <c r="B14" s="4" t="s">
        <v>81</v>
      </c>
      <c r="C14" s="4" t="s">
        <v>82</v>
      </c>
    </row>
  </sheetData>
  <sheetProtection sheet="1" objects="1" scenarios="1"/>
  <pageMargins left="0.3" right="0.3" top="0.3" bottom="0.3" header="0.1" footer="0.1"/>
  <pageSetup paperSize="9" scale="93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</vt:i4>
      </vt:variant>
    </vt:vector>
  </HeadingPairs>
  <TitlesOfParts>
    <vt:vector size="6" baseType="lpstr">
      <vt:lpstr>Изъятия</vt:lpstr>
      <vt:lpstr>Как считать</vt:lpstr>
      <vt:lpstr>Изъятия!Print_Area</vt:lpstr>
      <vt:lpstr>'Как считать'!Print_Area</vt:lpstr>
      <vt:lpstr>Изъятия!Print_Titles</vt:lpstr>
      <vt:lpstr>'Как считать'!Print_Titles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x6</cp:lastModifiedBy>
  <cp:lastPrinted>2026-10-23T00:17:38Z</cp:lastPrinted>
  <dcterms:created xsi:type="dcterms:W3CDTF">2026-10-23T00:15:03Z</dcterms:created>
  <dcterms:modified xsi:type="dcterms:W3CDTF">2026-10-23T00:17:38Z</dcterms:modified>
</cp:coreProperties>
</file>