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4d33c18166dd472e" /></Relationships>
</file>

<file path=xl/workbook.xml><?xml version="1.0" encoding="utf-8"?>
<x:workbook xmlns:x="http://schemas.openxmlformats.org/spreadsheetml/2006/main">
  <x:sheets>
    <x:sheet xmlns:r="http://schemas.openxmlformats.org/officeDocument/2006/relationships" name="Спорная зона" sheetId="1" r:id="R8878f45059f64a59"/>
    <x:sheet xmlns:r="http://schemas.openxmlformats.org/officeDocument/2006/relationships" name="Опись" sheetId="2" r:id="R5db40b79cf2a4ac3"/>
    <x:sheet xmlns:r="http://schemas.openxmlformats.org/officeDocument/2006/relationships" name="Обязательный минимум" sheetId="3" r:id="R928d537cced34ea0"/>
    <x:sheet xmlns:r="http://schemas.openxmlformats.org/officeDocument/2006/relationships" name="Сводка" sheetId="4" r:id="R22e00cdcec694fc4"/>
    <x:sheet xmlns:r="http://schemas.openxmlformats.org/officeDocument/2006/relationships" name="Виды" sheetId="5" r:id="R331a721a82574f8e"/>
    <x:sheet xmlns:r="http://schemas.openxmlformats.org/officeDocument/2006/relationships" name="Пример заполнения" sheetId="6" r:id="R08f93c9da9314a85"/>
  </x:sheets>
  <x:definedNames>
    <x:definedName name="_xlnm.Print_Area" localSheetId="0">'Спорная зона'!$A$1:$I$28</x:definedName>
    <x:definedName name="_xlnm.Print_Area" localSheetId="1">'Опись'!$A$6:$H$206,'Опись'!$I$6:$O$206,'Опись'!$P$6:$U$206</x:definedName>
    <x:definedName name="_xlnm.Print_Titles" localSheetId="1">'Опись'!$A:$C,'Опись'!$6:$6</x:definedName>
    <x:definedName name="_xlnm.Print_Area" localSheetId="2">'Обязательный минимум'!$A$1:$J$65</x:definedName>
    <x:definedName name="_xlnm.Print_Titles" localSheetId="2">'Обязательный минимум'!$4:$4</x:definedName>
    <x:definedName name="_xlnm.Print_Area" localSheetId="3">'Сводка'!$A$1:$I$28</x:definedName>
    <x:definedName name="_xlnm.Print_Area" localSheetId="4">'Виды'!$A$1:$I$28</x:definedName>
    <x:definedName name="_xlnm.Print_Area" localSheetId="5">'Пример заполнения'!$A$5:$H$9,'Пример заполнения'!$I$5:$O$9,'Пример заполнения'!$P$5:$U$9,'Пример заполнения'!$A$13:$F$18</x:definedName>
    <x:definedName name="_xlnm.Print_Titles" localSheetId="5">'Пример заполнения'!$A:$C</x:definedName>
  </x:definedNames>
  <x:calcPr calcMode="auto" fullCalcOnLoad="1" forceFullCalc="1"/>
</x:workbook>
</file>

<file path=xl/comments1.xml><?xml version="1.0" encoding="utf-8"?>
<x:comments xmlns:x="http://schemas.openxmlformats.org/spreadsheetml/2006/main">
  <x:authors>
    <x:author>Маржа в бетоне</x:author>
  </x:authors>
  <x:commentList>
    <x:comment ref="A6" authorId="0">
      <x:text>
        <x:r>
          <x:t>сквозной, считается сам</x:t>
        </x:r>
      </x:text>
    </x:comment>
    <x:comment ref="B6" authorId="0">
      <x:text>
        <x:r>
          <x:t>справочник листа «Виды»</x:t>
        </x:r>
      </x:text>
    </x:comment>
    <x:comment ref="C6" authorId="0">
      <x:text>
        <x:r>
          <x:t>что за документ, номер и дата — так, как он назван в самом документе</x:t>
        </x:r>
      </x:text>
    </x:comment>
    <x:comment ref="D6" authorId="0">
      <x:text>
        <x:r>
          <x:t>участок в пределах зоны: оси, отметки, конструкция, помещение</x:t>
        </x:r>
      </x:text>
    </x:comment>
    <x:comment ref="F6" authorId="0">
      <x:text>
        <x:r>
          <x:t>стороны и лица, подписавшие документ; для одностороннего так и пишется</x:t>
        </x:r>
      </x:text>
    </x:comment>
    <x:comment ref="G6" authorId="0">
      <x:text>
        <x:r>
          <x:t>оригинал / копия / скан / нет</x:t>
        </x:r>
      </x:text>
    </x:comment>
    <x:comment ref="H6" authorId="0">
      <x:text>
        <x:r>
          <x:t>папка, шкаф, ЭДО, у кого на руках; «неизвестно» — тоже ответ и повод искать сейчас, а не перед заседанием</x:t>
        </x:r>
      </x:text>
    </x:comment>
    <x:comment ref="I6" authorId="0">
      <x:text>
        <x:r>
          <x:t>справочник листа «Виды»</x:t>
        </x:r>
      </x:text>
    </x:comment>
    <x:comment ref="J6" authorId="0">
      <x:text>
        <x:r>
          <x:t>без этого документа причина по вашей версии не доказывается</x:t>
        </x:r>
      </x:text>
    </x:comment>
    <x:comment ref="M6" authorId="0">
      <x:text>
        <x:r>
          <x:t>опись вложения, ЭДО, письмо №; передача без следа = не передана</x:t>
        </x:r>
      </x:text>
    </x:comment>
    <x:comment ref="P6" authorId="0">
      <x:text>
        <x:r>
          <x:t>заполняется, когда документа у вас нет, а у оппонента он есть</x:t>
        </x:r>
      </x:text>
    </x:comment>
    <x:comment ref="S6" authorId="0">
      <x:text>
        <x:r>
          <x:t>другие документы того же обстоятельства: фото, переписка, журнал, отметка в акте. Колонка не объявляет их заменой отсутствующего документа — она собирает всё, что по этому обстоятельству есть, а вес каждого оценивает представитель. Пустая клетка при «обязателен = да» и «наличие = нет» — это и есть дыра</x:t>
        </x:r>
      </x:text>
    </x:comment>
    <x:comment ref="U6" authorId="0">
      <x:text>
        <x:r>
          <x:t>вердикт по строке, считается сам</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1">
    <x:numFmt numFmtId="164" formatCode="DD.MM.YYYY"/>
  </x:numFmts>
  <x:fonts count="39">
    <x:font>
      <x:sz val="11"/>
      <x:color theme="1"/>
      <x:name val="Calibri"/>
    </x:font>
    <x:font>
      <x:b/>
      <x:sz val="14"/>
      <x:name val="Times New Roman"/>
    </x:font>
    <x:font>
      <x:b/>
      <x:sz val="11"/>
      <x:name val="Times New Roman"/>
    </x:font>
    <x:font>
      <x:i/>
      <x:sz val="10"/>
      <x:color rgb="FF595959"/>
      <x:name val="Times New Roman"/>
    </x:font>
    <x:font>
      <x:sz val="11"/>
      <x:color rgb="FF0000FF"/>
      <x:name val="Times New Roman"/>
    </x:font>
    <x:font>
      <x:sz val="11"/>
      <x:name val="Times New Roman"/>
    </x:font>
    <x:font>
      <x:b/>
      <x:sz val="11"/>
      <x:color rgb="FF008000"/>
      <x:name val="Times New Roman"/>
    </x:font>
    <x:font>
      <x:sz val="10"/>
      <x:color rgb="FFC00000"/>
      <x:name val="Times New Roman"/>
    </x:font>
    <x:font>
      <x:i/>
      <x:sz val="10"/>
      <x:color rgb="FFC00000"/>
      <x:name val="Times New Roman"/>
    </x:font>
    <x:font>
      <x:b/>
      <x:sz val="14"/>
      <x:name val="Arial"/>
    </x:font>
    <x:font>
      <x:sz val="11"/>
      <x:color theme="1"/>
      <x:name val="Arial"/>
    </x:font>
    <x:font>
      <x:b/>
      <x:sz val="11"/>
      <x:name val="Arial"/>
    </x:font>
    <x:font>
      <x:i/>
      <x:sz val="10"/>
      <x:color rgb="FF595959"/>
      <x:name val="Arial"/>
    </x:font>
    <x:font>
      <x:sz val="11"/>
      <x:color rgb="FF0000FF"/>
      <x:name val="Arial"/>
    </x:font>
    <x:font>
      <x:b/>
      <x:sz val="10"/>
      <x:name val="Arial"/>
    </x:font>
    <x:font>
      <x:sz val="10"/>
      <x:color theme="1"/>
      <x:name val="Arial"/>
    </x:font>
    <x:font>
      <x:sz val="10"/>
      <x:color rgb="FF0000FF"/>
      <x:name val="Arial"/>
    </x:font>
    <x:font>
      <x:sz val="14"/>
      <x:color theme="1"/>
      <x:name val="Arial"/>
    </x:font>
    <x:font>
      <x:b/>
      <x:sz val="14"/>
      <x:color theme="1"/>
      <x:name val="Arial"/>
    </x:font>
    <x:font>
      <x:b/>
      <x:sz val="14"/>
      <x:color rgb="FFFFFFFF"/>
      <x:name val="Arial"/>
    </x:font>
    <x:font>
      <x:b/>
      <x:sz val="10"/>
      <x:color theme="1"/>
      <x:name val="Arial"/>
    </x:font>
    <x:font>
      <x:b/>
      <x:sz val="10"/>
      <x:color rgb="FF534327"/>
      <x:name val="Arial"/>
    </x:font>
    <x:font>
      <x:sz val="11"/>
      <x:name val="Arial"/>
    </x:font>
    <x:font>
      <x:sz val="10"/>
      <x:name val="Arial"/>
    </x:font>
    <x:font>
      <x:b/>
      <x:sz val="10"/>
      <x:color rgb="FFFFFFFF"/>
      <x:name val="Arial"/>
    </x:font>
    <x:font>
      <x:b/>
      <x:sz val="11"/>
      <x:color rgb="FF008000"/>
      <x:name val="Arial"/>
    </x:font>
    <x:font>
      <x:sz val="10"/>
      <x:color rgb="FFC00000"/>
      <x:name val="Arial"/>
    </x:font>
    <x:font>
      <x:b/>
      <x:sz val="10"/>
      <x:color rgb="FF008000"/>
      <x:name val="Arial"/>
    </x:font>
    <x:font>
      <x:i/>
      <x:sz val="10"/>
      <x:color rgb="FFC00000"/>
      <x:name val="Arial"/>
    </x:font>
    <x:font>
      <x:sz val="10"/>
      <x:color theme="1"/>
      <x:name val="Calibri"/>
    </x:font>
    <x:font>
      <x:b/>
      <x:sz val="10"/>
      <x:color theme="1"/>
      <x:name val="Calibri"/>
    </x:font>
    <x:font>
      <x:b/>
      <x:sz val="10"/>
      <x:color rgb="FF54482D"/>
      <x:name val="Arial"/>
    </x:font>
    <x:font>
      <x:b/>
      <x:sz val="10"/>
      <x:color rgb="FF54482D"/>
      <x:name val="Calibri"/>
    </x:font>
    <x:font>
      <x:i/>
      <x:sz val="9.5"/>
      <x:color rgb="FF595959"/>
      <x:name val="Arial"/>
    </x:font>
    <x:font>
      <x:sz val="9.5"/>
      <x:color theme="1"/>
      <x:name val="Arial"/>
    </x:font>
    <x:font>
      <x:i/>
      <x:sz val="9.5"/>
      <x:color rgb="FF40464D"/>
      <x:name val="Arial"/>
    </x:font>
    <x:font>
      <x:sz val="9.5"/>
      <x:color rgb="FF40464D"/>
      <x:name val="Arial"/>
    </x:font>
    <x:font>
      <x:i/>
      <x:sz val="9.5"/>
      <x:color rgb="FF534327"/>
      <x:name val="Arial"/>
    </x:font>
    <x:font>
      <x:sz val="9.5"/>
      <x:color rgb="FF534327"/>
      <x:name val="Arial"/>
    </x:font>
  </x:fonts>
  <x:fills count="8">
    <x:fill>
      <x:patternFill patternType="none"/>
    </x:fill>
    <x:fill>
      <x:patternFill patternType="gray125"/>
    </x:fill>
    <x:fill>
      <x:patternFill patternType="solid">
        <x:fgColor rgb="FFFFF2CC"/>
      </x:patternFill>
    </x:fill>
    <x:fill>
      <x:patternFill patternType="solid">
        <x:fgColor rgb="FFE7E6E6"/>
      </x:patternFill>
    </x:fill>
    <x:fill>
      <x:patternFill patternType="solid">
        <x:fgColor rgb="FF30353B"/>
      </x:patternFill>
    </x:fill>
    <x:fill>
      <x:patternFill patternType="solid">
        <x:fgColor rgb="FFF6EEDA"/>
      </x:patternFill>
    </x:fill>
    <x:fill>
      <x:patternFill patternType="solid">
        <x:fgColor rgb="FF394047"/>
      </x:patternFill>
    </x:fill>
    <x:fill>
      <x:patternFill patternType="solid">
        <x:fgColor rgb="FFF4F5F6"/>
      </x:patternFill>
    </x:fill>
  </x:fills>
  <x:borders count="9">
    <x:border/>
    <x:border>
      <x:left style="thin">
        <x:color rgb="FFBFBFBF"/>
      </x:left>
      <x:right style="thin">
        <x:color rgb="FFBFBFBF"/>
      </x:right>
      <x:top style="thin">
        <x:color rgb="FFBFBFBF"/>
      </x:top>
      <x:bottom style="thin">
        <x:color rgb="FFBFBFBF"/>
      </x:bottom>
    </x:border>
    <x:border>
      <x:top style="thin">
        <x:color rgb="FFBFBFBF"/>
      </x:top>
    </x:border>
    <x:border>
      <x:right style="thin">
        <x:color rgb="FFBFBFBF"/>
      </x:right>
      <x:top style="thin">
        <x:color rgb="FFBFBFBF"/>
      </x:top>
    </x:border>
    <x:border>
      <x:top style="thin">
        <x:color rgb="FFBFBFBF"/>
      </x:top>
      <x:bottom style="thin">
        <x:color rgb="FFBFBFBF"/>
      </x:bottom>
    </x:border>
    <x:border>
      <x:right style="thin">
        <x:color rgb="FFBFBFBF"/>
      </x:right>
      <x:top style="thin">
        <x:color rgb="FFBFBFBF"/>
      </x:top>
      <x:bottom style="thin">
        <x:color rgb="FFBFBFBF"/>
      </x:bottom>
    </x:border>
    <x:border/>
    <x:border>
      <x:top style="thin">
        <x:color rgb="FFBFBFBF"/>
      </x:top>
      <x:bottom style="thin">
        <x:color rgb="FFBFBFBF"/>
      </x:bottom>
    </x:border>
    <x:border>
      <x:right style="thin">
        <x:color rgb="FFBFBFBF"/>
      </x:right>
      <x:top style="thin">
        <x:color rgb="FFBFBFBF"/>
      </x:top>
      <x:bottom style="thin">
        <x:color rgb="FFBFBFBF"/>
      </x:bottom>
    </x:border>
  </x:borders>
  <x:cellStyleXfs count="1">
    <x:xf numFmtId="0" fontId="0" fillId="0" borderId="0"/>
  </x:cellStyleXfs>
  <x:cellXfs count="181">
    <x:xf numFmtId="0" fontId="0" fillId="0" borderId="0" xfId="0"/>
    <x:xf numFmtId="0" fontId="1" fillId="0" borderId="0" xfId="0"/>
    <x:xf numFmtId="0" fontId="2" fillId="0" borderId="0" xfId="0"/>
    <x:xf numFmtId="0" fontId="3" fillId="0" borderId="0" xfId="0" applyAlignment="1">
      <x:alignment vertical="top" wrapText="1"/>
    </x:xf>
    <x:xf numFmtId="0" fontId="2" fillId="0" borderId="1" xfId="0" applyAlignment="1">
      <x:alignment vertical="top" wrapText="1"/>
    </x:xf>
    <x:xf numFmtId="0" fontId="4" fillId="2" borderId="1" xfId="0" applyAlignment="1">
      <x:alignment vertical="top" wrapText="1"/>
    </x:xf>
    <x:xf numFmtId="1" fontId="4" fillId="2" borderId="1" xfId="0" applyAlignment="1">
      <x:alignment vertical="top" wrapText="1"/>
    </x:xf>
    <x:xf numFmtId="0" fontId="3" fillId="0" borderId="0" xfId="0"/>
    <x:xf numFmtId="0" fontId="2" fillId="3" borderId="1" xfId="0" applyAlignment="1">
      <x:alignment vertical="center" wrapText="1"/>
    </x:xf>
    <x:xf numFmtId="0" fontId="5" fillId="0" borderId="1" xfId="0"/>
    <x:xf numFmtId="0" fontId="4" fillId="2" borderId="1" xfId="0"/>
    <x:xf numFmtId="164" fontId="4" fillId="2" borderId="1" xfId="0"/>
    <x:xf numFmtId="0" fontId="5" fillId="0" borderId="1" xfId="0" applyAlignment="1">
      <x:alignment vertical="top" wrapText="1"/>
    </x:xf>
    <x:xf numFmtId="0" fontId="6" fillId="0" borderId="1" xfId="0"/>
    <x:xf numFmtId="0" fontId="2" fillId="0" borderId="0" xfId="0" applyAlignment="1">
      <x:alignment vertical="top" wrapText="1"/>
    </x:xf>
    <x:xf numFmtId="0" fontId="7" fillId="0" borderId="0" xfId="0" applyAlignment="1">
      <x:alignment vertical="top" wrapText="1"/>
    </x:xf>
    <x:xf numFmtId="0" fontId="2" fillId="3" borderId="1" xfId="0"/>
    <x:xf numFmtId="0" fontId="8" fillId="0" borderId="0" xfId="0"/>
    <x:xf numFmtId="0" fontId="3" fillId="0" borderId="1" xfId="0" applyAlignment="1">
      <x:alignment vertical="top" wrapText="1"/>
    </x:xf>
    <x:xf numFmtId="0" fontId="4" fillId="0" borderId="1" xfId="0" applyAlignment="1">
      <x:alignment vertical="top" wrapText="1"/>
    </x:xf>
    <x:xf numFmtId="0" fontId="4" fillId="0" borderId="1" xfId="0"/>
    <x:xf numFmtId="0" fontId="0" fillId="0" borderId="4" xfId="0"/>
    <x:xf numFmtId="0" fontId="0" fillId="0" borderId="5" xfId="0"/>
    <x:xf numFmtId="0" fontId="0" fillId="0" borderId="6" xfId="0" applyNumberFormat="1" applyFont="1" applyFill="1" applyBorder="1"/>
    <x:xf numFmtId="0" fontId="1" fillId="0" borderId="6" xfId="0" applyNumberFormat="1" applyFont="1" applyFill="1" applyBorder="1"/>
    <x:xf numFmtId="0" fontId="2" fillId="0" borderId="6" xfId="0" applyNumberFormat="1" applyFont="1" applyFill="1" applyBorder="1"/>
    <x:xf numFmtId="0" fontId="3" fillId="0" borderId="6"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4" fillId="2" borderId="1" xfId="0" applyNumberFormat="1" applyFont="1" applyFill="1" applyBorder="1" applyAlignment="1">
      <x:alignment vertical="top" wrapText="1"/>
    </x:xf>
    <x:xf numFmtId="1" fontId="4" fillId="2" borderId="1" xfId="0" applyNumberFormat="1" applyFont="1" applyFill="1" applyBorder="1" applyAlignment="1">
      <x:alignment vertical="top" wrapText="1"/>
    </x:xf>
    <x:xf numFmtId="0" fontId="3" fillId="0" borderId="6" xfId="0" applyNumberFormat="1" applyFont="1" applyFill="1" applyBorder="1"/>
    <x:xf numFmtId="0" fontId="2" fillId="3" borderId="1" xfId="0" applyNumberFormat="1" applyFont="1" applyFill="1" applyBorder="1" applyAlignment="1">
      <x:alignment vertical="center" wrapText="1"/>
    </x:xf>
    <x:xf numFmtId="0" fontId="5" fillId="0" borderId="1" xfId="0" applyNumberFormat="1" applyFont="1" applyFill="1" applyBorder="1"/>
    <x:xf numFmtId="0" fontId="4" fillId="2" borderId="1" xfId="0" applyNumberFormat="1" applyFont="1" applyFill="1" applyBorder="1"/>
    <x:xf numFmtId="164" fontId="4" fillId="2" borderId="1" xfId="0" applyNumberFormat="1" applyFont="1" applyFill="1" applyBorder="1"/>
    <x:xf numFmtId="0" fontId="5" fillId="0" borderId="1" xfId="0" applyNumberFormat="1" applyFont="1" applyFill="1" applyBorder="1" applyAlignment="1">
      <x:alignment vertical="top" wrapText="1"/>
    </x:xf>
    <x:xf numFmtId="0" fontId="6" fillId="0" borderId="1" xfId="0" applyNumberFormat="1" applyFont="1" applyFill="1" applyBorder="1"/>
    <x:xf numFmtId="0" fontId="2" fillId="0" borderId="6"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2" fillId="3" borderId="1" xfId="0" applyNumberFormat="1" applyFont="1" applyFill="1" applyBorder="1"/>
    <x:xf numFmtId="0" fontId="8" fillId="0" borderId="6" xfId="0" applyNumberFormat="1" applyFont="1" applyFill="1" applyBorder="1"/>
    <x:xf numFmtId="0" fontId="3" fillId="0" borderId="1"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4" fillId="0" borderId="1"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9" fillId="0" borderId="0" xfId="0" applyNumberFormat="1" applyFont="1" applyFill="1" applyBorder="1"/>
    <x:xf numFmtId="0" fontId="10" fillId="0" borderId="0" xfId="0" applyNumberFormat="1" applyFont="1" applyFill="1" applyBorder="1"/>
    <x:xf numFmtId="0" fontId="11" fillId="0" borderId="0" xfId="0" applyNumberFormat="1" applyFont="1" applyFill="1" applyBorder="1"/>
    <x:xf numFmtId="0" fontId="12" fillId="0" borderId="0" xfId="0" applyNumberFormat="1" applyFont="1" applyFill="1" applyBorder="1" applyAlignment="1">
      <x:alignment vertical="top" wrapText="1"/>
    </x:xf>
    <x:xf numFmtId="0" fontId="11" fillId="0" borderId="1" xfId="0" applyNumberFormat="1" applyFont="1" applyFill="1" applyBorder="1" applyAlignment="1">
      <x:alignment vertical="top" wrapText="1"/>
    </x:xf>
    <x:xf numFmtId="0" fontId="13" fillId="2" borderId="1" xfId="0" applyNumberFormat="1" applyFont="1" applyFill="1" applyBorder="1" applyAlignment="1">
      <x:alignment vertical="top" wrapText="1"/>
    </x:xf>
    <x:xf numFmtId="1" fontId="13" fillId="2" borderId="1" xfId="0" applyNumberFormat="1" applyFont="1" applyFill="1" applyBorder="1" applyAlignment="1">
      <x:alignment vertical="top" wrapText="1"/>
    </x:xf>
    <x:xf numFmtId="0" fontId="9" fillId="0" borderId="6" xfId="0" applyNumberFormat="1" applyFont="1" applyFill="1" applyBorder="1"/>
    <x:xf numFmtId="0" fontId="10" fillId="0" borderId="6" xfId="0" applyNumberFormat="1" applyFont="1" applyFill="1" applyBorder="1"/>
    <x:xf numFmtId="0" fontId="11" fillId="0" borderId="6" xfId="0" applyNumberFormat="1" applyFont="1" applyFill="1" applyBorder="1"/>
    <x:xf numFmtId="0" fontId="12" fillId="0" borderId="6" xfId="0" applyNumberFormat="1" applyFont="1" applyFill="1" applyBorder="1" applyAlignment="1">
      <x:alignment vertical="top" wrapText="1"/>
    </x:xf>
    <x:xf numFmtId="0" fontId="14" fillId="0" borderId="0" xfId="0" applyNumberFormat="1" applyFont="1" applyFill="1" applyBorder="1"/>
    <x:xf numFmtId="0" fontId="15" fillId="0" borderId="0" xfId="0" applyNumberFormat="1" applyFont="1" applyFill="1" applyBorder="1"/>
    <x:xf numFmtId="0" fontId="14" fillId="0" borderId="1" xfId="0" applyNumberFormat="1" applyFont="1" applyFill="1" applyBorder="1" applyAlignment="1">
      <x:alignment vertical="top" wrapText="1"/>
    </x:xf>
    <x:xf numFmtId="0" fontId="16" fillId="2" borderId="1" xfId="0" applyNumberFormat="1" applyFont="1" applyFill="1" applyBorder="1" applyAlignment="1">
      <x:alignment vertical="top" wrapText="1"/>
    </x:xf>
    <x:xf numFmtId="1" fontId="16" fillId="2" borderId="1" xfId="0" applyNumberFormat="1" applyFont="1" applyFill="1" applyBorder="1" applyAlignment="1">
      <x:alignment vertical="top" wrapText="1"/>
    </x:xf>
    <x:xf numFmtId="0" fontId="14" fillId="0" borderId="6" xfId="0" applyNumberFormat="1" applyFont="1" applyFill="1" applyBorder="1"/>
    <x:xf numFmtId="0" fontId="15" fillId="0" borderId="6" xfId="0" applyNumberFormat="1" applyFont="1" applyFill="1" applyBorder="1"/>
    <x:xf numFmtId="0" fontId="14" fillId="4" borderId="0" xfId="0" applyNumberFormat="1" applyFont="1" applyFill="1" applyBorder="1"/>
    <x:xf numFmtId="0" fontId="15" fillId="4" borderId="0" xfId="0" applyNumberFormat="1" applyFont="1" applyFill="1" applyBorder="1"/>
    <x:xf numFmtId="0" fontId="14" fillId="4" borderId="6" xfId="0" applyNumberFormat="1" applyFont="1" applyFill="1" applyBorder="1"/>
    <x:xf numFmtId="0" fontId="15" fillId="4" borderId="6" xfId="0" applyNumberFormat="1" applyFont="1" applyFill="1" applyBorder="1"/>
    <x:xf numFmtId="0" fontId="9" fillId="4" borderId="0" xfId="0" applyNumberFormat="1" applyFont="1" applyFill="1" applyBorder="1"/>
    <x:xf numFmtId="0" fontId="17" fillId="4" borderId="0" xfId="0" applyNumberFormat="1" applyFont="1" applyFill="1" applyBorder="1"/>
    <x:xf numFmtId="0" fontId="9" fillId="4" borderId="6" xfId="0" applyNumberFormat="1" applyFont="1" applyFill="1" applyBorder="1"/>
    <x:xf numFmtId="0" fontId="17" fillId="4" borderId="6" xfId="0" applyNumberFormat="1" applyFont="1" applyFill="1" applyBorder="1"/>
    <x:xf numFmtId="0" fontId="18" fillId="4" borderId="0" xfId="0" applyNumberFormat="1" applyFont="1" applyFill="1" applyBorder="1"/>
    <x:xf numFmtId="0" fontId="18" fillId="4" borderId="6" xfId="0" applyNumberFormat="1" applyFont="1" applyFill="1" applyBorder="1"/>
    <x:xf numFmtId="0" fontId="19" fillId="4" borderId="0" xfId="0" applyNumberFormat="1" applyFont="1" applyFill="1" applyBorder="1"/>
    <x:xf numFmtId="0" fontId="19" fillId="4" borderId="6" xfId="0" applyNumberFormat="1" applyFont="1" applyFill="1" applyBorder="1"/>
    <x:xf numFmtId="0" fontId="19" fillId="4" borderId="0" xfId="0" applyNumberFormat="1" applyFont="1" applyFill="1" applyBorder="1" applyAlignment="1">
      <x:alignment vertical="center"/>
    </x:xf>
    <x:xf numFmtId="0" fontId="19" fillId="4" borderId="6" xfId="0" applyNumberFormat="1" applyFont="1" applyFill="1" applyBorder="1" applyAlignment="1">
      <x:alignment vertical="center"/>
    </x:xf>
    <x:xf numFmtId="0" fontId="14" fillId="5" borderId="0" xfId="0" applyNumberFormat="1" applyFont="1" applyFill="1" applyBorder="1"/>
    <x:xf numFmtId="0" fontId="15" fillId="5" borderId="0" xfId="0" applyNumberFormat="1" applyFont="1" applyFill="1" applyBorder="1"/>
    <x:xf numFmtId="0" fontId="14" fillId="5" borderId="6" xfId="0" applyNumberFormat="1" applyFont="1" applyFill="1" applyBorder="1"/>
    <x:xf numFmtId="0" fontId="15" fillId="5" borderId="6" xfId="0" applyNumberFormat="1" applyFont="1" applyFill="1" applyBorder="1"/>
    <x:xf numFmtId="0" fontId="20" fillId="5" borderId="0" xfId="0" applyNumberFormat="1" applyFont="1" applyFill="1" applyBorder="1"/>
    <x:xf numFmtId="0" fontId="20" fillId="5" borderId="6" xfId="0" applyNumberFormat="1" applyFont="1" applyFill="1" applyBorder="1"/>
    <x:xf numFmtId="0" fontId="21" fillId="5" borderId="0" xfId="0" applyNumberFormat="1" applyFont="1" applyFill="1" applyBorder="1"/>
    <x:xf numFmtId="0" fontId="21" fillId="5" borderId="6" xfId="0" applyNumberFormat="1" applyFont="1" applyFill="1" applyBorder="1"/>
    <x:xf numFmtId="0" fontId="21" fillId="5" borderId="0" xfId="0" applyNumberFormat="1" applyFont="1" applyFill="1" applyBorder="1" applyAlignment="1">
      <x:alignment wrapText="1"/>
    </x:xf>
    <x:xf numFmtId="0" fontId="21" fillId="5" borderId="6" xfId="0" applyNumberFormat="1" applyFont="1" applyFill="1" applyBorder="1" applyAlignment="1">
      <x:alignment wrapText="1"/>
    </x:xf>
    <x:xf numFmtId="0" fontId="12" fillId="0" borderId="0" xfId="0" applyNumberFormat="1" applyFont="1" applyFill="1" applyBorder="1"/>
    <x:xf numFmtId="0" fontId="11" fillId="3" borderId="1" xfId="0" applyNumberFormat="1" applyFont="1" applyFill="1" applyBorder="1" applyAlignment="1">
      <x:alignment vertical="center" wrapText="1"/>
    </x:xf>
    <x:xf numFmtId="0" fontId="22" fillId="0" borderId="1" xfId="0" applyNumberFormat="1" applyFont="1" applyFill="1" applyBorder="1"/>
    <x:xf numFmtId="0" fontId="13" fillId="2" borderId="1" xfId="0" applyNumberFormat="1" applyFont="1" applyFill="1" applyBorder="1"/>
    <x:xf numFmtId="164" fontId="13" fillId="2" borderId="1" xfId="0" applyNumberFormat="1" applyFont="1" applyFill="1" applyBorder="1"/>
    <x:xf numFmtId="0" fontId="12" fillId="0" borderId="6" xfId="0" applyNumberFormat="1" applyFont="1" applyFill="1" applyBorder="1"/>
    <x:xf numFmtId="0" fontId="14" fillId="3" borderId="1" xfId="0" applyNumberFormat="1" applyFont="1" applyFill="1" applyBorder="1" applyAlignment="1">
      <x:alignment vertical="center" wrapText="1"/>
    </x:xf>
    <x:xf numFmtId="0" fontId="23" fillId="0" borderId="1" xfId="0" applyNumberFormat="1" applyFont="1" applyFill="1" applyBorder="1"/>
    <x:xf numFmtId="0" fontId="16" fillId="2" borderId="1" xfId="0" applyNumberFormat="1" applyFont="1" applyFill="1" applyBorder="1"/>
    <x:xf numFmtId="164" fontId="16" fillId="2" borderId="1" xfId="0" applyNumberFormat="1" applyFont="1" applyFill="1" applyBorder="1"/>
    <x:xf numFmtId="0" fontId="14" fillId="6" borderId="1" xfId="0" applyNumberFormat="1" applyFont="1" applyFill="1" applyBorder="1" applyAlignment="1">
      <x:alignment vertical="center" wrapText="1"/>
    </x:xf>
    <x:xf numFmtId="0" fontId="24" fillId="6" borderId="1" xfId="0" applyNumberFormat="1" applyFont="1" applyFill="1" applyBorder="1" applyAlignment="1">
      <x:alignment vertical="center" wrapText="1"/>
    </x:xf>
    <x:xf numFmtId="0" fontId="22" fillId="0" borderId="1" xfId="0" applyNumberFormat="1" applyFont="1" applyFill="1" applyBorder="1" applyAlignment="1">
      <x:alignment vertical="top" wrapText="1"/>
    </x:xf>
    <x:xf numFmtId="0" fontId="23" fillId="0" borderId="1" xfId="0" applyNumberFormat="1" applyFont="1" applyFill="1" applyBorder="1" applyAlignment="1">
      <x:alignment vertical="top" wrapText="1"/>
    </x:xf>
    <x:xf numFmtId="0" fontId="15" fillId="6" borderId="0" xfId="0" applyNumberFormat="1" applyFont="1" applyFill="1" applyBorder="1"/>
    <x:xf numFmtId="0" fontId="15" fillId="6" borderId="6" xfId="0" applyNumberFormat="1" applyFont="1" applyFill="1" applyBorder="1"/>
    <x:xf numFmtId="0" fontId="20" fillId="6" borderId="0" xfId="0" applyNumberFormat="1" applyFont="1" applyFill="1" applyBorder="1"/>
    <x:xf numFmtId="0" fontId="20" fillId="6" borderId="6" xfId="0" applyNumberFormat="1" applyFont="1" applyFill="1" applyBorder="1"/>
    <x:xf numFmtId="0" fontId="24" fillId="6" borderId="0" xfId="0" applyNumberFormat="1" applyFont="1" applyFill="1" applyBorder="1"/>
    <x:xf numFmtId="0" fontId="24" fillId="6" borderId="6" xfId="0" applyNumberFormat="1" applyFont="1" applyFill="1" applyBorder="1"/>
    <x:xf numFmtId="0" fontId="24" fillId="6" borderId="0" xfId="0" applyNumberFormat="1" applyFont="1" applyFill="1" applyBorder="1" applyAlignment="1">
      <x:alignment wrapText="1"/>
    </x:xf>
    <x:xf numFmtId="0" fontId="24" fillId="6" borderId="6" xfId="0" applyNumberFormat="1" applyFont="1" applyFill="1" applyBorder="1" applyAlignment="1">
      <x:alignment wrapText="1"/>
    </x:xf>
    <x:xf numFmtId="0" fontId="24" fillId="6" borderId="0" xfId="0" applyNumberFormat="1" applyFont="1" applyFill="1" applyBorder="1" applyAlignment="1">
      <x:alignment vertical="center" wrapText="1"/>
    </x:xf>
    <x:xf numFmtId="0" fontId="24" fillId="6" borderId="6" xfId="0" applyNumberFormat="1" applyFont="1" applyFill="1" applyBorder="1" applyAlignment="1">
      <x:alignment vertical="center" wrapText="1"/>
    </x:xf>
    <x:xf numFmtId="0" fontId="25" fillId="0" borderId="1" xfId="0" applyNumberFormat="1" applyFont="1" applyFill="1" applyBorder="1"/>
    <x:xf numFmtId="0" fontId="11" fillId="0" borderId="0" xfId="0" applyNumberFormat="1" applyFont="1" applyFill="1" applyBorder="1" applyAlignment="1">
      <x:alignment vertical="top" wrapText="1"/>
    </x:xf>
    <x:xf numFmtId="0" fontId="26" fillId="0" borderId="0" xfId="0" applyNumberFormat="1" applyFont="1" applyFill="1" applyBorder="1" applyAlignment="1">
      <x:alignment vertical="top" wrapText="1"/>
    </x:xf>
    <x:xf numFmtId="0" fontId="11" fillId="0" borderId="6" xfId="0" applyNumberFormat="1" applyFont="1" applyFill="1" applyBorder="1" applyAlignment="1">
      <x:alignment vertical="top" wrapText="1"/>
    </x:xf>
    <x:xf numFmtId="0" fontId="26" fillId="0" borderId="6" xfId="0" applyNumberFormat="1" applyFont="1" applyFill="1" applyBorder="1" applyAlignment="1">
      <x:alignment vertical="top" wrapText="1"/>
    </x:xf>
    <x:xf numFmtId="0" fontId="27" fillId="0" borderId="1" xfId="0" applyNumberFormat="1" applyFont="1" applyFill="1" applyBorder="1"/>
    <x:xf numFmtId="0" fontId="14" fillId="0" borderId="0" xfId="0" applyNumberFormat="1" applyFont="1" applyFill="1" applyBorder="1" applyAlignment="1">
      <x:alignment vertical="top" wrapText="1"/>
    </x:xf>
    <x:xf numFmtId="0" fontId="14" fillId="0" borderId="6" xfId="0" applyNumberFormat="1" applyFont="1" applyFill="1" applyBorder="1" applyAlignment="1">
      <x:alignment vertical="top" wrapText="1"/>
    </x:xf>
    <x:xf numFmtId="0" fontId="11" fillId="3" borderId="1" xfId="0" applyNumberFormat="1" applyFont="1" applyFill="1" applyBorder="1"/>
    <x:xf numFmtId="0" fontId="14" fillId="3" borderId="1" xfId="0" applyNumberFormat="1" applyFont="1" applyFill="1" applyBorder="1"/>
    <x:xf numFmtId="0" fontId="14" fillId="6" borderId="1" xfId="0" applyNumberFormat="1" applyFont="1" applyFill="1" applyBorder="1"/>
    <x:xf numFmtId="0" fontId="24" fillId="6" borderId="1" xfId="0" applyNumberFormat="1" applyFont="1" applyFill="1" applyBorder="1"/>
    <x:xf numFmtId="0" fontId="24" fillId="6" borderId="1" xfId="0" applyNumberFormat="1" applyFont="1" applyFill="1" applyBorder="1" applyAlignment="1">
      <x:alignment wrapText="1"/>
    </x:xf>
    <x:xf numFmtId="0" fontId="28" fillId="0" borderId="0" xfId="0" applyNumberFormat="1" applyFont="1" applyFill="1" applyBorder="1"/>
    <x:xf numFmtId="0" fontId="12" fillId="0" borderId="1" xfId="0" applyNumberFormat="1" applyFont="1" applyFill="1" applyBorder="1" applyAlignment="1">
      <x:alignment vertical="top" wrapText="1"/>
    </x:xf>
    <x:xf numFmtId="0" fontId="13" fillId="0" borderId="1" xfId="0" applyNumberFormat="1" applyFont="1" applyFill="1" applyBorder="1" applyAlignment="1">
      <x:alignment vertical="top" wrapText="1"/>
    </x:xf>
    <x:xf numFmtId="0" fontId="13" fillId="0" borderId="1" xfId="0" applyNumberFormat="1" applyFont="1" applyFill="1" applyBorder="1"/>
    <x:xf numFmtId="0" fontId="10" fillId="0" borderId="4" xfId="0" applyNumberFormat="1" applyFont="1" applyFill="1" applyBorder="1"/>
    <x:xf numFmtId="0" fontId="10" fillId="0" borderId="5" xfId="0" applyNumberFormat="1" applyFont="1" applyFill="1" applyBorder="1"/>
    <x:xf numFmtId="0" fontId="28" fillId="0" borderId="6" xfId="0" applyNumberFormat="1" applyFont="1" applyFill="1" applyBorder="1"/>
    <x:xf numFmtId="0" fontId="10" fillId="0" borderId="7" xfId="0" applyNumberFormat="1" applyFont="1" applyFill="1" applyBorder="1"/>
    <x:xf numFmtId="0" fontId="10" fillId="0" borderId="8" xfId="0" applyNumberFormat="1" applyFont="1" applyFill="1" applyBorder="1"/>
    <x:xf numFmtId="0" fontId="16" fillId="0" borderId="1" xfId="0" applyNumberFormat="1" applyFont="1" applyFill="1" applyBorder="1" applyAlignment="1">
      <x:alignment vertical="top" wrapText="1"/>
    </x:xf>
    <x:xf numFmtId="0" fontId="16" fillId="0" borderId="1" xfId="0" applyNumberFormat="1" applyFont="1" applyFill="1" applyBorder="1"/>
    <x:xf numFmtId="0" fontId="15" fillId="0" borderId="4" xfId="0" applyNumberFormat="1" applyFont="1" applyFill="1" applyBorder="1"/>
    <x:xf numFmtId="0" fontId="15" fillId="0" borderId="5" xfId="0" applyNumberFormat="1" applyFont="1" applyFill="1" applyBorder="1"/>
    <x:xf numFmtId="0" fontId="15" fillId="0" borderId="7" xfId="0" applyNumberFormat="1" applyFont="1" applyFill="1" applyBorder="1"/>
    <x:xf numFmtId="0" fontId="15" fillId="0" borderId="8" xfId="0" applyNumberFormat="1" applyFont="1" applyFill="1" applyBorder="1"/>
    <x:xf numFmtId="0" fontId="0" fillId="5" borderId="0" xfId="0" applyNumberFormat="1" applyFont="1" applyFill="1" applyBorder="1"/>
    <x:xf numFmtId="0" fontId="0" fillId="5" borderId="6" xfId="0" applyNumberFormat="1" applyFont="1" applyFill="1" applyBorder="1"/>
    <x:xf numFmtId="0" fontId="29" fillId="5" borderId="0" xfId="0" applyNumberFormat="1" applyFont="1" applyFill="1" applyBorder="1"/>
    <x:xf numFmtId="0" fontId="29" fillId="5" borderId="6" xfId="0" applyNumberFormat="1" applyFont="1" applyFill="1" applyBorder="1"/>
    <x:xf numFmtId="0" fontId="30" fillId="5" borderId="0" xfId="0" applyNumberFormat="1" applyFont="1" applyFill="1" applyBorder="1"/>
    <x:xf numFmtId="0" fontId="30" fillId="5" borderId="6" xfId="0" applyNumberFormat="1" applyFont="1" applyFill="1" applyBorder="1"/>
    <x:xf numFmtId="0" fontId="31" fillId="5" borderId="0" xfId="0" applyNumberFormat="1" applyFont="1" applyFill="1" applyBorder="1" applyAlignment="1">
      <x:alignment wrapText="1"/>
    </x:xf>
    <x:xf numFmtId="0" fontId="32" fillId="5" borderId="0" xfId="0" applyNumberFormat="1" applyFont="1" applyFill="1" applyBorder="1"/>
    <x:xf numFmtId="0" fontId="31" fillId="5" borderId="6" xfId="0" applyNumberFormat="1" applyFont="1" applyFill="1" applyBorder="1" applyAlignment="1">
      <x:alignment wrapText="1"/>
    </x:xf>
    <x:xf numFmtId="0" fontId="32" fillId="5" borderId="6" xfId="0" applyNumberFormat="1" applyFont="1" applyFill="1" applyBorder="1"/>
    <x:xf numFmtId="0" fontId="32" fillId="5" borderId="0" xfId="0" applyNumberFormat="1" applyFont="1" applyFill="1" applyBorder="1" applyAlignment="1">
      <x:alignment wrapText="1"/>
    </x:xf>
    <x:xf numFmtId="0" fontId="32" fillId="5" borderId="6" xfId="0" applyNumberFormat="1" applyFont="1" applyFill="1" applyBorder="1" applyAlignment="1">
      <x:alignment wrapText="1"/>
    </x:xf>
    <x:xf numFmtId="0" fontId="12" fillId="7" borderId="0" xfId="0" applyNumberFormat="1" applyFont="1" applyFill="1" applyBorder="1" applyAlignment="1">
      <x:alignment vertical="top" wrapText="1"/>
    </x:xf>
    <x:xf numFmtId="0" fontId="15" fillId="7" borderId="0" xfId="0" applyNumberFormat="1" applyFont="1" applyFill="1" applyBorder="1"/>
    <x:xf numFmtId="0" fontId="0" fillId="7" borderId="0" xfId="0" applyNumberFormat="1" applyFont="1" applyFill="1" applyBorder="1"/>
    <x:xf numFmtId="0" fontId="12" fillId="7" borderId="6" xfId="0" applyNumberFormat="1" applyFont="1" applyFill="1" applyBorder="1" applyAlignment="1">
      <x:alignment vertical="top" wrapText="1"/>
    </x:xf>
    <x:xf numFmtId="0" fontId="15" fillId="7" borderId="6" xfId="0" applyNumberFormat="1" applyFont="1" applyFill="1" applyBorder="1"/>
    <x:xf numFmtId="0" fontId="0" fillId="7" borderId="6" xfId="0" applyNumberFormat="1" applyFont="1" applyFill="1" applyBorder="1"/>
    <x:xf numFmtId="0" fontId="10" fillId="7" borderId="0" xfId="0" applyNumberFormat="1" applyFont="1" applyFill="1" applyBorder="1"/>
    <x:xf numFmtId="0" fontId="10" fillId="7" borderId="6" xfId="0" applyNumberFormat="1" applyFont="1" applyFill="1" applyBorder="1"/>
    <x:xf numFmtId="0" fontId="33" fillId="7" borderId="0" xfId="0" applyNumberFormat="1" applyFont="1" applyFill="1" applyBorder="1" applyAlignment="1">
      <x:alignment vertical="top" wrapText="1"/>
    </x:xf>
    <x:xf numFmtId="0" fontId="34" fillId="7" borderId="0" xfId="0" applyNumberFormat="1" applyFont="1" applyFill="1" applyBorder="1"/>
    <x:xf numFmtId="0" fontId="33" fillId="7" borderId="6" xfId="0" applyNumberFormat="1" applyFont="1" applyFill="1" applyBorder="1" applyAlignment="1">
      <x:alignment vertical="top" wrapText="1"/>
    </x:xf>
    <x:xf numFmtId="0" fontId="34" fillId="7" borderId="6" xfId="0" applyNumberFormat="1" applyFont="1" applyFill="1" applyBorder="1"/>
    <x:xf numFmtId="0" fontId="35" fillId="7" borderId="0" xfId="0" applyNumberFormat="1" applyFont="1" applyFill="1" applyBorder="1" applyAlignment="1">
      <x:alignment vertical="top" wrapText="1"/>
    </x:xf>
    <x:xf numFmtId="0" fontId="36" fillId="7" borderId="0" xfId="0" applyNumberFormat="1" applyFont="1" applyFill="1" applyBorder="1"/>
    <x:xf numFmtId="0" fontId="35" fillId="7" borderId="6" xfId="0" applyNumberFormat="1" applyFont="1" applyFill="1" applyBorder="1" applyAlignment="1">
      <x:alignment vertical="top" wrapText="1"/>
    </x:xf>
    <x:xf numFmtId="0" fontId="36" fillId="7" borderId="6" xfId="0" applyNumberFormat="1" applyFont="1" applyFill="1" applyBorder="1"/>
    <x:xf numFmtId="0" fontId="36" fillId="7" borderId="0" xfId="0" applyNumberFormat="1" applyFont="1" applyFill="1" applyBorder="1" applyAlignment="1">
      <x:alignment wrapText="1"/>
    </x:xf>
    <x:xf numFmtId="0" fontId="36" fillId="7" borderId="6" xfId="0" applyNumberFormat="1" applyFont="1" applyFill="1" applyBorder="1" applyAlignment="1">
      <x:alignment wrapText="1"/>
    </x:xf>
    <x:xf numFmtId="0" fontId="12" fillId="5" borderId="0" xfId="0" applyNumberFormat="1" applyFont="1" applyFill="1" applyBorder="1" applyAlignment="1">
      <x:alignment vertical="top" wrapText="1"/>
    </x:xf>
    <x:xf numFmtId="0" fontId="12" fillId="5" borderId="6" xfId="0" applyNumberFormat="1" applyFont="1" applyFill="1" applyBorder="1" applyAlignment="1">
      <x:alignment vertical="top" wrapText="1"/>
    </x:xf>
    <x:xf numFmtId="0" fontId="33" fillId="5" borderId="0" xfId="0" applyNumberFormat="1" applyFont="1" applyFill="1" applyBorder="1" applyAlignment="1">
      <x:alignment vertical="top" wrapText="1"/>
    </x:xf>
    <x:xf numFmtId="0" fontId="34" fillId="5" borderId="0" xfId="0" applyNumberFormat="1" applyFont="1" applyFill="1" applyBorder="1"/>
    <x:xf numFmtId="0" fontId="33" fillId="5" borderId="6" xfId="0" applyNumberFormat="1" applyFont="1" applyFill="1" applyBorder="1" applyAlignment="1">
      <x:alignment vertical="top" wrapText="1"/>
    </x:xf>
    <x:xf numFmtId="0" fontId="34" fillId="5" borderId="6" xfId="0" applyNumberFormat="1" applyFont="1" applyFill="1" applyBorder="1"/>
    <x:xf numFmtId="0" fontId="37" fillId="5" borderId="0" xfId="0" applyNumberFormat="1" applyFont="1" applyFill="1" applyBorder="1" applyAlignment="1">
      <x:alignment vertical="top" wrapText="1"/>
    </x:xf>
    <x:xf numFmtId="0" fontId="38" fillId="5" borderId="0" xfId="0" applyNumberFormat="1" applyFont="1" applyFill="1" applyBorder="1"/>
    <x:xf numFmtId="0" fontId="37" fillId="5" borderId="6" xfId="0" applyNumberFormat="1" applyFont="1" applyFill="1" applyBorder="1" applyAlignment="1">
      <x:alignment vertical="top" wrapText="1"/>
    </x:xf>
    <x:xf numFmtId="0" fontId="38" fillId="5" borderId="6" xfId="0" applyNumberFormat="1" applyFont="1" applyFill="1" applyBorder="1"/>
    <x:xf numFmtId="0" fontId="38" fillId="5" borderId="0" xfId="0" applyNumberFormat="1" applyFont="1" applyFill="1" applyBorder="1" applyAlignment="1">
      <x:alignment wrapText="1"/>
    </x:xf>
  </x:cellXfs>
  <x:cellStyles count="1">
    <x:cellStyle name="Normal" xfId="0"/>
  </x:cellStyles>
  <x:dxfs count="2">
    <x:dxf>
      <x:fill>
        <x:patternFill>
          <x:bgColor rgb="00F4A9A9"/>
        </x:patternFill>
      </x:fill>
    </x:dxf>
    <x:dxf>
      <x:fill>
        <x:patternFill>
          <x:bgColor rgb="00FFD966"/>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4f39372526b14246" /><Relationship Type="http://schemas.openxmlformats.org/officeDocument/2006/relationships/theme" Target="/xl/theme/theme1.xml" Id="Rdc8c696cd20d4af6" /><Relationship Type="http://schemas.openxmlformats.org/officeDocument/2006/relationships/sharedStrings" Target="/xl/sharedStrings.xml" Id="Rc49b3a7f85c045aa" /><Relationship Type="http://schemas.openxmlformats.org/officeDocument/2006/relationships/worksheet" Target="/xl/worksheets/sheet1.xml" Id="R8878f45059f64a59" /><Relationship Type="http://schemas.openxmlformats.org/officeDocument/2006/relationships/worksheet" Target="/xl/worksheets/sheet2.xml" Id="R5db40b79cf2a4ac3" /><Relationship Type="http://schemas.openxmlformats.org/officeDocument/2006/relationships/worksheet" Target="/xl/worksheets/sheet3.xml" Id="R928d537cced34ea0" /><Relationship Type="http://schemas.openxmlformats.org/officeDocument/2006/relationships/worksheet" Target="/xl/worksheets/sheet4.xml" Id="R22e00cdcec694fc4" /><Relationship Type="http://schemas.openxmlformats.org/officeDocument/2006/relationships/worksheet" Target="/xl/worksheets/sheet5.xml" Id="R331a721a82574f8e" /><Relationship Type="http://schemas.openxmlformats.org/officeDocument/2006/relationships/worksheet" Target="/xl/worksheets/sheet6.xml" Id="R08f93c9da9314a85" /><Relationship Type="http://schemas.microsoft.com/office/2017/10/relationships/person" Target="/xl/persons/person.xml" Id="R6d5039f359cb40f7" /></Relationships>
</file>

<file path=xl/persons/person.xml><?xml version="1.0" encoding="utf-8"?>
<xltc:personList xmlns:xltc="http://schemas.microsoft.com/office/spreadsheetml/2018/threadedcomments">
  <xltc:person displayName="Маржа в бетоне" id="{58584E04-1E0B-81BE-2B06-A047481EA64F}"/>
</xltc: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comments" Target="/xl/comments1.xml" Id="Rb6cbf0041a5b494f" /><Relationship Type="http://schemas.openxmlformats.org/officeDocument/2006/relationships/vmlDrawing" Target="/xl/drawings/vmldrawing.vml" Id="R21dcfc93f2914ab1" /></Relationships>
</file>

<file path=xl/worksheets/sheet1.xml><?xml version="1.0" encoding="utf-8"?>
<x:worksheet xmlns:x="http://schemas.openxmlformats.org/spreadsheetml/2006/main">
  <x:sheetPr>
    <x:pageSetUpPr fitToPage="1"/>
  </x:sheetPr>
  <x:sheetFormatPr baseColWidth="8" defaultRowHeight="15"/>
  <x:cols>
    <x:col min="1" max="1" width="38" customWidth="1"/>
    <x:col min="2" max="2" width="60" customWidth="1"/>
    <x:col min="3" max="3" width="4" customWidth="1"/>
    <x:col min="4" max="4" width="54" customWidth="1"/>
  </x:cols>
  <x:sheetData>
    <x:row r="1" ht="31" customHeight="1">
      <x:c r="A1" s="76" t="inlineStr">
        <x:is>
          <x:t xml:space="preserve">Опись доказательств по дефекту: спорная зона</x:t>
        </x:is>
      </x:c>
      <x:c r="B1" s="76"/>
      <x:c r="C1" s="76"/>
      <x:c r="D1" s="76"/>
      <x:c r="E1" s="76"/>
      <x:c r="F1" s="76"/>
      <x:c r="G1" s="58"/>
      <x:c r="H1" s="58"/>
      <x:c r="I1" s="58"/>
    </x:row>
    <x:row r="2">
      <x:c r="A2" s="86" t="inlineStr">
        <x:is>
          <x:t xml:space="preserve">Прочитайте до того, как заполнять</x:t>
        </x:is>
      </x:c>
      <x:c r="B2" s="86"/>
      <x:c r="C2" s="86"/>
      <x:c r="D2" s="86"/>
      <x:c r="E2" s="86"/>
      <x:c r="F2" s="86"/>
      <x:c r="G2" s="58"/>
      <x:c r="H2" s="58"/>
      <x:c r="I2" s="58"/>
    </x:row>
    <x:row r="3" ht="47" customHeight="1">
      <x:c r="A3" s="176" t="str">
        <x:v>Рабочая карточка спорной зоны: внесите сведения по договору, претензии, фактическому состоянию участка и документам. Каждое обстоятельство подтвердите приложением.</x:v>
      </x:c>
      <x:c r="B3" s="180"/>
      <x:c r="C3" s="180"/>
      <x:c r="D3" s="180"/>
      <x:c r="E3" s="58"/>
      <x:c r="F3" s="58"/>
      <x:c r="G3" s="58"/>
      <x:c r="H3" s="58"/>
      <x:c r="I3" s="58"/>
    </x:row>
    <x:row r="4" ht="30" customHeight="1">
      <x:c r="A4" s="59" t="inlineStr">
        <x:is>
          <x:t xml:space="preserve">Объект</x:t>
        </x:is>
      </x:c>
      <x:c r="B4" s="60" t="inlineStr">
        <x:is>
          <x:t xml:space="preserve">{{ОБЪЕКТ}}</x:t>
        </x:is>
      </x:c>
      <x:c r="C4" s="58"/>
      <x:c r="D4" s="58"/>
      <x:c r="E4" s="58"/>
      <x:c r="F4" s="58"/>
      <x:c r="G4" s="58"/>
      <x:c r="H4" s="58"/>
      <x:c r="I4" s="58"/>
    </x:row>
    <x:row r="5" ht="30" customHeight="1">
      <x:c r="A5" s="59" t="inlineStr">
        <x:is>
          <x:t xml:space="preserve">Договор</x:t>
        </x:is>
      </x:c>
      <x:c r="B5" s="60" t="inlineStr">
        <x:is>
          <x:t xml:space="preserve">{{НОМЕР_ДОГОВОРА}} от {{ДАТА_ДОГОВОРА}}</x:t>
        </x:is>
      </x:c>
      <x:c r="C5" s="58"/>
      <x:c r="D5" s="58"/>
      <x:c r="E5" s="58"/>
      <x:c r="F5" s="58"/>
      <x:c r="G5" s="58"/>
      <x:c r="H5" s="58"/>
      <x:c r="I5" s="58"/>
    </x:row>
    <x:row r="6" ht="30" customHeight="1">
      <x:c r="A6" s="59" t="inlineStr">
        <x:is>
          <x:t xml:space="preserve">Стороны</x:t>
        </x:is>
      </x:c>
      <x:c r="B6" s="60" t="inlineStr">
        <x:is>
          <x:t xml:space="preserve">{{НАИМЕНОВАНИЕ_ПОДРЯДЧИКА}}, {{НАИМЕНОВАНИЕ_ГЕНПОДРЯДЧИКА}}, {{НАИМЕНОВАНИЕ_ЗАКАЗЧИКА}}</x:t>
        </x:is>
      </x:c>
      <x:c r="C6" s="58"/>
      <x:c r="D6" s="49" t="inlineStr">
        <x:is>
          <x:t xml:space="preserve">по применимости</x:t>
        </x:is>
      </x:c>
      <x:c r="E6" s="58"/>
      <x:c r="F6" s="58"/>
      <x:c r="G6" s="58"/>
      <x:c r="H6" s="58"/>
      <x:c r="I6" s="58"/>
    </x:row>
    <x:row r="7" ht="30" customHeight="1">
      <x:c r="A7" s="59" t="inlineStr">
        <x:is>
          <x:t xml:space="preserve">Спорная зона</x:t>
        </x:is>
      </x:c>
      <x:c r="B7" s="60" t="inlineStr">
        <x:is>
          <x:t xml:space="preserve">{{УЧАСТОК_ОСИ_ОТМЕТКИ}}</x:t>
        </x:is>
      </x:c>
      <x:c r="C7" s="58"/>
      <x:c r="D7" s="49" t="inlineStr">
        <x:is>
          <x:t xml:space="preserve">помещение, оси, отметки, конструкция</x:t>
        </x:is>
      </x:c>
      <x:c r="E7" s="58"/>
      <x:c r="F7" s="58"/>
      <x:c r="G7" s="58"/>
      <x:c r="H7" s="58"/>
      <x:c r="I7" s="58"/>
    </x:row>
    <x:row r="8" ht="30" customHeight="1">
      <x:c r="A8" s="59" t="inlineStr">
        <x:is>
          <x:t xml:space="preserve">Что заявлено</x:t>
        </x:is>
      </x:c>
      <x:c r="B8" s="60" t="inlineStr">
        <x:is>
          <x:t xml:space="preserve">{{ОПИСАНИЕ_ДЕФЕКТА_ИЗ_ПРЕТЕНЗИИ}}</x:t>
        </x:is>
      </x:c>
      <x:c r="C8" s="58"/>
      <x:c r="D8" s="49" t="inlineStr">
        <x:is>
          <x:t xml:space="preserve">дословно из письма оппонента</x:t>
        </x:is>
      </x:c>
      <x:c r="E8" s="58"/>
      <x:c r="F8" s="58"/>
      <x:c r="G8" s="58"/>
      <x:c r="H8" s="58"/>
      <x:c r="I8" s="58"/>
    </x:row>
    <x:row r="9" ht="30" customHeight="1">
      <x:c r="A9" s="59" t="inlineStr">
        <x:is>
          <x:t xml:space="preserve">Дата сдачи участка</x:t>
        </x:is>
      </x:c>
      <x:c r="B9" s="60" t="inlineStr">
        <x:is>
          <x:t xml:space="preserve">{{ДАТА_СДАЧИ_УЧАСТКА}}</x:t>
        </x:is>
      </x:c>
      <x:c r="C9" s="58"/>
      <x:c r="D9" s="58"/>
      <x:c r="E9" s="58"/>
      <x:c r="F9" s="58"/>
      <x:c r="G9" s="58"/>
      <x:c r="H9" s="58"/>
      <x:c r="I9" s="58"/>
    </x:row>
    <x:row r="10" ht="30" customHeight="1">
      <x:c r="A10" s="59" t="inlineStr">
        <x:is>
          <x:t xml:space="preserve">Дата обнаружения дефекта</x:t>
        </x:is>
      </x:c>
      <x:c r="B10" s="60" t="inlineStr">
        <x:is>
          <x:t xml:space="preserve">{{ДАТА_ОБНАРУЖЕНИЯ_ДЕФЕКТА}}</x:t>
        </x:is>
      </x:c>
      <x:c r="C10" s="58"/>
      <x:c r="D10" s="49" t="inlineStr">
        <x:is>
          <x:t xml:space="preserve">как названа оппонентом, а не ваша оценка</x:t>
        </x:is>
      </x:c>
      <x:c r="E10" s="58"/>
      <x:c r="F10" s="58"/>
      <x:c r="G10" s="58"/>
      <x:c r="H10" s="58"/>
      <x:c r="I10" s="58"/>
    </x:row>
    <x:row r="11" ht="30" customHeight="1">
      <x:c r="A11" s="59" t="inlineStr">
        <x:is>
          <x:t xml:space="preserve">Реквизиты претензии или акта</x:t>
        </x:is>
      </x:c>
      <x:c r="B11" s="60" t="inlineStr">
        <x:is>
          <x:t xml:space="preserve">{{НОМЕР_ПРЕТЕНЗИИ}} от {{ДАТА_ПРЕТЕНЗИИ}}, получена {{ДАТА_ПОЛУЧЕНИЯ_ПРЕТЕНЗИИ}}</x:t>
        </x:is>
      </x:c>
      <x:c r="C11" s="58"/>
      <x:c r="D11" s="58"/>
      <x:c r="E11" s="58"/>
      <x:c r="F11" s="58"/>
      <x:c r="G11" s="58"/>
      <x:c r="H11" s="58"/>
      <x:c r="I11" s="58"/>
    </x:row>
    <x:row r="12" ht="30" customHeight="1">
      <x:c r="A12" s="59" t="inlineStr">
        <x:is>
          <x:t xml:space="preserve">Чужое заключение представлено</x:t>
        </x:is>
      </x:c>
      <x:c r="B12" s="60" t="inlineStr">
        <x:is>
          <x:t xml:space="preserve">да / нет</x:t>
        </x:is>
      </x:c>
      <x:c r="C12" s="58"/>
      <x:c r="D12" s="49" t="inlineStr">
        <x:is>
          <x:t xml:space="preserve">при «да» — {{РЕКВИЗИТЫ_ЗАКЛЮЧЕНИЯ}}, {{КЕМ_СОСТАВЛЕНО_ЗАКЛЮЧЕНИЕ}}</x:t>
        </x:is>
      </x:c>
      <x:c r="E12" s="58"/>
      <x:c r="F12" s="58"/>
      <x:c r="G12" s="58"/>
      <x:c r="H12" s="58"/>
      <x:c r="I12" s="58"/>
    </x:row>
    <x:row r="13" ht="30" customHeight="1">
      <x:c r="A13" s="59" t="inlineStr">
        <x:is>
          <x:t xml:space="preserve">Ведущий вид работ</x:t>
        </x:is>
      </x:c>
      <x:c r="B13" s="60" t="inlineStr">
        <x:is>
          <x:t xml:space="preserve"/>
        </x:is>
      </x:c>
      <x:c r="C13" s="58"/>
      <x:c r="D13" s="49" t="inlineStr">
        <x:is>
          <x:t xml:space="preserve">выбор из справочника листа «Виды»: определяет, какой блок обязательного минимума применяется</x:t>
        </x:is>
      </x:c>
      <x:c r="E13" s="58"/>
      <x:c r="F13" s="58"/>
      <x:c r="G13" s="58"/>
      <x:c r="H13" s="58"/>
      <x:c r="I13" s="58"/>
    </x:row>
    <x:row r="14" ht="30" customHeight="1">
      <x:c r="A14" s="59" t="inlineStr">
        <x:is>
          <x:t xml:space="preserve">Порог ожидания ответа на запрос, дней</x:t>
        </x:is>
      </x:c>
      <x:c r="B14" s="61" t="inlineStr">
        <x:is>
          <x:t xml:space="preserve"/>
        </x:is>
      </x:c>
      <x:c r="C14" s="58"/>
      <x:c r="D14" s="49" t="inlineStr">
        <x:is>
          <x:t xml:space="preserve">{{ПОРОГ_ОЖИДАНИЯ_ОТВЕТА_ДНЕЙ}} — число дней, после которого запрос без ответа подсвечивается жёлтым. Задаёте вы; пока поле пусто, жёлтая подсветка молчит</x:t>
        </x:is>
      </x:c>
      <x:c r="E14" s="58"/>
      <x:c r="F14" s="58"/>
      <x:c r="G14" s="58"/>
      <x:c r="H14" s="58"/>
      <x:c r="I14" s="58"/>
    </x:row>
    <x:row r="15">
      <x:c r="A15" s="58"/>
      <x:c r="B15" s="58"/>
      <x:c r="C15" s="58"/>
      <x:c r="D15" s="58"/>
      <x:c r="E15" s="58"/>
      <x:c r="F15" s="58"/>
      <x:c r="G15" s="58"/>
      <x:c r="H15" s="58"/>
      <x:c r="I15" s="58"/>
    </x:row>
    <x:row r="16" ht="60" customHeight="1">
      <x:c r="A16" s="49" t="inlineStr">
        <x:is>
          <x:t xml:space="preserve">Паспорт зоны заполняется один раз и подставляется в остальные листы. Файл ведётся по одной спорной зоне: на вторую зону возьмите вторую копию файла — сводка по двум зонам в одном файле смешала бы дыры разных споров. Вычисляемых значений на этом листе нет, все поля вводятся; строки не вставляйте и не удаляйте: ведущий вид работ и порог ожидания ответа адресуются с других листов по номеру строки.</x:t>
        </x:is>
      </x:c>
      <x:c r="B16" s="58"/>
      <x:c r="C16" s="58"/>
      <x:c r="D16" s="58"/>
      <x:c r="E16" s="58"/>
      <x:c r="F16" s="58"/>
      <x:c r="G16" s="58"/>
      <x:c r="H16" s="58"/>
      <x:c r="I16" s="58"/>
    </x:row>
    <x:row r="17">
      <x:c r="A17" s="58"/>
      <x:c r="B17" s="58"/>
      <x:c r="C17" s="58"/>
      <x:c r="D17" s="58"/>
      <x:c r="E17" s="58"/>
      <x:c r="F17" s="58"/>
      <x:c r="G17" s="58"/>
      <x:c r="H17" s="58"/>
      <x:c r="I17" s="58"/>
    </x:row>
    <x:row r="18">
      <x:c r="A18" s="58"/>
      <x:c r="B18" s="58"/>
      <x:c r="C18" s="58"/>
      <x:c r="D18" s="58"/>
      <x:c r="E18" s="58"/>
      <x:c r="F18" s="58"/>
      <x:c r="G18" s="58"/>
      <x:c r="H18" s="58"/>
      <x:c r="I18" s="58"/>
    </x:row>
    <x:row r="19">
      <x:c r="A19" s="58"/>
      <x:c r="B19" s="58"/>
      <x:c r="C19" s="58"/>
      <x:c r="D19" s="58"/>
      <x:c r="E19" s="58"/>
      <x:c r="F19" s="58"/>
      <x:c r="G19" s="58"/>
      <x:c r="H19" s="58"/>
      <x:c r="I19" s="58"/>
    </x:row>
    <x:row r="20">
      <x:c r="A20" s="58"/>
      <x:c r="B20" s="58"/>
      <x:c r="C20" s="58"/>
      <x:c r="D20" s="58"/>
      <x:c r="E20" s="58"/>
      <x:c r="F20" s="58"/>
      <x:c r="G20" s="58"/>
      <x:c r="H20" s="58"/>
      <x:c r="I20" s="58"/>
    </x:row>
    <x:row r="21">
      <x:c r="A21" s="58"/>
      <x:c r="B21" s="58"/>
      <x:c r="C21" s="58"/>
      <x:c r="D21" s="58"/>
      <x:c r="E21" s="58"/>
      <x:c r="F21" s="58"/>
      <x:c r="G21" s="58"/>
      <x:c r="H21" s="58"/>
      <x:c r="I21" s="58"/>
    </x:row>
    <x:row r="22">
      <x:c r="A22" s="58"/>
      <x:c r="B22" s="58"/>
      <x:c r="C22" s="58"/>
      <x:c r="D22" s="58"/>
      <x:c r="E22" s="58"/>
      <x:c r="F22" s="58"/>
      <x:c r="G22" s="58"/>
      <x:c r="H22" s="58"/>
      <x:c r="I22" s="58"/>
    </x:row>
    <x:row r="23">
      <x:c r="A23" s="58"/>
      <x:c r="B23" s="58"/>
      <x:c r="C23" s="58"/>
      <x:c r="D23" s="58"/>
      <x:c r="E23" s="58"/>
      <x:c r="F23" s="58"/>
      <x:c r="G23" s="58"/>
      <x:c r="H23" s="58"/>
      <x:c r="I23" s="58"/>
    </x:row>
    <x:row r="24">
      <x:c r="A24" s="58"/>
      <x:c r="B24" s="58"/>
      <x:c r="C24" s="58"/>
      <x:c r="D24" s="58"/>
      <x:c r="E24" s="58"/>
      <x:c r="F24" s="58"/>
      <x:c r="G24" s="58"/>
      <x:c r="H24" s="58"/>
      <x:c r="I24" s="58"/>
    </x:row>
    <x:row r="25">
      <x:c r="A25" s="58"/>
      <x:c r="B25" s="58"/>
      <x:c r="C25" s="58"/>
      <x:c r="D25" s="58"/>
      <x:c r="E25" s="58"/>
      <x:c r="F25" s="58"/>
      <x:c r="G25" s="58"/>
      <x:c r="H25" s="58"/>
      <x:c r="I25" s="58"/>
    </x:row>
    <x:row r="26">
      <x:c r="A26" s="58"/>
      <x:c r="B26" s="58"/>
      <x:c r="C26" s="58"/>
      <x:c r="D26" s="58"/>
      <x:c r="E26" s="58"/>
      <x:c r="F26" s="58"/>
      <x:c r="G26" s="58"/>
      <x:c r="H26" s="58"/>
      <x:c r="I26" s="58"/>
    </x:row>
    <x:row r="27">
      <x:c r="A27" s="58"/>
      <x:c r="B27" s="58"/>
      <x:c r="C27" s="58"/>
      <x:c r="D27" s="58"/>
      <x:c r="E27" s="58"/>
      <x:c r="F27" s="58"/>
      <x:c r="G27" s="58"/>
      <x:c r="H27" s="58"/>
      <x:c r="I27" s="58"/>
    </x:row>
    <x:row r="28">
      <x:c r="A28" s="58"/>
      <x:c r="B28" s="58"/>
      <x:c r="C28" s="58"/>
      <x:c r="D28" s="58"/>
      <x:c r="E28" s="58"/>
      <x:c r="F28" s="58"/>
      <x:c r="G28" s="58"/>
      <x:c r="H28" s="58"/>
      <x:c r="I28" s="58"/>
    </x:row>
  </x:sheetData>
  <x:mergeCells>
    <x:mergeCell ref="A3:D3"/>
    <x:mergeCell ref="A16:D16"/>
  </x:mergeCells>
  <x:dataValidations count="1">
    <x:dataValidation type="list" allowBlank="1" showDropDown="0" showInputMessage="0" showErrorMessage="0" error="Выберите ведущий вид работ из справочника листа «Виды»" sqref="B13">
      <x:formula1>'Виды'!$E$3:$E$8</x:formula1>
    </x:dataValidation>
  </x:dataValidations>
  <x:pageMargins left="0.3" right="0.3" top="0.4" bottom="0.4" header="0.2" footer="0.2"/>
  <x:pageSetup paperSize="9" orientation="landscape" fitToWidth="1" fitToHeight="0"/>
</x:worksheet>
</file>

<file path=xl/worksheets/sheet2.xml><?xml version="1.0" encoding="utf-8"?>
<x:worksheet xmlns:x="http://schemas.openxmlformats.org/spreadsheetml/2006/main">
  <x:sheetPr>
    <x:pageSetUpPr fitToPage="1"/>
  </x:sheetPr>
  <x:sheetViews>
    <x:sheetView workbookViewId="0">
      <x:pane ySplit="6" topLeftCell="A7" activePane="bottomLeft" state="frozen"/>
    </x:sheetView>
  </x:sheetViews>
  <x:sheetFormatPr baseColWidth="8" defaultRowHeight="15"/>
  <x:cols>
    <x:col min="1" max="1" width="5" customWidth="1"/>
    <x:col min="2" max="2" width="26" customWidth="1"/>
    <x:col min="3" max="3" width="30" customWidth="1"/>
    <x:col min="4" max="4" width="24" customWidth="1"/>
    <x:col min="5" max="5" width="13" customWidth="1"/>
    <x:col min="6" max="6" width="22" customWidth="1"/>
    <x:col min="7" max="7" width="12" customWidth="1"/>
    <x:col min="8" max="8" width="24" customWidth="1"/>
    <x:col min="9" max="9" width="22" customWidth="1"/>
    <x:col min="10" max="10" width="14" customWidth="1"/>
    <x:col min="11" max="11" width="13" customWidth="1"/>
    <x:col min="12" max="12" width="15" customWidth="1"/>
    <x:col min="13" max="13" width="22" customWidth="1"/>
    <x:col min="14" max="14" width="15" customWidth="1"/>
    <x:col min="15" max="15" width="15" customWidth="1"/>
    <x:col min="16" max="16" width="15" customWidth="1"/>
    <x:col min="17" max="17" width="13" customWidth="1"/>
    <x:col min="18" max="18" width="14" customWidth="1"/>
    <x:col min="19" max="19" width="34" customWidth="1"/>
    <x:col min="20" max="20" width="26" customWidth="1"/>
    <x:col min="21" max="21" width="34" customWidth="1"/>
  </x:cols>
  <x:sheetData>
    <x:row r="1" ht="31" customHeight="1">
      <x:c r="A1" s="76" t="inlineStr">
        <x:is>
          <x:t xml:space="preserve">Опись доказательств по дефекту</x:t>
        </x:is>
      </x:c>
      <x:c r="B1" s="76"/>
      <x:c r="C1" s="76"/>
      <x:c r="D1" s="76"/>
      <x:c r="E1" s="76"/>
      <x:c r="F1" s="76"/>
      <x:c r="G1" s="76"/>
      <x:c r="H1" s="76"/>
      <x:c r="I1" s="76"/>
      <x:c r="J1" s="76"/>
      <x:c r="K1" s="76"/>
      <x:c r="L1" s="76"/>
      <x:c r="M1" s="76"/>
      <x:c r="N1" s="76"/>
    </x:row>
    <x:row r="2">
      <x:c r="A2" s="88" t="inlineStr">
        <x:is>
          <x:t xml:space="preserve">Жёлтые колонки заполняете вы, по одной строке на документ. Колонки «№» и «Состояние» считаются сами. Заполняется по одной спорной зоне — той, что описана на листе «Спорная зона».</x:t>
        </x:is>
      </x:c>
      <x:c r="B2" s="58"/>
      <x:c r="C2" s="58"/>
      <x:c r="D2" s="58"/>
      <x:c r="E2" s="58"/>
      <x:c r="F2" s="58"/>
      <x:c r="G2" s="58"/>
      <x:c r="H2" s="58"/>
      <x:c r="I2" s="58"/>
      <x:c r="J2" s="58"/>
      <x:c r="K2" s="58"/>
      <x:c r="L2" s="58"/>
      <x:c r="M2" s="58"/>
      <x:c r="N2" s="58"/>
    </x:row>
    <x:row r="3" ht="30" customHeight="1">
      <x:c r="A3" s="146" t="inlineStr">
        <x:is>
          <x:t xml:space="preserve">Прочитайте до того, как заполнять</x:t>
        </x:is>
      </x:c>
      <x:c r="B3" s="146"/>
      <x:c r="C3" s="146"/>
      <x:c r="D3" s="146"/>
      <x:c r="E3" s="146"/>
      <x:c r="F3" s="146"/>
      <x:c r="G3" s="146"/>
      <x:c r="H3" s="146"/>
      <x:c r="I3" s="146"/>
      <x:c r="J3" s="146"/>
      <x:c r="K3" s="146"/>
      <x:c r="L3" s="146"/>
      <x:c r="M3" s="146"/>
      <x:c r="N3" s="146"/>
      <x:c r="O3" s="150"/>
      <x:c r="P3" s="150"/>
      <x:c r="Q3" s="150"/>
      <x:c r="R3" s="150"/>
      <x:c r="S3" s="150"/>
      <x:c r="T3" s="150"/>
      <x:c r="U3" s="150"/>
    </x:row>
    <x:row r="4" ht="48" customHeight="1">
      <x:c r="A4" s="164" t="str">
        <x:v>Порядок заполнения: внесите документы, относящиеся к спорной зоне, укажите их наличие, доказательственное значение и факт передачи эксперту.</x:v>
      </x:c>
      <x:c r="B4" s="168"/>
      <x:c r="C4" s="168"/>
      <x:c r="D4" s="168"/>
      <x:c r="E4" s="168"/>
      <x:c r="F4" s="168"/>
      <x:c r="G4" s="168"/>
      <x:c r="H4" s="168"/>
      <x:c r="I4" s="168"/>
      <x:c r="J4" s="168"/>
      <x:c r="K4" s="168"/>
      <x:c r="L4" s="168"/>
      <x:c r="M4" s="168"/>
      <x:c r="N4" s="168"/>
      <x:c r="O4" s="168"/>
      <x:c r="P4" s="168"/>
      <x:c r="Q4" s="168"/>
      <x:c r="R4" s="168"/>
      <x:c r="S4" s="168"/>
      <x:c r="T4" s="168"/>
      <x:c r="U4" s="168"/>
    </x:row>
    <x:row r="5">
      <x:c r="A5" s="58"/>
      <x:c r="B5" s="58"/>
      <x:c r="C5" s="58"/>
      <x:c r="D5" s="58"/>
      <x:c r="E5" s="58"/>
      <x:c r="F5" s="58"/>
      <x:c r="G5" s="58"/>
      <x:c r="H5" s="58"/>
      <x:c r="I5" s="58"/>
      <x:c r="J5" s="58"/>
      <x:c r="K5" s="58"/>
      <x:c r="L5" s="58"/>
      <x:c r="M5" s="58"/>
      <x:c r="N5" s="58"/>
    </x:row>
    <x:row r="6" ht="35" customHeight="1">
      <x:c r="A6" s="99" t="inlineStr">
        <x:is>
          <x:t xml:space="preserve">№</x:t>
        </x:is>
      </x:c>
      <x:c r="B6" s="99" t="inlineStr">
        <x:is>
          <x:t xml:space="preserve">Вид документа</x:t>
        </x:is>
      </x:c>
      <x:c r="C6" s="99" t="inlineStr">
        <x:is>
          <x:t xml:space="preserve">Наименование и реквизиты</x:t>
        </x:is>
      </x:c>
      <x:c r="D6" s="99" t="inlineStr">
        <x:is>
          <x:t xml:space="preserve">К чему относится</x:t>
        </x:is>
      </x:c>
      <x:c r="E6" s="99" t="inlineStr">
        <x:is>
          <x:t xml:space="preserve">Дата документа</x:t>
        </x:is>
      </x:c>
      <x:c r="F6" s="99" t="inlineStr">
        <x:is>
          <x:t xml:space="preserve">Кем подписан</x:t>
        </x:is>
      </x:c>
      <x:c r="G6" s="99" t="inlineStr">
        <x:is>
          <x:t xml:space="preserve">Наличие</x:t>
        </x:is>
      </x:c>
      <x:c r="H6" s="99" t="inlineStr">
        <x:is>
          <x:t xml:space="preserve">Где находится</x:t>
        </x:is>
      </x:c>
      <x:c r="I6" s="99" t="inlineStr">
        <x:is>
          <x:t xml:space="preserve">Что подтверждает</x:t>
        </x:is>
      </x:c>
      <x:c r="J6" s="99" t="inlineStr">
        <x:is>
          <x:t xml:space="preserve">Обязателен для причины</x:t>
        </x:is>
      </x:c>
      <x:c r="K6" s="99" t="inlineStr">
        <x:is>
          <x:t xml:space="preserve">Передан оппоненту</x:t>
        </x:is>
      </x:c>
      <x:c r="L6" s="99" t="inlineStr">
        <x:is>
          <x:t xml:space="preserve">Дата передачи оппоненту</x:t>
        </x:is>
      </x:c>
      <x:c r="M6" s="99" t="inlineStr">
        <x:is>
          <x:t xml:space="preserve">След передачи</x:t>
        </x:is>
      </x:c>
      <x:c r="N6" s="99" t="inlineStr">
        <x:is>
          <x:t xml:space="preserve">Передан эксперту или в дело</x:t>
        </x:is>
      </x:c>
      <x:c r="O6" s="8" t="inlineStr">
        <x:is>
          <x:t xml:space="preserve">Дата передачи эксперту</x:t>
        </x:is>
      </x:c>
      <x:c r="P6" s="8" t="inlineStr">
        <x:is>
          <x:t xml:space="preserve">Запрошен у другой стороны</x:t>
        </x:is>
      </x:c>
      <x:c r="Q6" s="8" t="inlineStr">
        <x:is>
          <x:t xml:space="preserve">Дата запроса</x:t>
        </x:is>
      </x:c>
      <x:c r="R6" s="8" t="inlineStr">
        <x:is>
          <x:t xml:space="preserve">Получен по запросу</x:t>
        </x:is>
      </x:c>
      <x:c r="S6" s="8" t="inlineStr">
        <x:is>
          <x:t xml:space="preserve">Что ещё относится к этому обстоятельству</x:t>
        </x:is>
      </x:c>
      <x:c r="T6" s="8" t="inlineStr">
        <x:is>
          <x:t xml:space="preserve">Примечание</x:t>
        </x:is>
      </x:c>
      <x:c r="U6" s="8" t="inlineStr">
        <x:is>
          <x:t xml:space="preserve">Состояние</x:t>
        </x:is>
      </x:c>
    </x:row>
    <x:row r="7">
      <x:c r="A7" s="95" t="str">
        <x:f>IF($B7="","",ROW()-6)</x:f>
      </x:c>
      <x:c r="B7" s="96" t="n"/>
      <x:c r="C7" s="96" t="n"/>
      <x:c r="D7" s="96" t="n"/>
      <x:c r="E7" s="97" t="n"/>
      <x:c r="F7" s="96" t="n"/>
      <x:c r="G7" s="96" t="n"/>
      <x:c r="H7" s="96" t="n"/>
      <x:c r="I7" s="96" t="n"/>
      <x:c r="J7" s="96" t="n"/>
      <x:c r="K7" s="96" t="n"/>
      <x:c r="L7" s="97" t="n"/>
      <x:c r="M7" s="96" t="n"/>
      <x:c r="N7" s="96" t="n"/>
      <x:c r="O7" s="11" t="n"/>
      <x:c r="P7" s="10" t="n"/>
      <x:c r="Q7" s="11" t="n"/>
      <x:c r="R7" s="10" t="n"/>
      <x:c r="S7" s="10" t="n"/>
      <x:c r="T7" s="10" t="n"/>
      <x:c r="U7" s="12" t="str">
        <x:f>IF($B7="","",IF(OR(AND($G7&lt;&gt;"оригинал",$G7&lt;&gt;"копия",$G7&lt;&gt;"скан",$G7&lt;&gt;"нет"),AND($J7&lt;&gt;"да",$J7&lt;&gt;"нет")),"НЕ ПРОВЕРЕНО: наличие или обязательность",IF(AND($N7="да",OR($O7="",$M7="")),"передан без следа: эксперт или дата",IF(AND($P7="да",$Q7=""),"НЕ ПРОВЕРЕНО: дата запроса",IF($B7="","",IF(AND($J7="да",$G7="нет",$P7&lt;&gt;"да"),"дыра: обязательного документа нет, запрос не направлен",IF(AND($G7="нет",$P7="да",$R7&lt;&gt;"да"),"запрошен, не получен",IF(AND($G7="нет",$J7&lt;&gt;"да"),"отсутствует, на причину не влияет",IF(AND(OR($K7="да",$N7="да"),$M7=""),"передан без следа",IF(AND($K7="да",$L7=""),"передан без следа","в порядке"))))))))))</x:f>
      </x:c>
    </x:row>
    <x:row r="8">
      <x:c r="A8" s="95" t="str">
        <x:f>IF($B8="","",ROW()-6)</x:f>
      </x:c>
      <x:c r="B8" s="96" t="n"/>
      <x:c r="C8" s="96" t="n"/>
      <x:c r="D8" s="96" t="n"/>
      <x:c r="E8" s="97" t="n"/>
      <x:c r="F8" s="96" t="n"/>
      <x:c r="G8" s="96" t="n"/>
      <x:c r="H8" s="96" t="n"/>
      <x:c r="I8" s="96" t="n"/>
      <x:c r="J8" s="96" t="n"/>
      <x:c r="K8" s="96" t="n"/>
      <x:c r="L8" s="97" t="n"/>
      <x:c r="M8" s="96" t="n"/>
      <x:c r="N8" s="96" t="n"/>
      <x:c r="O8" s="11" t="n"/>
      <x:c r="P8" s="10" t="n"/>
      <x:c r="Q8" s="11" t="n"/>
      <x:c r="R8" s="10" t="n"/>
      <x:c r="S8" s="10" t="n"/>
      <x:c r="T8" s="10" t="n"/>
      <x:c r="U8" s="12" t="str">
        <x:f>IF($B8="","",IF(OR(AND($G8&lt;&gt;"оригинал",$G8&lt;&gt;"копия",$G8&lt;&gt;"скан",$G8&lt;&gt;"нет"),AND($J8&lt;&gt;"да",$J8&lt;&gt;"нет")),"НЕ ПРОВЕРЕНО: наличие или обязательность",IF(AND($N8="да",OR($O8="",$M8="")),"передан без следа: эксперт или дата",IF(AND($P8="да",$Q8=""),"НЕ ПРОВЕРЕНО: дата запроса",IF($B8="","",IF(AND($J8="да",$G8="нет",$P8&lt;&gt;"да"),"дыра: обязательного документа нет, запрос не направлен",IF(AND($G8="нет",$P8="да",$R8&lt;&gt;"да"),"запрошен, не получен",IF(AND($G8="нет",$J8&lt;&gt;"да"),"отсутствует, на причину не влияет",IF(AND(OR($K8="да",$N8="да"),$M8=""),"передан без следа",IF(AND($K8="да",$L8=""),"передан без следа","в порядке"))))))))))</x:f>
      </x:c>
    </x:row>
    <x:row r="9">
      <x:c r="A9" s="95" t="str">
        <x:f>IF($B9="","",ROW()-6)</x:f>
      </x:c>
      <x:c r="B9" s="96" t="n"/>
      <x:c r="C9" s="96" t="n"/>
      <x:c r="D9" s="96" t="n"/>
      <x:c r="E9" s="97" t="n"/>
      <x:c r="F9" s="96" t="n"/>
      <x:c r="G9" s="96" t="n"/>
      <x:c r="H9" s="96" t="n"/>
      <x:c r="I9" s="96" t="n"/>
      <x:c r="J9" s="96" t="n"/>
      <x:c r="K9" s="96" t="n"/>
      <x:c r="L9" s="97" t="n"/>
      <x:c r="M9" s="96" t="n"/>
      <x:c r="N9" s="96" t="n"/>
      <x:c r="O9" s="11" t="n"/>
      <x:c r="P9" s="10" t="n"/>
      <x:c r="Q9" s="11" t="n"/>
      <x:c r="R9" s="10" t="n"/>
      <x:c r="S9" s="10" t="n"/>
      <x:c r="T9" s="10" t="n"/>
      <x:c r="U9" s="12" t="str">
        <x:f>IF($B9="","",IF(OR(AND($G9&lt;&gt;"оригинал",$G9&lt;&gt;"копия",$G9&lt;&gt;"скан",$G9&lt;&gt;"нет"),AND($J9&lt;&gt;"да",$J9&lt;&gt;"нет")),"НЕ ПРОВЕРЕНО: наличие или обязательность",IF(AND($N9="да",OR($O9="",$M9="")),"передан без следа: эксперт или дата",IF(AND($P9="да",$Q9=""),"НЕ ПРОВЕРЕНО: дата запроса",IF($B9="","",IF(AND($J9="да",$G9="нет",$P9&lt;&gt;"да"),"дыра: обязательного документа нет, запрос не направлен",IF(AND($G9="нет",$P9="да",$R9&lt;&gt;"да"),"запрошен, не получен",IF(AND($G9="нет",$J9&lt;&gt;"да"),"отсутствует, на причину не влияет",IF(AND(OR($K9="да",$N9="да"),$M9=""),"передан без следа",IF(AND($K9="да",$L9=""),"передан без следа","в порядке"))))))))))</x:f>
      </x:c>
    </x:row>
    <x:row r="10">
      <x:c r="A10" s="95" t="str">
        <x:f>IF($B10="","",ROW()-6)</x:f>
      </x:c>
      <x:c r="B10" s="96" t="n"/>
      <x:c r="C10" s="96" t="n"/>
      <x:c r="D10" s="96" t="n"/>
      <x:c r="E10" s="97" t="n"/>
      <x:c r="F10" s="96" t="n"/>
      <x:c r="G10" s="96" t="n"/>
      <x:c r="H10" s="96" t="n"/>
      <x:c r="I10" s="96" t="n"/>
      <x:c r="J10" s="96" t="n"/>
      <x:c r="K10" s="96" t="n"/>
      <x:c r="L10" s="97" t="n"/>
      <x:c r="M10" s="96" t="n"/>
      <x:c r="N10" s="96" t="n"/>
      <x:c r="O10" s="11" t="n"/>
      <x:c r="P10" s="10" t="n"/>
      <x:c r="Q10" s="11" t="n"/>
      <x:c r="R10" s="10" t="n"/>
      <x:c r="S10" s="10" t="n"/>
      <x:c r="T10" s="10" t="n"/>
      <x:c r="U10" s="12" t="str">
        <x:f>IF($B10="","",IF(OR(AND($G10&lt;&gt;"оригинал",$G10&lt;&gt;"копия",$G10&lt;&gt;"скан",$G10&lt;&gt;"нет"),AND($J10&lt;&gt;"да",$J10&lt;&gt;"нет")),"НЕ ПРОВЕРЕНО: наличие или обязательность",IF(AND($N10="да",OR($O10="",$M10="")),"передан без следа: эксперт или дата",IF(AND($P10="да",$Q10=""),"НЕ ПРОВЕРЕНО: дата запроса",IF($B10="","",IF(AND($J10="да",$G10="нет",$P10&lt;&gt;"да"),"дыра: обязательного документа нет, запрос не направлен",IF(AND($G10="нет",$P10="да",$R10&lt;&gt;"да"),"запрошен, не получен",IF(AND($G10="нет",$J10&lt;&gt;"да"),"отсутствует, на причину не влияет",IF(AND(OR($K10="да",$N10="да"),$M10=""),"передан без следа",IF(AND($K10="да",$L10=""),"передан без следа","в порядке"))))))))))</x:f>
      </x:c>
    </x:row>
    <x:row r="11">
      <x:c r="A11" s="95" t="str">
        <x:f>IF($B11="","",ROW()-6)</x:f>
      </x:c>
      <x:c r="B11" s="96" t="n"/>
      <x:c r="C11" s="96" t="n"/>
      <x:c r="D11" s="96" t="n"/>
      <x:c r="E11" s="97" t="n"/>
      <x:c r="F11" s="96" t="n"/>
      <x:c r="G11" s="96" t="n"/>
      <x:c r="H11" s="96" t="n"/>
      <x:c r="I11" s="96" t="n"/>
      <x:c r="J11" s="96" t="n"/>
      <x:c r="K11" s="96" t="n"/>
      <x:c r="L11" s="97" t="n"/>
      <x:c r="M11" s="96" t="n"/>
      <x:c r="N11" s="96" t="n"/>
      <x:c r="O11" s="11" t="n"/>
      <x:c r="P11" s="10" t="n"/>
      <x:c r="Q11" s="11" t="n"/>
      <x:c r="R11" s="10" t="n"/>
      <x:c r="S11" s="10" t="n"/>
      <x:c r="T11" s="10" t="n"/>
      <x:c r="U11" s="12" t="str">
        <x:f>IF($B11="","",IF(OR(AND($G11&lt;&gt;"оригинал",$G11&lt;&gt;"копия",$G11&lt;&gt;"скан",$G11&lt;&gt;"нет"),AND($J11&lt;&gt;"да",$J11&lt;&gt;"нет")),"НЕ ПРОВЕРЕНО: наличие или обязательность",IF(AND($N11="да",OR($O11="",$M11="")),"передан без следа: эксперт или дата",IF(AND($P11="да",$Q11=""),"НЕ ПРОВЕРЕНО: дата запроса",IF($B11="","",IF(AND($J11="да",$G11="нет",$P11&lt;&gt;"да"),"дыра: обязательного документа нет, запрос не направлен",IF(AND($G11="нет",$P11="да",$R11&lt;&gt;"да"),"запрошен, не получен",IF(AND($G11="нет",$J11&lt;&gt;"да"),"отсутствует, на причину не влияет",IF(AND(OR($K11="да",$N11="да"),$M11=""),"передан без следа",IF(AND($K11="да",$L11=""),"передан без следа","в порядке"))))))))))</x:f>
      </x:c>
    </x:row>
    <x:row r="12">
      <x:c r="A12" s="95" t="str">
        <x:f>IF($B12="","",ROW()-6)</x:f>
      </x:c>
      <x:c r="B12" s="96" t="n"/>
      <x:c r="C12" s="96" t="n"/>
      <x:c r="D12" s="96" t="n"/>
      <x:c r="E12" s="97" t="n"/>
      <x:c r="F12" s="96" t="n"/>
      <x:c r="G12" s="96" t="n"/>
      <x:c r="H12" s="96" t="n"/>
      <x:c r="I12" s="96" t="n"/>
      <x:c r="J12" s="96" t="n"/>
      <x:c r="K12" s="96" t="n"/>
      <x:c r="L12" s="97" t="n"/>
      <x:c r="M12" s="96" t="n"/>
      <x:c r="N12" s="96" t="n"/>
      <x:c r="O12" s="11" t="n"/>
      <x:c r="P12" s="10" t="n"/>
      <x:c r="Q12" s="11" t="n"/>
      <x:c r="R12" s="10" t="n"/>
      <x:c r="S12" s="10" t="n"/>
      <x:c r="T12" s="10" t="n"/>
      <x:c r="U12" s="12" t="str">
        <x:f>IF($B12="","",IF(OR(AND($G12&lt;&gt;"оригинал",$G12&lt;&gt;"копия",$G12&lt;&gt;"скан",$G12&lt;&gt;"нет"),AND($J12&lt;&gt;"да",$J12&lt;&gt;"нет")),"НЕ ПРОВЕРЕНО: наличие или обязательность",IF(AND($N12="да",OR($O12="",$M12="")),"передан без следа: эксперт или дата",IF(AND($P12="да",$Q12=""),"НЕ ПРОВЕРЕНО: дата запроса",IF($B12="","",IF(AND($J12="да",$G12="нет",$P12&lt;&gt;"да"),"дыра: обязательного документа нет, запрос не направлен",IF(AND($G12="нет",$P12="да",$R12&lt;&gt;"да"),"запрошен, не получен",IF(AND($G12="нет",$J12&lt;&gt;"да"),"отсутствует, на причину не влияет",IF(AND(OR($K12="да",$N12="да"),$M12=""),"передан без следа",IF(AND($K12="да",$L12=""),"передан без следа","в порядке"))))))))))</x:f>
      </x:c>
    </x:row>
    <x:row r="13">
      <x:c r="A13" s="95" t="str">
        <x:f>IF($B13="","",ROW()-6)</x:f>
      </x:c>
      <x:c r="B13" s="96" t="n"/>
      <x:c r="C13" s="96" t="n"/>
      <x:c r="D13" s="96" t="n"/>
      <x:c r="E13" s="97" t="n"/>
      <x:c r="F13" s="96" t="n"/>
      <x:c r="G13" s="96" t="n"/>
      <x:c r="H13" s="96" t="n"/>
      <x:c r="I13" s="96" t="n"/>
      <x:c r="J13" s="96" t="n"/>
      <x:c r="K13" s="96" t="n"/>
      <x:c r="L13" s="97" t="n"/>
      <x:c r="M13" s="96" t="n"/>
      <x:c r="N13" s="96" t="n"/>
      <x:c r="O13" s="11" t="n"/>
      <x:c r="P13" s="10" t="n"/>
      <x:c r="Q13" s="11" t="n"/>
      <x:c r="R13" s="10" t="n"/>
      <x:c r="S13" s="10" t="n"/>
      <x:c r="T13" s="10" t="n"/>
      <x:c r="U13" s="12" t="str">
        <x:f>IF($B13="","",IF(OR(AND($G13&lt;&gt;"оригинал",$G13&lt;&gt;"копия",$G13&lt;&gt;"скан",$G13&lt;&gt;"нет"),AND($J13&lt;&gt;"да",$J13&lt;&gt;"нет")),"НЕ ПРОВЕРЕНО: наличие или обязательность",IF(AND($N13="да",OR($O13="",$M13="")),"передан без следа: эксперт или дата",IF(AND($P13="да",$Q13=""),"НЕ ПРОВЕРЕНО: дата запроса",IF($B13="","",IF(AND($J13="да",$G13="нет",$P13&lt;&gt;"да"),"дыра: обязательного документа нет, запрос не направлен",IF(AND($G13="нет",$P13="да",$R13&lt;&gt;"да"),"запрошен, не получен",IF(AND($G13="нет",$J13&lt;&gt;"да"),"отсутствует, на причину не влияет",IF(AND(OR($K13="да",$N13="да"),$M13=""),"передан без следа",IF(AND($K13="да",$L13=""),"передан без следа","в порядке"))))))))))</x:f>
      </x:c>
    </x:row>
    <x:row r="14">
      <x:c r="A14" s="95" t="str">
        <x:f>IF($B14="","",ROW()-6)</x:f>
      </x:c>
      <x:c r="B14" s="96" t="n"/>
      <x:c r="C14" s="96" t="n"/>
      <x:c r="D14" s="96" t="n"/>
      <x:c r="E14" s="97" t="n"/>
      <x:c r="F14" s="96" t="n"/>
      <x:c r="G14" s="96" t="n"/>
      <x:c r="H14" s="96" t="n"/>
      <x:c r="I14" s="96" t="n"/>
      <x:c r="J14" s="96" t="n"/>
      <x:c r="K14" s="96" t="n"/>
      <x:c r="L14" s="97" t="n"/>
      <x:c r="M14" s="96" t="n"/>
      <x:c r="N14" s="96" t="n"/>
      <x:c r="O14" s="11" t="n"/>
      <x:c r="P14" s="10" t="n"/>
      <x:c r="Q14" s="11" t="n"/>
      <x:c r="R14" s="10" t="n"/>
      <x:c r="S14" s="10" t="n"/>
      <x:c r="T14" s="10" t="n"/>
      <x:c r="U14" s="12" t="str">
        <x:f>IF($B14="","",IF(OR(AND($G14&lt;&gt;"оригинал",$G14&lt;&gt;"копия",$G14&lt;&gt;"скан",$G14&lt;&gt;"нет"),AND($J14&lt;&gt;"да",$J14&lt;&gt;"нет")),"НЕ ПРОВЕРЕНО: наличие или обязательность",IF(AND($N14="да",OR($O14="",$M14="")),"передан без следа: эксперт или дата",IF(AND($P14="да",$Q14=""),"НЕ ПРОВЕРЕНО: дата запроса",IF($B14="","",IF(AND($J14="да",$G14="нет",$P14&lt;&gt;"да"),"дыра: обязательного документа нет, запрос не направлен",IF(AND($G14="нет",$P14="да",$R14&lt;&gt;"да"),"запрошен, не получен",IF(AND($G14="нет",$J14&lt;&gt;"да"),"отсутствует, на причину не влияет",IF(AND(OR($K14="да",$N14="да"),$M14=""),"передан без следа",IF(AND($K14="да",$L14=""),"передан без следа","в порядке"))))))))))</x:f>
      </x:c>
    </x:row>
    <x:row r="15">
      <x:c r="A15" s="95" t="str">
        <x:f>IF($B15="","",ROW()-6)</x:f>
      </x:c>
      <x:c r="B15" s="96" t="n"/>
      <x:c r="C15" s="96" t="n"/>
      <x:c r="D15" s="96" t="n"/>
      <x:c r="E15" s="97" t="n"/>
      <x:c r="F15" s="96" t="n"/>
      <x:c r="G15" s="96" t="n"/>
      <x:c r="H15" s="96" t="n"/>
      <x:c r="I15" s="96" t="n"/>
      <x:c r="J15" s="96" t="n"/>
      <x:c r="K15" s="96" t="n"/>
      <x:c r="L15" s="97" t="n"/>
      <x:c r="M15" s="96" t="n"/>
      <x:c r="N15" s="96" t="n"/>
      <x:c r="O15" s="11" t="n"/>
      <x:c r="P15" s="10" t="n"/>
      <x:c r="Q15" s="11" t="n"/>
      <x:c r="R15" s="10" t="n"/>
      <x:c r="S15" s="10" t="n"/>
      <x:c r="T15" s="10" t="n"/>
      <x:c r="U15" s="12" t="str">
        <x:f>IF($B15="","",IF(OR(AND($G15&lt;&gt;"оригинал",$G15&lt;&gt;"копия",$G15&lt;&gt;"скан",$G15&lt;&gt;"нет"),AND($J15&lt;&gt;"да",$J15&lt;&gt;"нет")),"НЕ ПРОВЕРЕНО: наличие или обязательность",IF(AND($N15="да",OR($O15="",$M15="")),"передан без следа: эксперт или дата",IF(AND($P15="да",$Q15=""),"НЕ ПРОВЕРЕНО: дата запроса",IF($B15="","",IF(AND($J15="да",$G15="нет",$P15&lt;&gt;"да"),"дыра: обязательного документа нет, запрос не направлен",IF(AND($G15="нет",$P15="да",$R15&lt;&gt;"да"),"запрошен, не получен",IF(AND($G15="нет",$J15&lt;&gt;"да"),"отсутствует, на причину не влияет",IF(AND(OR($K15="да",$N15="да"),$M15=""),"передан без следа",IF(AND($K15="да",$L15=""),"передан без следа","в порядке"))))))))))</x:f>
      </x:c>
    </x:row>
    <x:row r="16">
      <x:c r="A16" s="95" t="str">
        <x:f>IF($B16="","",ROW()-6)</x:f>
      </x:c>
      <x:c r="B16" s="96" t="n"/>
      <x:c r="C16" s="96" t="n"/>
      <x:c r="D16" s="96" t="n"/>
      <x:c r="E16" s="97" t="n"/>
      <x:c r="F16" s="96" t="n"/>
      <x:c r="G16" s="96" t="n"/>
      <x:c r="H16" s="96" t="n"/>
      <x:c r="I16" s="96" t="n"/>
      <x:c r="J16" s="96" t="n"/>
      <x:c r="K16" s="96" t="n"/>
      <x:c r="L16" s="97" t="n"/>
      <x:c r="M16" s="96" t="n"/>
      <x:c r="N16" s="96" t="n"/>
      <x:c r="O16" s="11" t="n"/>
      <x:c r="P16" s="10" t="n"/>
      <x:c r="Q16" s="11" t="n"/>
      <x:c r="R16" s="10" t="n"/>
      <x:c r="S16" s="10" t="n"/>
      <x:c r="T16" s="10" t="n"/>
      <x:c r="U16" s="12" t="str">
        <x:f>IF($B16="","",IF(OR(AND($G16&lt;&gt;"оригинал",$G16&lt;&gt;"копия",$G16&lt;&gt;"скан",$G16&lt;&gt;"нет"),AND($J16&lt;&gt;"да",$J16&lt;&gt;"нет")),"НЕ ПРОВЕРЕНО: наличие или обязательность",IF(AND($N16="да",OR($O16="",$M16="")),"передан без следа: эксперт или дата",IF(AND($P16="да",$Q16=""),"НЕ ПРОВЕРЕНО: дата запроса",IF($B16="","",IF(AND($J16="да",$G16="нет",$P16&lt;&gt;"да"),"дыра: обязательного документа нет, запрос не направлен",IF(AND($G16="нет",$P16="да",$R16&lt;&gt;"да"),"запрошен, не получен",IF(AND($G16="нет",$J16&lt;&gt;"да"),"отсутствует, на причину не влияет",IF(AND(OR($K16="да",$N16="да"),$M16=""),"передан без следа",IF(AND($K16="да",$L16=""),"передан без следа","в порядке"))))))))))</x:f>
      </x:c>
    </x:row>
    <x:row r="17">
      <x:c r="A17" s="95" t="str">
        <x:f>IF($B17="","",ROW()-6)</x:f>
      </x:c>
      <x:c r="B17" s="96" t="n"/>
      <x:c r="C17" s="96" t="n"/>
      <x:c r="D17" s="96" t="n"/>
      <x:c r="E17" s="97" t="n"/>
      <x:c r="F17" s="96" t="n"/>
      <x:c r="G17" s="96" t="n"/>
      <x:c r="H17" s="96" t="n"/>
      <x:c r="I17" s="96" t="n"/>
      <x:c r="J17" s="96" t="n"/>
      <x:c r="K17" s="96" t="n"/>
      <x:c r="L17" s="97" t="n"/>
      <x:c r="M17" s="96" t="n"/>
      <x:c r="N17" s="96" t="n"/>
      <x:c r="O17" s="11" t="n"/>
      <x:c r="P17" s="10" t="n"/>
      <x:c r="Q17" s="11" t="n"/>
      <x:c r="R17" s="10" t="n"/>
      <x:c r="S17" s="10" t="n"/>
      <x:c r="T17" s="10" t="n"/>
      <x:c r="U17" s="12" t="str">
        <x:f>IF($B17="","",IF(OR(AND($G17&lt;&gt;"оригинал",$G17&lt;&gt;"копия",$G17&lt;&gt;"скан",$G17&lt;&gt;"нет"),AND($J17&lt;&gt;"да",$J17&lt;&gt;"нет")),"НЕ ПРОВЕРЕНО: наличие или обязательность",IF(AND($N17="да",OR($O17="",$M17="")),"передан без следа: эксперт или дата",IF(AND($P17="да",$Q17=""),"НЕ ПРОВЕРЕНО: дата запроса",IF($B17="","",IF(AND($J17="да",$G17="нет",$P17&lt;&gt;"да"),"дыра: обязательного документа нет, запрос не направлен",IF(AND($G17="нет",$P17="да",$R17&lt;&gt;"да"),"запрошен, не получен",IF(AND($G17="нет",$J17&lt;&gt;"да"),"отсутствует, на причину не влияет",IF(AND(OR($K17="да",$N17="да"),$M17=""),"передан без следа",IF(AND($K17="да",$L17=""),"передан без следа","в порядке"))))))))))</x:f>
      </x:c>
    </x:row>
    <x:row r="18">
      <x:c r="A18" s="95" t="str">
        <x:f>IF($B18="","",ROW()-6)</x:f>
      </x:c>
      <x:c r="B18" s="96" t="n"/>
      <x:c r="C18" s="96" t="n"/>
      <x:c r="D18" s="96" t="n"/>
      <x:c r="E18" s="97" t="n"/>
      <x:c r="F18" s="96" t="n"/>
      <x:c r="G18" s="96" t="n"/>
      <x:c r="H18" s="96" t="n"/>
      <x:c r="I18" s="96" t="n"/>
      <x:c r="J18" s="96" t="n"/>
      <x:c r="K18" s="96" t="n"/>
      <x:c r="L18" s="97" t="n"/>
      <x:c r="M18" s="96" t="n"/>
      <x:c r="N18" s="96" t="n"/>
      <x:c r="O18" s="11" t="n"/>
      <x:c r="P18" s="10" t="n"/>
      <x:c r="Q18" s="11" t="n"/>
      <x:c r="R18" s="10" t="n"/>
      <x:c r="S18" s="10" t="n"/>
      <x:c r="T18" s="10" t="n"/>
      <x:c r="U18" s="12" t="str">
        <x:f>IF($B18="","",IF(OR(AND($G18&lt;&gt;"оригинал",$G18&lt;&gt;"копия",$G18&lt;&gt;"скан",$G18&lt;&gt;"нет"),AND($J18&lt;&gt;"да",$J18&lt;&gt;"нет")),"НЕ ПРОВЕРЕНО: наличие или обязательность",IF(AND($N18="да",OR($O18="",$M18="")),"передан без следа: эксперт или дата",IF(AND($P18="да",$Q18=""),"НЕ ПРОВЕРЕНО: дата запроса",IF($B18="","",IF(AND($J18="да",$G18="нет",$P18&lt;&gt;"да"),"дыра: обязательного документа нет, запрос не направлен",IF(AND($G18="нет",$P18="да",$R18&lt;&gt;"да"),"запрошен, не получен",IF(AND($G18="нет",$J18&lt;&gt;"да"),"отсутствует, на причину не влияет",IF(AND(OR($K18="да",$N18="да"),$M18=""),"передан без следа",IF(AND($K18="да",$L18=""),"передан без следа","в порядке"))))))))))</x:f>
      </x:c>
    </x:row>
    <x:row r="19">
      <x:c r="A19" s="95" t="str">
        <x:f>IF($B19="","",ROW()-6)</x:f>
      </x:c>
      <x:c r="B19" s="96" t="n"/>
      <x:c r="C19" s="96" t="n"/>
      <x:c r="D19" s="96" t="n"/>
      <x:c r="E19" s="97" t="n"/>
      <x:c r="F19" s="96" t="n"/>
      <x:c r="G19" s="96" t="n"/>
      <x:c r="H19" s="96" t="n"/>
      <x:c r="I19" s="96" t="n"/>
      <x:c r="J19" s="96" t="n"/>
      <x:c r="K19" s="96" t="n"/>
      <x:c r="L19" s="97" t="n"/>
      <x:c r="M19" s="96" t="n"/>
      <x:c r="N19" s="96" t="n"/>
      <x:c r="O19" s="11" t="n"/>
      <x:c r="P19" s="10" t="n"/>
      <x:c r="Q19" s="11" t="n"/>
      <x:c r="R19" s="10" t="n"/>
      <x:c r="S19" s="10" t="n"/>
      <x:c r="T19" s="10" t="n"/>
      <x:c r="U19" s="12" t="str">
        <x:f>IF($B19="","",IF(OR(AND($G19&lt;&gt;"оригинал",$G19&lt;&gt;"копия",$G19&lt;&gt;"скан",$G19&lt;&gt;"нет"),AND($J19&lt;&gt;"да",$J19&lt;&gt;"нет")),"НЕ ПРОВЕРЕНО: наличие или обязательность",IF(AND($N19="да",OR($O19="",$M19="")),"передан без следа: эксперт или дата",IF(AND($P19="да",$Q19=""),"НЕ ПРОВЕРЕНО: дата запроса",IF($B19="","",IF(AND($J19="да",$G19="нет",$P19&lt;&gt;"да"),"дыра: обязательного документа нет, запрос не направлен",IF(AND($G19="нет",$P19="да",$R19&lt;&gt;"да"),"запрошен, не получен",IF(AND($G19="нет",$J19&lt;&gt;"да"),"отсутствует, на причину не влияет",IF(AND(OR($K19="да",$N19="да"),$M19=""),"передан без следа",IF(AND($K19="да",$L19=""),"передан без следа","в порядке"))))))))))</x:f>
      </x:c>
    </x:row>
    <x:row r="20">
      <x:c r="A20" s="95" t="str">
        <x:f>IF($B20="","",ROW()-6)</x:f>
      </x:c>
      <x:c r="B20" s="96" t="n"/>
      <x:c r="C20" s="96" t="n"/>
      <x:c r="D20" s="96" t="n"/>
      <x:c r="E20" s="97" t="n"/>
      <x:c r="F20" s="96" t="n"/>
      <x:c r="G20" s="96" t="n"/>
      <x:c r="H20" s="96" t="n"/>
      <x:c r="I20" s="96" t="n"/>
      <x:c r="J20" s="96" t="n"/>
      <x:c r="K20" s="96" t="n"/>
      <x:c r="L20" s="97" t="n"/>
      <x:c r="M20" s="96" t="n"/>
      <x:c r="N20" s="96" t="n"/>
      <x:c r="O20" s="11" t="n"/>
      <x:c r="P20" s="10" t="n"/>
      <x:c r="Q20" s="11" t="n"/>
      <x:c r="R20" s="10" t="n"/>
      <x:c r="S20" s="10" t="n"/>
      <x:c r="T20" s="10" t="n"/>
      <x:c r="U20" s="12" t="str">
        <x:f>IF($B20="","",IF(OR(AND($G20&lt;&gt;"оригинал",$G20&lt;&gt;"копия",$G20&lt;&gt;"скан",$G20&lt;&gt;"нет"),AND($J20&lt;&gt;"да",$J20&lt;&gt;"нет")),"НЕ ПРОВЕРЕНО: наличие или обязательность",IF(AND($N20="да",OR($O20="",$M20="")),"передан без следа: эксперт или дата",IF(AND($P20="да",$Q20=""),"НЕ ПРОВЕРЕНО: дата запроса",IF($B20="","",IF(AND($J20="да",$G20="нет",$P20&lt;&gt;"да"),"дыра: обязательного документа нет, запрос не направлен",IF(AND($G20="нет",$P20="да",$R20&lt;&gt;"да"),"запрошен, не получен",IF(AND($G20="нет",$J20&lt;&gt;"да"),"отсутствует, на причину не влияет",IF(AND(OR($K20="да",$N20="да"),$M20=""),"передан без следа",IF(AND($K20="да",$L20=""),"передан без следа","в порядке"))))))))))</x:f>
      </x:c>
    </x:row>
    <x:row r="21">
      <x:c r="A21" s="95" t="str">
        <x:f>IF($B21="","",ROW()-6)</x:f>
      </x:c>
      <x:c r="B21" s="96" t="n"/>
      <x:c r="C21" s="96" t="n"/>
      <x:c r="D21" s="96" t="n"/>
      <x:c r="E21" s="97" t="n"/>
      <x:c r="F21" s="96" t="n"/>
      <x:c r="G21" s="96" t="n"/>
      <x:c r="H21" s="96" t="n"/>
      <x:c r="I21" s="96" t="n"/>
      <x:c r="J21" s="96" t="n"/>
      <x:c r="K21" s="96" t="n"/>
      <x:c r="L21" s="97" t="n"/>
      <x:c r="M21" s="96" t="n"/>
      <x:c r="N21" s="96" t="n"/>
      <x:c r="O21" s="11" t="n"/>
      <x:c r="P21" s="10" t="n"/>
      <x:c r="Q21" s="11" t="n"/>
      <x:c r="R21" s="10" t="n"/>
      <x:c r="S21" s="10" t="n"/>
      <x:c r="T21" s="10" t="n"/>
      <x:c r="U21" s="12" t="str">
        <x:f>IF($B21="","",IF(OR(AND($G21&lt;&gt;"оригинал",$G21&lt;&gt;"копия",$G21&lt;&gt;"скан",$G21&lt;&gt;"нет"),AND($J21&lt;&gt;"да",$J21&lt;&gt;"нет")),"НЕ ПРОВЕРЕНО: наличие или обязательность",IF(AND($N21="да",OR($O21="",$M21="")),"передан без следа: эксперт или дата",IF(AND($P21="да",$Q21=""),"НЕ ПРОВЕРЕНО: дата запроса",IF($B21="","",IF(AND($J21="да",$G21="нет",$P21&lt;&gt;"да"),"дыра: обязательного документа нет, запрос не направлен",IF(AND($G21="нет",$P21="да",$R21&lt;&gt;"да"),"запрошен, не получен",IF(AND($G21="нет",$J21&lt;&gt;"да"),"отсутствует, на причину не влияет",IF(AND(OR($K21="да",$N21="да"),$M21=""),"передан без следа",IF(AND($K21="да",$L21=""),"передан без следа","в порядке"))))))))))</x:f>
      </x:c>
    </x:row>
    <x:row r="22">
      <x:c r="A22" s="95" t="str">
        <x:f>IF($B22="","",ROW()-6)</x:f>
      </x:c>
      <x:c r="B22" s="96" t="n"/>
      <x:c r="C22" s="96" t="n"/>
      <x:c r="D22" s="96" t="n"/>
      <x:c r="E22" s="97" t="n"/>
      <x:c r="F22" s="96" t="n"/>
      <x:c r="G22" s="96" t="n"/>
      <x:c r="H22" s="96" t="n"/>
      <x:c r="I22" s="96" t="n"/>
      <x:c r="J22" s="96" t="n"/>
      <x:c r="K22" s="96" t="n"/>
      <x:c r="L22" s="97" t="n"/>
      <x:c r="M22" s="96" t="n"/>
      <x:c r="N22" s="96" t="n"/>
      <x:c r="O22" s="11" t="n"/>
      <x:c r="P22" s="10" t="n"/>
      <x:c r="Q22" s="11" t="n"/>
      <x:c r="R22" s="10" t="n"/>
      <x:c r="S22" s="10" t="n"/>
      <x:c r="T22" s="10" t="n"/>
      <x:c r="U22" s="12" t="str">
        <x:f>IF($B22="","",IF(OR(AND($G22&lt;&gt;"оригинал",$G22&lt;&gt;"копия",$G22&lt;&gt;"скан",$G22&lt;&gt;"нет"),AND($J22&lt;&gt;"да",$J22&lt;&gt;"нет")),"НЕ ПРОВЕРЕНО: наличие или обязательность",IF(AND($N22="да",OR($O22="",$M22="")),"передан без следа: эксперт или дата",IF(AND($P22="да",$Q22=""),"НЕ ПРОВЕРЕНО: дата запроса",IF($B22="","",IF(AND($J22="да",$G22="нет",$P22&lt;&gt;"да"),"дыра: обязательного документа нет, запрос не направлен",IF(AND($G22="нет",$P22="да",$R22&lt;&gt;"да"),"запрошен, не получен",IF(AND($G22="нет",$J22&lt;&gt;"да"),"отсутствует, на причину не влияет",IF(AND(OR($K22="да",$N22="да"),$M22=""),"передан без следа",IF(AND($K22="да",$L22=""),"передан без следа","в порядке"))))))))))</x:f>
      </x:c>
    </x:row>
    <x:row r="23">
      <x:c r="A23" s="95" t="str">
        <x:f>IF($B23="","",ROW()-6)</x:f>
      </x:c>
      <x:c r="B23" s="96" t="n"/>
      <x:c r="C23" s="96" t="n"/>
      <x:c r="D23" s="96" t="n"/>
      <x:c r="E23" s="97" t="n"/>
      <x:c r="F23" s="96" t="n"/>
      <x:c r="G23" s="96" t="n"/>
      <x:c r="H23" s="96" t="n"/>
      <x:c r="I23" s="96" t="n"/>
      <x:c r="J23" s="96" t="n"/>
      <x:c r="K23" s="96" t="n"/>
      <x:c r="L23" s="97" t="n"/>
      <x:c r="M23" s="96" t="n"/>
      <x:c r="N23" s="96" t="n"/>
      <x:c r="O23" s="11" t="n"/>
      <x:c r="P23" s="10" t="n"/>
      <x:c r="Q23" s="11" t="n"/>
      <x:c r="R23" s="10" t="n"/>
      <x:c r="S23" s="10" t="n"/>
      <x:c r="T23" s="10" t="n"/>
      <x:c r="U23" s="12" t="str">
        <x:f>IF($B23="","",IF(OR(AND($G23&lt;&gt;"оригинал",$G23&lt;&gt;"копия",$G23&lt;&gt;"скан",$G23&lt;&gt;"нет"),AND($J23&lt;&gt;"да",$J23&lt;&gt;"нет")),"НЕ ПРОВЕРЕНО: наличие или обязательность",IF(AND($N23="да",OR($O23="",$M23="")),"передан без следа: эксперт или дата",IF(AND($P23="да",$Q23=""),"НЕ ПРОВЕРЕНО: дата запроса",IF($B23="","",IF(AND($J23="да",$G23="нет",$P23&lt;&gt;"да"),"дыра: обязательного документа нет, запрос не направлен",IF(AND($G23="нет",$P23="да",$R23&lt;&gt;"да"),"запрошен, не получен",IF(AND($G23="нет",$J23&lt;&gt;"да"),"отсутствует, на причину не влияет",IF(AND(OR($K23="да",$N23="да"),$M23=""),"передан без следа",IF(AND($K23="да",$L23=""),"передан без следа","в порядке"))))))))))</x:f>
      </x:c>
    </x:row>
    <x:row r="24">
      <x:c r="A24" s="95" t="str">
        <x:f>IF($B24="","",ROW()-6)</x:f>
      </x:c>
      <x:c r="B24" s="96" t="n"/>
      <x:c r="C24" s="96" t="n"/>
      <x:c r="D24" s="96" t="n"/>
      <x:c r="E24" s="97" t="n"/>
      <x:c r="F24" s="96" t="n"/>
      <x:c r="G24" s="96" t="n"/>
      <x:c r="H24" s="96" t="n"/>
      <x:c r="I24" s="96" t="n"/>
      <x:c r="J24" s="96" t="n"/>
      <x:c r="K24" s="96" t="n"/>
      <x:c r="L24" s="97" t="n"/>
      <x:c r="M24" s="96" t="n"/>
      <x:c r="N24" s="96" t="n"/>
      <x:c r="O24" s="11" t="n"/>
      <x:c r="P24" s="10" t="n"/>
      <x:c r="Q24" s="11" t="n"/>
      <x:c r="R24" s="10" t="n"/>
      <x:c r="S24" s="10" t="n"/>
      <x:c r="T24" s="10" t="n"/>
      <x:c r="U24" s="12" t="str">
        <x:f>IF($B24="","",IF(OR(AND($G24&lt;&gt;"оригинал",$G24&lt;&gt;"копия",$G24&lt;&gt;"скан",$G24&lt;&gt;"нет"),AND($J24&lt;&gt;"да",$J24&lt;&gt;"нет")),"НЕ ПРОВЕРЕНО: наличие или обязательность",IF(AND($N24="да",OR($O24="",$M24="")),"передан без следа: эксперт или дата",IF(AND($P24="да",$Q24=""),"НЕ ПРОВЕРЕНО: дата запроса",IF($B24="","",IF(AND($J24="да",$G24="нет",$P24&lt;&gt;"да"),"дыра: обязательного документа нет, запрос не направлен",IF(AND($G24="нет",$P24="да",$R24&lt;&gt;"да"),"запрошен, не получен",IF(AND($G24="нет",$J24&lt;&gt;"да"),"отсутствует, на причину не влияет",IF(AND(OR($K24="да",$N24="да"),$M24=""),"передан без следа",IF(AND($K24="да",$L24=""),"передан без следа","в порядке"))))))))))</x:f>
      </x:c>
    </x:row>
    <x:row r="25">
      <x:c r="A25" s="95" t="str">
        <x:f>IF($B25="","",ROW()-6)</x:f>
      </x:c>
      <x:c r="B25" s="96" t="n"/>
      <x:c r="C25" s="96" t="n"/>
      <x:c r="D25" s="96" t="n"/>
      <x:c r="E25" s="97" t="n"/>
      <x:c r="F25" s="96" t="n"/>
      <x:c r="G25" s="96" t="n"/>
      <x:c r="H25" s="96" t="n"/>
      <x:c r="I25" s="96" t="n"/>
      <x:c r="J25" s="96" t="n"/>
      <x:c r="K25" s="96" t="n"/>
      <x:c r="L25" s="97" t="n"/>
      <x:c r="M25" s="96" t="n"/>
      <x:c r="N25" s="96" t="n"/>
      <x:c r="O25" s="11" t="n"/>
      <x:c r="P25" s="10" t="n"/>
      <x:c r="Q25" s="11" t="n"/>
      <x:c r="R25" s="10" t="n"/>
      <x:c r="S25" s="10" t="n"/>
      <x:c r="T25" s="10" t="n"/>
      <x:c r="U25" s="12" t="str">
        <x:f>IF($B25="","",IF(OR(AND($G25&lt;&gt;"оригинал",$G25&lt;&gt;"копия",$G25&lt;&gt;"скан",$G25&lt;&gt;"нет"),AND($J25&lt;&gt;"да",$J25&lt;&gt;"нет")),"НЕ ПРОВЕРЕНО: наличие или обязательность",IF(AND($N25="да",OR($O25="",$M25="")),"передан без следа: эксперт или дата",IF(AND($P25="да",$Q25=""),"НЕ ПРОВЕРЕНО: дата запроса",IF($B25="","",IF(AND($J25="да",$G25="нет",$P25&lt;&gt;"да"),"дыра: обязательного документа нет, запрос не направлен",IF(AND($G25="нет",$P25="да",$R25&lt;&gt;"да"),"запрошен, не получен",IF(AND($G25="нет",$J25&lt;&gt;"да"),"отсутствует, на причину не влияет",IF(AND(OR($K25="да",$N25="да"),$M25=""),"передан без следа",IF(AND($K25="да",$L25=""),"передан без следа","в порядке"))))))))))</x:f>
      </x:c>
    </x:row>
    <x:row r="26">
      <x:c r="A26" s="95" t="str">
        <x:f>IF($B26="","",ROW()-6)</x:f>
      </x:c>
      <x:c r="B26" s="96" t="n"/>
      <x:c r="C26" s="96" t="n"/>
      <x:c r="D26" s="96" t="n"/>
      <x:c r="E26" s="97" t="n"/>
      <x:c r="F26" s="96" t="n"/>
      <x:c r="G26" s="96" t="n"/>
      <x:c r="H26" s="96" t="n"/>
      <x:c r="I26" s="96" t="n"/>
      <x:c r="J26" s="96" t="n"/>
      <x:c r="K26" s="96" t="n"/>
      <x:c r="L26" s="97" t="n"/>
      <x:c r="M26" s="96" t="n"/>
      <x:c r="N26" s="96" t="n"/>
      <x:c r="O26" s="11" t="n"/>
      <x:c r="P26" s="10" t="n"/>
      <x:c r="Q26" s="11" t="n"/>
      <x:c r="R26" s="10" t="n"/>
      <x:c r="S26" s="10" t="n"/>
      <x:c r="T26" s="10" t="n"/>
      <x:c r="U26" s="12" t="str">
        <x:f>IF($B26="","",IF(OR(AND($G26&lt;&gt;"оригинал",$G26&lt;&gt;"копия",$G26&lt;&gt;"скан",$G26&lt;&gt;"нет"),AND($J26&lt;&gt;"да",$J26&lt;&gt;"нет")),"НЕ ПРОВЕРЕНО: наличие или обязательность",IF(AND($N26="да",OR($O26="",$M26="")),"передан без следа: эксперт или дата",IF(AND($P26="да",$Q26=""),"НЕ ПРОВЕРЕНО: дата запроса",IF($B26="","",IF(AND($J26="да",$G26="нет",$P26&lt;&gt;"да"),"дыра: обязательного документа нет, запрос не направлен",IF(AND($G26="нет",$P26="да",$R26&lt;&gt;"да"),"запрошен, не получен",IF(AND($G26="нет",$J26&lt;&gt;"да"),"отсутствует, на причину не влияет",IF(AND(OR($K26="да",$N26="да"),$M26=""),"передан без следа",IF(AND($K26="да",$L26=""),"передан без следа","в порядке"))))))))))</x:f>
      </x:c>
    </x:row>
    <x:row r="27">
      <x:c r="A27" s="95" t="str">
        <x:f>IF($B27="","",ROW()-6)</x:f>
      </x:c>
      <x:c r="B27" s="96" t="n"/>
      <x:c r="C27" s="96" t="n"/>
      <x:c r="D27" s="96" t="n"/>
      <x:c r="E27" s="97" t="n"/>
      <x:c r="F27" s="96" t="n"/>
      <x:c r="G27" s="96" t="n"/>
      <x:c r="H27" s="96" t="n"/>
      <x:c r="I27" s="96" t="n"/>
      <x:c r="J27" s="96" t="n"/>
      <x:c r="K27" s="96" t="n"/>
      <x:c r="L27" s="97" t="n"/>
      <x:c r="M27" s="96" t="n"/>
      <x:c r="N27" s="96" t="n"/>
      <x:c r="O27" s="11" t="n"/>
      <x:c r="P27" s="10" t="n"/>
      <x:c r="Q27" s="11" t="n"/>
      <x:c r="R27" s="10" t="n"/>
      <x:c r="S27" s="10" t="n"/>
      <x:c r="T27" s="10" t="n"/>
      <x:c r="U27" s="12" t="str">
        <x:f>IF($B27="","",IF(OR(AND($G27&lt;&gt;"оригинал",$G27&lt;&gt;"копия",$G27&lt;&gt;"скан",$G27&lt;&gt;"нет"),AND($J27&lt;&gt;"да",$J27&lt;&gt;"нет")),"НЕ ПРОВЕРЕНО: наличие или обязательность",IF(AND($N27="да",OR($O27="",$M27="")),"передан без следа: эксперт или дата",IF(AND($P27="да",$Q27=""),"НЕ ПРОВЕРЕНО: дата запроса",IF($B27="","",IF(AND($J27="да",$G27="нет",$P27&lt;&gt;"да"),"дыра: обязательного документа нет, запрос не направлен",IF(AND($G27="нет",$P27="да",$R27&lt;&gt;"да"),"запрошен, не получен",IF(AND($G27="нет",$J27&lt;&gt;"да"),"отсутствует, на причину не влияет",IF(AND(OR($K27="да",$N27="да"),$M27=""),"передан без следа",IF(AND($K27="да",$L27=""),"передан без следа","в порядке"))))))))))</x:f>
      </x:c>
    </x:row>
    <x:row r="28">
      <x:c r="A28" s="95" t="str">
        <x:f>IF($B28="","",ROW()-6)</x:f>
      </x:c>
      <x:c r="B28" s="96" t="n"/>
      <x:c r="C28" s="96" t="n"/>
      <x:c r="D28" s="96" t="n"/>
      <x:c r="E28" s="97" t="n"/>
      <x:c r="F28" s="96" t="n"/>
      <x:c r="G28" s="96" t="n"/>
      <x:c r="H28" s="96" t="n"/>
      <x:c r="I28" s="96" t="n"/>
      <x:c r="J28" s="96" t="n"/>
      <x:c r="K28" s="96" t="n"/>
      <x:c r="L28" s="97" t="n"/>
      <x:c r="M28" s="96" t="n"/>
      <x:c r="N28" s="96" t="n"/>
      <x:c r="O28" s="11" t="n"/>
      <x:c r="P28" s="10" t="n"/>
      <x:c r="Q28" s="11" t="n"/>
      <x:c r="R28" s="10" t="n"/>
      <x:c r="S28" s="10" t="n"/>
      <x:c r="T28" s="10" t="n"/>
      <x:c r="U28" s="12" t="str">
        <x:f>IF($B28="","",IF(OR(AND($G28&lt;&gt;"оригинал",$G28&lt;&gt;"копия",$G28&lt;&gt;"скан",$G28&lt;&gt;"нет"),AND($J28&lt;&gt;"да",$J28&lt;&gt;"нет")),"НЕ ПРОВЕРЕНО: наличие или обязательность",IF(AND($N28="да",OR($O28="",$M28="")),"передан без следа: эксперт или дата",IF(AND($P28="да",$Q28=""),"НЕ ПРОВЕРЕНО: дата запроса",IF($B28="","",IF(AND($J28="да",$G28="нет",$P28&lt;&gt;"да"),"дыра: обязательного документа нет, запрос не направлен",IF(AND($G28="нет",$P28="да",$R28&lt;&gt;"да"),"запрошен, не получен",IF(AND($G28="нет",$J28&lt;&gt;"да"),"отсутствует, на причину не влияет",IF(AND(OR($K28="да",$N28="да"),$M28=""),"передан без следа",IF(AND($K28="да",$L28=""),"передан без следа","в порядке"))))))))))</x:f>
      </x:c>
    </x:row>
    <x:row r="29">
      <x:c r="A29" s="95" t="str">
        <x:f>IF($B29="","",ROW()-6)</x:f>
      </x:c>
      <x:c r="B29" s="96" t="n"/>
      <x:c r="C29" s="96" t="n"/>
      <x:c r="D29" s="96" t="n"/>
      <x:c r="E29" s="97" t="n"/>
      <x:c r="F29" s="96" t="n"/>
      <x:c r="G29" s="96" t="n"/>
      <x:c r="H29" s="96" t="n"/>
      <x:c r="I29" s="96" t="n"/>
      <x:c r="J29" s="96" t="n"/>
      <x:c r="K29" s="96" t="n"/>
      <x:c r="L29" s="97" t="n"/>
      <x:c r="M29" s="96" t="n"/>
      <x:c r="N29" s="96" t="n"/>
      <x:c r="O29" s="11" t="n"/>
      <x:c r="P29" s="10" t="n"/>
      <x:c r="Q29" s="11" t="n"/>
      <x:c r="R29" s="10" t="n"/>
      <x:c r="S29" s="10" t="n"/>
      <x:c r="T29" s="10" t="n"/>
      <x:c r="U29" s="12" t="str">
        <x:f>IF($B29="","",IF(OR(AND($G29&lt;&gt;"оригинал",$G29&lt;&gt;"копия",$G29&lt;&gt;"скан",$G29&lt;&gt;"нет"),AND($J29&lt;&gt;"да",$J29&lt;&gt;"нет")),"НЕ ПРОВЕРЕНО: наличие или обязательность",IF(AND($N29="да",OR($O29="",$M29="")),"передан без следа: эксперт или дата",IF(AND($P29="да",$Q29=""),"НЕ ПРОВЕРЕНО: дата запроса",IF($B29="","",IF(AND($J29="да",$G29="нет",$P29&lt;&gt;"да"),"дыра: обязательного документа нет, запрос не направлен",IF(AND($G29="нет",$P29="да",$R29&lt;&gt;"да"),"запрошен, не получен",IF(AND($G29="нет",$J29&lt;&gt;"да"),"отсутствует, на причину не влияет",IF(AND(OR($K29="да",$N29="да"),$M29=""),"передан без следа",IF(AND($K29="да",$L29=""),"передан без следа","в порядке"))))))))))</x:f>
      </x:c>
    </x:row>
    <x:row r="30">
      <x:c r="A30" s="95" t="str">
        <x:f>IF($B30="","",ROW()-6)</x:f>
      </x:c>
      <x:c r="B30" s="96" t="n"/>
      <x:c r="C30" s="96" t="n"/>
      <x:c r="D30" s="96" t="n"/>
      <x:c r="E30" s="97" t="n"/>
      <x:c r="F30" s="96" t="n"/>
      <x:c r="G30" s="96" t="n"/>
      <x:c r="H30" s="96" t="n"/>
      <x:c r="I30" s="96" t="n"/>
      <x:c r="J30" s="96" t="n"/>
      <x:c r="K30" s="96" t="n"/>
      <x:c r="L30" s="97" t="n"/>
      <x:c r="M30" s="96" t="n"/>
      <x:c r="N30" s="96" t="n"/>
      <x:c r="O30" s="11" t="n"/>
      <x:c r="P30" s="10" t="n"/>
      <x:c r="Q30" s="11" t="n"/>
      <x:c r="R30" s="10" t="n"/>
      <x:c r="S30" s="10" t="n"/>
      <x:c r="T30" s="10" t="n"/>
      <x:c r="U30" s="12" t="str">
        <x:f>IF($B30="","",IF(OR(AND($G30&lt;&gt;"оригинал",$G30&lt;&gt;"копия",$G30&lt;&gt;"скан",$G30&lt;&gt;"нет"),AND($J30&lt;&gt;"да",$J30&lt;&gt;"нет")),"НЕ ПРОВЕРЕНО: наличие или обязательность",IF(AND($N30="да",OR($O30="",$M30="")),"передан без следа: эксперт или дата",IF(AND($P30="да",$Q30=""),"НЕ ПРОВЕРЕНО: дата запроса",IF($B30="","",IF(AND($J30="да",$G30="нет",$P30&lt;&gt;"да"),"дыра: обязательного документа нет, запрос не направлен",IF(AND($G30="нет",$P30="да",$R30&lt;&gt;"да"),"запрошен, не получен",IF(AND($G30="нет",$J30&lt;&gt;"да"),"отсутствует, на причину не влияет",IF(AND(OR($K30="да",$N30="да"),$M30=""),"передан без следа",IF(AND($K30="да",$L30=""),"передан без следа","в порядке"))))))))))</x:f>
      </x:c>
    </x:row>
    <x:row r="31">
      <x:c r="A31" s="95" t="str">
        <x:f>IF($B31="","",ROW()-6)</x:f>
      </x:c>
      <x:c r="B31" s="96" t="n"/>
      <x:c r="C31" s="96" t="n"/>
      <x:c r="D31" s="96" t="n"/>
      <x:c r="E31" s="97" t="n"/>
      <x:c r="F31" s="96" t="n"/>
      <x:c r="G31" s="96" t="n"/>
      <x:c r="H31" s="96" t="n"/>
      <x:c r="I31" s="96" t="n"/>
      <x:c r="J31" s="96" t="n"/>
      <x:c r="K31" s="96" t="n"/>
      <x:c r="L31" s="97" t="n"/>
      <x:c r="M31" s="96" t="n"/>
      <x:c r="N31" s="96" t="n"/>
      <x:c r="O31" s="11" t="n"/>
      <x:c r="P31" s="10" t="n"/>
      <x:c r="Q31" s="11" t="n"/>
      <x:c r="R31" s="10" t="n"/>
      <x:c r="S31" s="10" t="n"/>
      <x:c r="T31" s="10" t="n"/>
      <x:c r="U31" s="12" t="str">
        <x:f>IF($B31="","",IF(OR(AND($G31&lt;&gt;"оригинал",$G31&lt;&gt;"копия",$G31&lt;&gt;"скан",$G31&lt;&gt;"нет"),AND($J31&lt;&gt;"да",$J31&lt;&gt;"нет")),"НЕ ПРОВЕРЕНО: наличие или обязательность",IF(AND($N31="да",OR($O31="",$M31="")),"передан без следа: эксперт или дата",IF(AND($P31="да",$Q31=""),"НЕ ПРОВЕРЕНО: дата запроса",IF($B31="","",IF(AND($J31="да",$G31="нет",$P31&lt;&gt;"да"),"дыра: обязательного документа нет, запрос не направлен",IF(AND($G31="нет",$P31="да",$R31&lt;&gt;"да"),"запрошен, не получен",IF(AND($G31="нет",$J31&lt;&gt;"да"),"отсутствует, на причину не влияет",IF(AND(OR($K31="да",$N31="да"),$M31=""),"передан без следа",IF(AND($K31="да",$L31=""),"передан без следа","в порядке"))))))))))</x:f>
      </x:c>
    </x:row>
    <x:row r="32">
      <x:c r="A32" s="95" t="str">
        <x:f>IF($B32="","",ROW()-6)</x:f>
      </x:c>
      <x:c r="B32" s="96" t="n"/>
      <x:c r="C32" s="96" t="n"/>
      <x:c r="D32" s="96" t="n"/>
      <x:c r="E32" s="97" t="n"/>
      <x:c r="F32" s="96" t="n"/>
      <x:c r="G32" s="96" t="n"/>
      <x:c r="H32" s="96" t="n"/>
      <x:c r="I32" s="96" t="n"/>
      <x:c r="J32" s="96" t="n"/>
      <x:c r="K32" s="96" t="n"/>
      <x:c r="L32" s="97" t="n"/>
      <x:c r="M32" s="96" t="n"/>
      <x:c r="N32" s="96" t="n"/>
      <x:c r="O32" s="11" t="n"/>
      <x:c r="P32" s="10" t="n"/>
      <x:c r="Q32" s="11" t="n"/>
      <x:c r="R32" s="10" t="n"/>
      <x:c r="S32" s="10" t="n"/>
      <x:c r="T32" s="10" t="n"/>
      <x:c r="U32" s="12" t="str">
        <x:f>IF($B32="","",IF(OR(AND($G32&lt;&gt;"оригинал",$G32&lt;&gt;"копия",$G32&lt;&gt;"скан",$G32&lt;&gt;"нет"),AND($J32&lt;&gt;"да",$J32&lt;&gt;"нет")),"НЕ ПРОВЕРЕНО: наличие или обязательность",IF(AND($N32="да",OR($O32="",$M32="")),"передан без следа: эксперт или дата",IF(AND($P32="да",$Q32=""),"НЕ ПРОВЕРЕНО: дата запроса",IF($B32="","",IF(AND($J32="да",$G32="нет",$P32&lt;&gt;"да"),"дыра: обязательного документа нет, запрос не направлен",IF(AND($G32="нет",$P32="да",$R32&lt;&gt;"да"),"запрошен, не получен",IF(AND($G32="нет",$J32&lt;&gt;"да"),"отсутствует, на причину не влияет",IF(AND(OR($K32="да",$N32="да"),$M32=""),"передан без следа",IF(AND($K32="да",$L32=""),"передан без следа","в порядке"))))))))))</x:f>
      </x:c>
    </x:row>
    <x:row r="33">
      <x:c r="A33" s="95" t="str">
        <x:f>IF($B33="","",ROW()-6)</x:f>
      </x:c>
      <x:c r="B33" s="96" t="n"/>
      <x:c r="C33" s="96" t="n"/>
      <x:c r="D33" s="96" t="n"/>
      <x:c r="E33" s="97" t="n"/>
      <x:c r="F33" s="96" t="n"/>
      <x:c r="G33" s="96" t="n"/>
      <x:c r="H33" s="96" t="n"/>
      <x:c r="I33" s="96" t="n"/>
      <x:c r="J33" s="96" t="n"/>
      <x:c r="K33" s="96" t="n"/>
      <x:c r="L33" s="97" t="n"/>
      <x:c r="M33" s="96" t="n"/>
      <x:c r="N33" s="96" t="n"/>
      <x:c r="O33" s="11" t="n"/>
      <x:c r="P33" s="10" t="n"/>
      <x:c r="Q33" s="11" t="n"/>
      <x:c r="R33" s="10" t="n"/>
      <x:c r="S33" s="10" t="n"/>
      <x:c r="T33" s="10" t="n"/>
      <x:c r="U33" s="12" t="str">
        <x:f>IF($B33="","",IF(OR(AND($G33&lt;&gt;"оригинал",$G33&lt;&gt;"копия",$G33&lt;&gt;"скан",$G33&lt;&gt;"нет"),AND($J33&lt;&gt;"да",$J33&lt;&gt;"нет")),"НЕ ПРОВЕРЕНО: наличие или обязательность",IF(AND($N33="да",OR($O33="",$M33="")),"передан без следа: эксперт или дата",IF(AND($P33="да",$Q33=""),"НЕ ПРОВЕРЕНО: дата запроса",IF($B33="","",IF(AND($J33="да",$G33="нет",$P33&lt;&gt;"да"),"дыра: обязательного документа нет, запрос не направлен",IF(AND($G33="нет",$P33="да",$R33&lt;&gt;"да"),"запрошен, не получен",IF(AND($G33="нет",$J33&lt;&gt;"да"),"отсутствует, на причину не влияет",IF(AND(OR($K33="да",$N33="да"),$M33=""),"передан без следа",IF(AND($K33="да",$L33=""),"передан без следа","в порядке"))))))))))</x:f>
      </x:c>
    </x:row>
    <x:row r="34">
      <x:c r="A34" s="95" t="str">
        <x:f>IF($B34="","",ROW()-6)</x:f>
      </x:c>
      <x:c r="B34" s="96" t="n"/>
      <x:c r="C34" s="96" t="n"/>
      <x:c r="D34" s="96" t="n"/>
      <x:c r="E34" s="97" t="n"/>
      <x:c r="F34" s="96" t="n"/>
      <x:c r="G34" s="96" t="n"/>
      <x:c r="H34" s="96" t="n"/>
      <x:c r="I34" s="96" t="n"/>
      <x:c r="J34" s="96" t="n"/>
      <x:c r="K34" s="96" t="n"/>
      <x:c r="L34" s="97" t="n"/>
      <x:c r="M34" s="96" t="n"/>
      <x:c r="N34" s="96" t="n"/>
      <x:c r="O34" s="11" t="n"/>
      <x:c r="P34" s="10" t="n"/>
      <x:c r="Q34" s="11" t="n"/>
      <x:c r="R34" s="10" t="n"/>
      <x:c r="S34" s="10" t="n"/>
      <x:c r="T34" s="10" t="n"/>
      <x:c r="U34" s="12" t="str">
        <x:f>IF($B34="","",IF(OR(AND($G34&lt;&gt;"оригинал",$G34&lt;&gt;"копия",$G34&lt;&gt;"скан",$G34&lt;&gt;"нет"),AND($J34&lt;&gt;"да",$J34&lt;&gt;"нет")),"НЕ ПРОВЕРЕНО: наличие или обязательность",IF(AND($N34="да",OR($O34="",$M34="")),"передан без следа: эксперт или дата",IF(AND($P34="да",$Q34=""),"НЕ ПРОВЕРЕНО: дата запроса",IF($B34="","",IF(AND($J34="да",$G34="нет",$P34&lt;&gt;"да"),"дыра: обязательного документа нет, запрос не направлен",IF(AND($G34="нет",$P34="да",$R34&lt;&gt;"да"),"запрошен, не получен",IF(AND($G34="нет",$J34&lt;&gt;"да"),"отсутствует, на причину не влияет",IF(AND(OR($K34="да",$N34="да"),$M34=""),"передан без следа",IF(AND($K34="да",$L34=""),"передан без следа","в порядке"))))))))))</x:f>
      </x:c>
    </x:row>
    <x:row r="35">
      <x:c r="A35" s="95" t="str">
        <x:f>IF($B35="","",ROW()-6)</x:f>
      </x:c>
      <x:c r="B35" s="96" t="n"/>
      <x:c r="C35" s="96" t="n"/>
      <x:c r="D35" s="96" t="n"/>
      <x:c r="E35" s="97" t="n"/>
      <x:c r="F35" s="96" t="n"/>
      <x:c r="G35" s="96" t="n"/>
      <x:c r="H35" s="96" t="n"/>
      <x:c r="I35" s="96" t="n"/>
      <x:c r="J35" s="96" t="n"/>
      <x:c r="K35" s="96" t="n"/>
      <x:c r="L35" s="97" t="n"/>
      <x:c r="M35" s="96" t="n"/>
      <x:c r="N35" s="96" t="n"/>
      <x:c r="O35" s="11" t="n"/>
      <x:c r="P35" s="10" t="n"/>
      <x:c r="Q35" s="11" t="n"/>
      <x:c r="R35" s="10" t="n"/>
      <x:c r="S35" s="10" t="n"/>
      <x:c r="T35" s="10" t="n"/>
      <x:c r="U35" s="12" t="str">
        <x:f>IF($B35="","",IF(OR(AND($G35&lt;&gt;"оригинал",$G35&lt;&gt;"копия",$G35&lt;&gt;"скан",$G35&lt;&gt;"нет"),AND($J35&lt;&gt;"да",$J35&lt;&gt;"нет")),"НЕ ПРОВЕРЕНО: наличие или обязательность",IF(AND($N35="да",OR($O35="",$M35="")),"передан без следа: эксперт или дата",IF(AND($P35="да",$Q35=""),"НЕ ПРОВЕРЕНО: дата запроса",IF($B35="","",IF(AND($J35="да",$G35="нет",$P35&lt;&gt;"да"),"дыра: обязательного документа нет, запрос не направлен",IF(AND($G35="нет",$P35="да",$R35&lt;&gt;"да"),"запрошен, не получен",IF(AND($G35="нет",$J35&lt;&gt;"да"),"отсутствует, на причину не влияет",IF(AND(OR($K35="да",$N35="да"),$M35=""),"передан без следа",IF(AND($K35="да",$L35=""),"передан без следа","в порядке"))))))))))</x:f>
      </x:c>
    </x:row>
    <x:row r="36">
      <x:c r="A36" s="95" t="str">
        <x:f>IF($B36="","",ROW()-6)</x:f>
      </x:c>
      <x:c r="B36" s="96" t="n"/>
      <x:c r="C36" s="96" t="n"/>
      <x:c r="D36" s="96" t="n"/>
      <x:c r="E36" s="97" t="n"/>
      <x:c r="F36" s="96" t="n"/>
      <x:c r="G36" s="96" t="n"/>
      <x:c r="H36" s="96" t="n"/>
      <x:c r="I36" s="96" t="n"/>
      <x:c r="J36" s="96" t="n"/>
      <x:c r="K36" s="96" t="n"/>
      <x:c r="L36" s="97" t="n"/>
      <x:c r="M36" s="96" t="n"/>
      <x:c r="N36" s="96" t="n"/>
      <x:c r="O36" s="11" t="n"/>
      <x:c r="P36" s="10" t="n"/>
      <x:c r="Q36" s="11" t="n"/>
      <x:c r="R36" s="10" t="n"/>
      <x:c r="S36" s="10" t="n"/>
      <x:c r="T36" s="10" t="n"/>
      <x:c r="U36" s="12" t="str">
        <x:f>IF($B36="","",IF(OR(AND($G36&lt;&gt;"оригинал",$G36&lt;&gt;"копия",$G36&lt;&gt;"скан",$G36&lt;&gt;"нет"),AND($J36&lt;&gt;"да",$J36&lt;&gt;"нет")),"НЕ ПРОВЕРЕНО: наличие или обязательность",IF(AND($N36="да",OR($O36="",$M36="")),"передан без следа: эксперт или дата",IF(AND($P36="да",$Q36=""),"НЕ ПРОВЕРЕНО: дата запроса",IF($B36="","",IF(AND($J36="да",$G36="нет",$P36&lt;&gt;"да"),"дыра: обязательного документа нет, запрос не направлен",IF(AND($G36="нет",$P36="да",$R36&lt;&gt;"да"),"запрошен, не получен",IF(AND($G36="нет",$J36&lt;&gt;"да"),"отсутствует, на причину не влияет",IF(AND(OR($K36="да",$N36="да"),$M36=""),"передан без следа",IF(AND($K36="да",$L36=""),"передан без следа","в порядке"))))))))))</x:f>
      </x:c>
    </x:row>
    <x:row r="37">
      <x:c r="A37" s="95" t="str">
        <x:f>IF($B37="","",ROW()-6)</x:f>
      </x:c>
      <x:c r="B37" s="96" t="n"/>
      <x:c r="C37" s="96" t="n"/>
      <x:c r="D37" s="96" t="n"/>
      <x:c r="E37" s="97" t="n"/>
      <x:c r="F37" s="96" t="n"/>
      <x:c r="G37" s="96" t="n"/>
      <x:c r="H37" s="96" t="n"/>
      <x:c r="I37" s="96" t="n"/>
      <x:c r="J37" s="96" t="n"/>
      <x:c r="K37" s="96" t="n"/>
      <x:c r="L37" s="97" t="n"/>
      <x:c r="M37" s="96" t="n"/>
      <x:c r="N37" s="96" t="n"/>
      <x:c r="O37" s="11" t="n"/>
      <x:c r="P37" s="10" t="n"/>
      <x:c r="Q37" s="11" t="n"/>
      <x:c r="R37" s="10" t="n"/>
      <x:c r="S37" s="10" t="n"/>
      <x:c r="T37" s="10" t="n"/>
      <x:c r="U37" s="12" t="str">
        <x:f>IF($B37="","",IF(OR(AND($G37&lt;&gt;"оригинал",$G37&lt;&gt;"копия",$G37&lt;&gt;"скан",$G37&lt;&gt;"нет"),AND($J37&lt;&gt;"да",$J37&lt;&gt;"нет")),"НЕ ПРОВЕРЕНО: наличие или обязательность",IF(AND($N37="да",OR($O37="",$M37="")),"передан без следа: эксперт или дата",IF(AND($P37="да",$Q37=""),"НЕ ПРОВЕРЕНО: дата запроса",IF($B37="","",IF(AND($J37="да",$G37="нет",$P37&lt;&gt;"да"),"дыра: обязательного документа нет, запрос не направлен",IF(AND($G37="нет",$P37="да",$R37&lt;&gt;"да"),"запрошен, не получен",IF(AND($G37="нет",$J37&lt;&gt;"да"),"отсутствует, на причину не влияет",IF(AND(OR($K37="да",$N37="да"),$M37=""),"передан без следа",IF(AND($K37="да",$L37=""),"передан без следа","в порядке"))))))))))</x:f>
      </x:c>
    </x:row>
    <x:row r="38">
      <x:c r="A38" s="95" t="str">
        <x:f>IF($B38="","",ROW()-6)</x:f>
      </x:c>
      <x:c r="B38" s="96" t="n"/>
      <x:c r="C38" s="96" t="n"/>
      <x:c r="D38" s="96" t="n"/>
      <x:c r="E38" s="97" t="n"/>
      <x:c r="F38" s="96" t="n"/>
      <x:c r="G38" s="96" t="n"/>
      <x:c r="H38" s="96" t="n"/>
      <x:c r="I38" s="96" t="n"/>
      <x:c r="J38" s="96" t="n"/>
      <x:c r="K38" s="96" t="n"/>
      <x:c r="L38" s="97" t="n"/>
      <x:c r="M38" s="96" t="n"/>
      <x:c r="N38" s="96" t="n"/>
      <x:c r="O38" s="11" t="n"/>
      <x:c r="P38" s="10" t="n"/>
      <x:c r="Q38" s="11" t="n"/>
      <x:c r="R38" s="10" t="n"/>
      <x:c r="S38" s="10" t="n"/>
      <x:c r="T38" s="10" t="n"/>
      <x:c r="U38" s="12" t="str">
        <x:f>IF($B38="","",IF(OR(AND($G38&lt;&gt;"оригинал",$G38&lt;&gt;"копия",$G38&lt;&gt;"скан",$G38&lt;&gt;"нет"),AND($J38&lt;&gt;"да",$J38&lt;&gt;"нет")),"НЕ ПРОВЕРЕНО: наличие или обязательность",IF(AND($N38="да",OR($O38="",$M38="")),"передан без следа: эксперт или дата",IF(AND($P38="да",$Q38=""),"НЕ ПРОВЕРЕНО: дата запроса",IF($B38="","",IF(AND($J38="да",$G38="нет",$P38&lt;&gt;"да"),"дыра: обязательного документа нет, запрос не направлен",IF(AND($G38="нет",$P38="да",$R38&lt;&gt;"да"),"запрошен, не получен",IF(AND($G38="нет",$J38&lt;&gt;"да"),"отсутствует, на причину не влияет",IF(AND(OR($K38="да",$N38="да"),$M38=""),"передан без следа",IF(AND($K38="да",$L38=""),"передан без следа","в порядке"))))))))))</x:f>
      </x:c>
    </x:row>
    <x:row r="39">
      <x:c r="A39" s="95" t="str">
        <x:f>IF($B39="","",ROW()-6)</x:f>
      </x:c>
      <x:c r="B39" s="96" t="n"/>
      <x:c r="C39" s="96" t="n"/>
      <x:c r="D39" s="96" t="n"/>
      <x:c r="E39" s="97" t="n"/>
      <x:c r="F39" s="96" t="n"/>
      <x:c r="G39" s="96" t="n"/>
      <x:c r="H39" s="96" t="n"/>
      <x:c r="I39" s="96" t="n"/>
      <x:c r="J39" s="96" t="n"/>
      <x:c r="K39" s="96" t="n"/>
      <x:c r="L39" s="97" t="n"/>
      <x:c r="M39" s="96" t="n"/>
      <x:c r="N39" s="96" t="n"/>
      <x:c r="O39" s="11" t="n"/>
      <x:c r="P39" s="10" t="n"/>
      <x:c r="Q39" s="11" t="n"/>
      <x:c r="R39" s="10" t="n"/>
      <x:c r="S39" s="10" t="n"/>
      <x:c r="T39" s="10" t="n"/>
      <x:c r="U39" s="12" t="str">
        <x:f>IF($B39="","",IF(OR(AND($G39&lt;&gt;"оригинал",$G39&lt;&gt;"копия",$G39&lt;&gt;"скан",$G39&lt;&gt;"нет"),AND($J39&lt;&gt;"да",$J39&lt;&gt;"нет")),"НЕ ПРОВЕРЕНО: наличие или обязательность",IF(AND($N39="да",OR($O39="",$M39="")),"передан без следа: эксперт или дата",IF(AND($P39="да",$Q39=""),"НЕ ПРОВЕРЕНО: дата запроса",IF($B39="","",IF(AND($J39="да",$G39="нет",$P39&lt;&gt;"да"),"дыра: обязательного документа нет, запрос не направлен",IF(AND($G39="нет",$P39="да",$R39&lt;&gt;"да"),"запрошен, не получен",IF(AND($G39="нет",$J39&lt;&gt;"да"),"отсутствует, на причину не влияет",IF(AND(OR($K39="да",$N39="да"),$M39=""),"передан без следа",IF(AND($K39="да",$L39=""),"передан без следа","в порядке"))))))))))</x:f>
      </x:c>
    </x:row>
    <x:row r="40">
      <x:c r="A40" s="95" t="str">
        <x:f>IF($B40="","",ROW()-6)</x:f>
      </x:c>
      <x:c r="B40" s="96" t="n"/>
      <x:c r="C40" s="96" t="n"/>
      <x:c r="D40" s="96" t="n"/>
      <x:c r="E40" s="97" t="n"/>
      <x:c r="F40" s="96" t="n"/>
      <x:c r="G40" s="96" t="n"/>
      <x:c r="H40" s="96" t="n"/>
      <x:c r="I40" s="96" t="n"/>
      <x:c r="J40" s="96" t="n"/>
      <x:c r="K40" s="96" t="n"/>
      <x:c r="L40" s="97" t="n"/>
      <x:c r="M40" s="96" t="n"/>
      <x:c r="N40" s="96" t="n"/>
      <x:c r="O40" s="11" t="n"/>
      <x:c r="P40" s="10" t="n"/>
      <x:c r="Q40" s="11" t="n"/>
      <x:c r="R40" s="10" t="n"/>
      <x:c r="S40" s="10" t="n"/>
      <x:c r="T40" s="10" t="n"/>
      <x:c r="U40" s="12" t="str">
        <x:f>IF($B40="","",IF(OR(AND($G40&lt;&gt;"оригинал",$G40&lt;&gt;"копия",$G40&lt;&gt;"скан",$G40&lt;&gt;"нет"),AND($J40&lt;&gt;"да",$J40&lt;&gt;"нет")),"НЕ ПРОВЕРЕНО: наличие или обязательность",IF(AND($N40="да",OR($O40="",$M40="")),"передан без следа: эксперт или дата",IF(AND($P40="да",$Q40=""),"НЕ ПРОВЕРЕНО: дата запроса",IF($B40="","",IF(AND($J40="да",$G40="нет",$P40&lt;&gt;"да"),"дыра: обязательного документа нет, запрос не направлен",IF(AND($G40="нет",$P40="да",$R40&lt;&gt;"да"),"запрошен, не получен",IF(AND($G40="нет",$J40&lt;&gt;"да"),"отсутствует, на причину не влияет",IF(AND(OR($K40="да",$N40="да"),$M40=""),"передан без следа",IF(AND($K40="да",$L40=""),"передан без следа","в порядке"))))))))))</x:f>
      </x:c>
    </x:row>
    <x:row r="41">
      <x:c r="A41" s="95" t="str">
        <x:f>IF($B41="","",ROW()-6)</x:f>
      </x:c>
      <x:c r="B41" s="96" t="n"/>
      <x:c r="C41" s="96" t="n"/>
      <x:c r="D41" s="96" t="n"/>
      <x:c r="E41" s="97" t="n"/>
      <x:c r="F41" s="96" t="n"/>
      <x:c r="G41" s="96" t="n"/>
      <x:c r="H41" s="96" t="n"/>
      <x:c r="I41" s="96" t="n"/>
      <x:c r="J41" s="96" t="n"/>
      <x:c r="K41" s="96" t="n"/>
      <x:c r="L41" s="97" t="n"/>
      <x:c r="M41" s="96" t="n"/>
      <x:c r="N41" s="96" t="n"/>
      <x:c r="O41" s="11" t="n"/>
      <x:c r="P41" s="10" t="n"/>
      <x:c r="Q41" s="11" t="n"/>
      <x:c r="R41" s="10" t="n"/>
      <x:c r="S41" s="10" t="n"/>
      <x:c r="T41" s="10" t="n"/>
      <x:c r="U41" s="12" t="str">
        <x:f>IF($B41="","",IF(OR(AND($G41&lt;&gt;"оригинал",$G41&lt;&gt;"копия",$G41&lt;&gt;"скан",$G41&lt;&gt;"нет"),AND($J41&lt;&gt;"да",$J41&lt;&gt;"нет")),"НЕ ПРОВЕРЕНО: наличие или обязательность",IF(AND($N41="да",OR($O41="",$M41="")),"передан без следа: эксперт или дата",IF(AND($P41="да",$Q41=""),"НЕ ПРОВЕРЕНО: дата запроса",IF($B41="","",IF(AND($J41="да",$G41="нет",$P41&lt;&gt;"да"),"дыра: обязательного документа нет, запрос не направлен",IF(AND($G41="нет",$P41="да",$R41&lt;&gt;"да"),"запрошен, не получен",IF(AND($G41="нет",$J41&lt;&gt;"да"),"отсутствует, на причину не влияет",IF(AND(OR($K41="да",$N41="да"),$M41=""),"передан без следа",IF(AND($K41="да",$L41=""),"передан без следа","в порядке"))))))))))</x:f>
      </x:c>
    </x:row>
    <x:row r="42">
      <x:c r="A42" s="95" t="str">
        <x:f>IF($B42="","",ROW()-6)</x:f>
      </x:c>
      <x:c r="B42" s="96" t="n"/>
      <x:c r="C42" s="96" t="n"/>
      <x:c r="D42" s="96" t="n"/>
      <x:c r="E42" s="97" t="n"/>
      <x:c r="F42" s="96" t="n"/>
      <x:c r="G42" s="96" t="n"/>
      <x:c r="H42" s="96" t="n"/>
      <x:c r="I42" s="96" t="n"/>
      <x:c r="J42" s="96" t="n"/>
      <x:c r="K42" s="96" t="n"/>
      <x:c r="L42" s="97" t="n"/>
      <x:c r="M42" s="96" t="n"/>
      <x:c r="N42" s="96" t="n"/>
      <x:c r="O42" s="11" t="n"/>
      <x:c r="P42" s="10" t="n"/>
      <x:c r="Q42" s="11" t="n"/>
      <x:c r="R42" s="10" t="n"/>
      <x:c r="S42" s="10" t="n"/>
      <x:c r="T42" s="10" t="n"/>
      <x:c r="U42" s="12" t="str">
        <x:f>IF($B42="","",IF(OR(AND($G42&lt;&gt;"оригинал",$G42&lt;&gt;"копия",$G42&lt;&gt;"скан",$G42&lt;&gt;"нет"),AND($J42&lt;&gt;"да",$J42&lt;&gt;"нет")),"НЕ ПРОВЕРЕНО: наличие или обязательность",IF(AND($N42="да",OR($O42="",$M42="")),"передан без следа: эксперт или дата",IF(AND($P42="да",$Q42=""),"НЕ ПРОВЕРЕНО: дата запроса",IF($B42="","",IF(AND($J42="да",$G42="нет",$P42&lt;&gt;"да"),"дыра: обязательного документа нет, запрос не направлен",IF(AND($G42="нет",$P42="да",$R42&lt;&gt;"да"),"запрошен, не получен",IF(AND($G42="нет",$J42&lt;&gt;"да"),"отсутствует, на причину не влияет",IF(AND(OR($K42="да",$N42="да"),$M42=""),"передан без следа",IF(AND($K42="да",$L42=""),"передан без следа","в порядке"))))))))))</x:f>
      </x:c>
    </x:row>
    <x:row r="43">
      <x:c r="A43" s="95" t="str">
        <x:f>IF($B43="","",ROW()-6)</x:f>
      </x:c>
      <x:c r="B43" s="96" t="n"/>
      <x:c r="C43" s="96" t="n"/>
      <x:c r="D43" s="96" t="n"/>
      <x:c r="E43" s="97" t="n"/>
      <x:c r="F43" s="96" t="n"/>
      <x:c r="G43" s="96" t="n"/>
      <x:c r="H43" s="96" t="n"/>
      <x:c r="I43" s="96" t="n"/>
      <x:c r="J43" s="96" t="n"/>
      <x:c r="K43" s="96" t="n"/>
      <x:c r="L43" s="97" t="n"/>
      <x:c r="M43" s="96" t="n"/>
      <x:c r="N43" s="96" t="n"/>
      <x:c r="O43" s="11" t="n"/>
      <x:c r="P43" s="10" t="n"/>
      <x:c r="Q43" s="11" t="n"/>
      <x:c r="R43" s="10" t="n"/>
      <x:c r="S43" s="10" t="n"/>
      <x:c r="T43" s="10" t="n"/>
      <x:c r="U43" s="12" t="str">
        <x:f>IF($B43="","",IF(OR(AND($G43&lt;&gt;"оригинал",$G43&lt;&gt;"копия",$G43&lt;&gt;"скан",$G43&lt;&gt;"нет"),AND($J43&lt;&gt;"да",$J43&lt;&gt;"нет")),"НЕ ПРОВЕРЕНО: наличие или обязательность",IF(AND($N43="да",OR($O43="",$M43="")),"передан без следа: эксперт или дата",IF(AND($P43="да",$Q43=""),"НЕ ПРОВЕРЕНО: дата запроса",IF($B43="","",IF(AND($J43="да",$G43="нет",$P43&lt;&gt;"да"),"дыра: обязательного документа нет, запрос не направлен",IF(AND($G43="нет",$P43="да",$R43&lt;&gt;"да"),"запрошен, не получен",IF(AND($G43="нет",$J43&lt;&gt;"да"),"отсутствует, на причину не влияет",IF(AND(OR($K43="да",$N43="да"),$M43=""),"передан без следа",IF(AND($K43="да",$L43=""),"передан без следа","в порядке"))))))))))</x:f>
      </x:c>
    </x:row>
    <x:row r="44">
      <x:c r="A44" s="95" t="str">
        <x:f>IF($B44="","",ROW()-6)</x:f>
      </x:c>
      <x:c r="B44" s="96" t="n"/>
      <x:c r="C44" s="96" t="n"/>
      <x:c r="D44" s="96" t="n"/>
      <x:c r="E44" s="97" t="n"/>
      <x:c r="F44" s="96" t="n"/>
      <x:c r="G44" s="96" t="n"/>
      <x:c r="H44" s="96" t="n"/>
      <x:c r="I44" s="96" t="n"/>
      <x:c r="J44" s="96" t="n"/>
      <x:c r="K44" s="96" t="n"/>
      <x:c r="L44" s="97" t="n"/>
      <x:c r="M44" s="96" t="n"/>
      <x:c r="N44" s="96" t="n"/>
      <x:c r="O44" s="11" t="n"/>
      <x:c r="P44" s="10" t="n"/>
      <x:c r="Q44" s="11" t="n"/>
      <x:c r="R44" s="10" t="n"/>
      <x:c r="S44" s="10" t="n"/>
      <x:c r="T44" s="10" t="n"/>
      <x:c r="U44" s="12" t="str">
        <x:f>IF($B44="","",IF(OR(AND($G44&lt;&gt;"оригинал",$G44&lt;&gt;"копия",$G44&lt;&gt;"скан",$G44&lt;&gt;"нет"),AND($J44&lt;&gt;"да",$J44&lt;&gt;"нет")),"НЕ ПРОВЕРЕНО: наличие или обязательность",IF(AND($N44="да",OR($O44="",$M44="")),"передан без следа: эксперт или дата",IF(AND($P44="да",$Q44=""),"НЕ ПРОВЕРЕНО: дата запроса",IF($B44="","",IF(AND($J44="да",$G44="нет",$P44&lt;&gt;"да"),"дыра: обязательного документа нет, запрос не направлен",IF(AND($G44="нет",$P44="да",$R44&lt;&gt;"да"),"запрошен, не получен",IF(AND($G44="нет",$J44&lt;&gt;"да"),"отсутствует, на причину не влияет",IF(AND(OR($K44="да",$N44="да"),$M44=""),"передан без следа",IF(AND($K44="да",$L44=""),"передан без следа","в порядке"))))))))))</x:f>
      </x:c>
    </x:row>
    <x:row r="45">
      <x:c r="A45" s="95" t="str">
        <x:f>IF($B45="","",ROW()-6)</x:f>
      </x:c>
      <x:c r="B45" s="96" t="n"/>
      <x:c r="C45" s="96" t="n"/>
      <x:c r="D45" s="96" t="n"/>
      <x:c r="E45" s="97" t="n"/>
      <x:c r="F45" s="96" t="n"/>
      <x:c r="G45" s="96" t="n"/>
      <x:c r="H45" s="96" t="n"/>
      <x:c r="I45" s="96" t="n"/>
      <x:c r="J45" s="96" t="n"/>
      <x:c r="K45" s="96" t="n"/>
      <x:c r="L45" s="97" t="n"/>
      <x:c r="M45" s="96" t="n"/>
      <x:c r="N45" s="96" t="n"/>
      <x:c r="O45" s="11" t="n"/>
      <x:c r="P45" s="10" t="n"/>
      <x:c r="Q45" s="11" t="n"/>
      <x:c r="R45" s="10" t="n"/>
      <x:c r="S45" s="10" t="n"/>
      <x:c r="T45" s="10" t="n"/>
      <x:c r="U45" s="12" t="str">
        <x:f>IF($B45="","",IF(OR(AND($G45&lt;&gt;"оригинал",$G45&lt;&gt;"копия",$G45&lt;&gt;"скан",$G45&lt;&gt;"нет"),AND($J45&lt;&gt;"да",$J45&lt;&gt;"нет")),"НЕ ПРОВЕРЕНО: наличие или обязательность",IF(AND($N45="да",OR($O45="",$M45="")),"передан без следа: эксперт или дата",IF(AND($P45="да",$Q45=""),"НЕ ПРОВЕРЕНО: дата запроса",IF($B45="","",IF(AND($J45="да",$G45="нет",$P45&lt;&gt;"да"),"дыра: обязательного документа нет, запрос не направлен",IF(AND($G45="нет",$P45="да",$R45&lt;&gt;"да"),"запрошен, не получен",IF(AND($G45="нет",$J45&lt;&gt;"да"),"отсутствует, на причину не влияет",IF(AND(OR($K45="да",$N45="да"),$M45=""),"передан без следа",IF(AND($K45="да",$L45=""),"передан без следа","в порядке"))))))))))</x:f>
      </x:c>
    </x:row>
    <x:row r="46">
      <x:c r="A46" s="95" t="str">
        <x:f>IF($B46="","",ROW()-6)</x:f>
      </x:c>
      <x:c r="B46" s="96" t="n"/>
      <x:c r="C46" s="96" t="n"/>
      <x:c r="D46" s="96" t="n"/>
      <x:c r="E46" s="97" t="n"/>
      <x:c r="F46" s="96" t="n"/>
      <x:c r="G46" s="96" t="n"/>
      <x:c r="H46" s="96" t="n"/>
      <x:c r="I46" s="96" t="n"/>
      <x:c r="J46" s="96" t="n"/>
      <x:c r="K46" s="96" t="n"/>
      <x:c r="L46" s="97" t="n"/>
      <x:c r="M46" s="96" t="n"/>
      <x:c r="N46" s="96" t="n"/>
      <x:c r="O46" s="11" t="n"/>
      <x:c r="P46" s="10" t="n"/>
      <x:c r="Q46" s="11" t="n"/>
      <x:c r="R46" s="10" t="n"/>
      <x:c r="S46" s="10" t="n"/>
      <x:c r="T46" s="10" t="n"/>
      <x:c r="U46" s="12" t="str">
        <x:f>IF($B46="","",IF(OR(AND($G46&lt;&gt;"оригинал",$G46&lt;&gt;"копия",$G46&lt;&gt;"скан",$G46&lt;&gt;"нет"),AND($J46&lt;&gt;"да",$J46&lt;&gt;"нет")),"НЕ ПРОВЕРЕНО: наличие или обязательность",IF(AND($N46="да",OR($O46="",$M46="")),"передан без следа: эксперт или дата",IF(AND($P46="да",$Q46=""),"НЕ ПРОВЕРЕНО: дата запроса",IF($B46="","",IF(AND($J46="да",$G46="нет",$P46&lt;&gt;"да"),"дыра: обязательного документа нет, запрос не направлен",IF(AND($G46="нет",$P46="да",$R46&lt;&gt;"да"),"запрошен, не получен",IF(AND($G46="нет",$J46&lt;&gt;"да"),"отсутствует, на причину не влияет",IF(AND(OR($K46="да",$N46="да"),$M46=""),"передан без следа",IF(AND($K46="да",$L46=""),"передан без следа","в порядке"))))))))))</x:f>
      </x:c>
    </x:row>
    <x:row r="47">
      <x:c r="A47" s="95" t="str">
        <x:f>IF($B47="","",ROW()-6)</x:f>
      </x:c>
      <x:c r="B47" s="96" t="n"/>
      <x:c r="C47" s="96" t="n"/>
      <x:c r="D47" s="96" t="n"/>
      <x:c r="E47" s="97" t="n"/>
      <x:c r="F47" s="96" t="n"/>
      <x:c r="G47" s="96" t="n"/>
      <x:c r="H47" s="96" t="n"/>
      <x:c r="I47" s="96" t="n"/>
      <x:c r="J47" s="96" t="n"/>
      <x:c r="K47" s="96" t="n"/>
      <x:c r="L47" s="97" t="n"/>
      <x:c r="M47" s="96" t="n"/>
      <x:c r="N47" s="96" t="n"/>
      <x:c r="O47" s="11" t="n"/>
      <x:c r="P47" s="10" t="n"/>
      <x:c r="Q47" s="11" t="n"/>
      <x:c r="R47" s="10" t="n"/>
      <x:c r="S47" s="10" t="n"/>
      <x:c r="T47" s="10" t="n"/>
      <x:c r="U47" s="12" t="str">
        <x:f>IF($B47="","",IF(OR(AND($G47&lt;&gt;"оригинал",$G47&lt;&gt;"копия",$G47&lt;&gt;"скан",$G47&lt;&gt;"нет"),AND($J47&lt;&gt;"да",$J47&lt;&gt;"нет")),"НЕ ПРОВЕРЕНО: наличие или обязательность",IF(AND($N47="да",OR($O47="",$M47="")),"передан без следа: эксперт или дата",IF(AND($P47="да",$Q47=""),"НЕ ПРОВЕРЕНО: дата запроса",IF($B47="","",IF(AND($J47="да",$G47="нет",$P47&lt;&gt;"да"),"дыра: обязательного документа нет, запрос не направлен",IF(AND($G47="нет",$P47="да",$R47&lt;&gt;"да"),"запрошен, не получен",IF(AND($G47="нет",$J47&lt;&gt;"да"),"отсутствует, на причину не влияет",IF(AND(OR($K47="да",$N47="да"),$M47=""),"передан без следа",IF(AND($K47="да",$L47=""),"передан без следа","в порядке"))))))))))</x:f>
      </x:c>
    </x:row>
    <x:row r="48">
      <x:c r="A48" s="95" t="str">
        <x:f>IF($B48="","",ROW()-6)</x:f>
      </x:c>
      <x:c r="B48" s="96" t="n"/>
      <x:c r="C48" s="96" t="n"/>
      <x:c r="D48" s="96" t="n"/>
      <x:c r="E48" s="97" t="n"/>
      <x:c r="F48" s="96" t="n"/>
      <x:c r="G48" s="96" t="n"/>
      <x:c r="H48" s="96" t="n"/>
      <x:c r="I48" s="96" t="n"/>
      <x:c r="J48" s="96" t="n"/>
      <x:c r="K48" s="96" t="n"/>
      <x:c r="L48" s="97" t="n"/>
      <x:c r="M48" s="96" t="n"/>
      <x:c r="N48" s="96" t="n"/>
      <x:c r="O48" s="11" t="n"/>
      <x:c r="P48" s="10" t="n"/>
      <x:c r="Q48" s="11" t="n"/>
      <x:c r="R48" s="10" t="n"/>
      <x:c r="S48" s="10" t="n"/>
      <x:c r="T48" s="10" t="n"/>
      <x:c r="U48" s="12" t="str">
        <x:f>IF($B48="","",IF(OR(AND($G48&lt;&gt;"оригинал",$G48&lt;&gt;"копия",$G48&lt;&gt;"скан",$G48&lt;&gt;"нет"),AND($J48&lt;&gt;"да",$J48&lt;&gt;"нет")),"НЕ ПРОВЕРЕНО: наличие или обязательность",IF(AND($N48="да",OR($O48="",$M48="")),"передан без следа: эксперт или дата",IF(AND($P48="да",$Q48=""),"НЕ ПРОВЕРЕНО: дата запроса",IF($B48="","",IF(AND($J48="да",$G48="нет",$P48&lt;&gt;"да"),"дыра: обязательного документа нет, запрос не направлен",IF(AND($G48="нет",$P48="да",$R48&lt;&gt;"да"),"запрошен, не получен",IF(AND($G48="нет",$J48&lt;&gt;"да"),"отсутствует, на причину не влияет",IF(AND(OR($K48="да",$N48="да"),$M48=""),"передан без следа",IF(AND($K48="да",$L48=""),"передан без следа","в порядке"))))))))))</x:f>
      </x:c>
    </x:row>
    <x:row r="49">
      <x:c r="A49" s="95" t="str">
        <x:f>IF($B49="","",ROW()-6)</x:f>
      </x:c>
      <x:c r="B49" s="96" t="n"/>
      <x:c r="C49" s="96" t="n"/>
      <x:c r="D49" s="96" t="n"/>
      <x:c r="E49" s="97" t="n"/>
      <x:c r="F49" s="96" t="n"/>
      <x:c r="G49" s="96" t="n"/>
      <x:c r="H49" s="96" t="n"/>
      <x:c r="I49" s="96" t="n"/>
      <x:c r="J49" s="96" t="n"/>
      <x:c r="K49" s="96" t="n"/>
      <x:c r="L49" s="97" t="n"/>
      <x:c r="M49" s="96" t="n"/>
      <x:c r="N49" s="96" t="n"/>
      <x:c r="O49" s="11" t="n"/>
      <x:c r="P49" s="10" t="n"/>
      <x:c r="Q49" s="11" t="n"/>
      <x:c r="R49" s="10" t="n"/>
      <x:c r="S49" s="10" t="n"/>
      <x:c r="T49" s="10" t="n"/>
      <x:c r="U49" s="12" t="str">
        <x:f>IF($B49="","",IF(OR(AND($G49&lt;&gt;"оригинал",$G49&lt;&gt;"копия",$G49&lt;&gt;"скан",$G49&lt;&gt;"нет"),AND($J49&lt;&gt;"да",$J49&lt;&gt;"нет")),"НЕ ПРОВЕРЕНО: наличие или обязательность",IF(AND($N49="да",OR($O49="",$M49="")),"передан без следа: эксперт или дата",IF(AND($P49="да",$Q49=""),"НЕ ПРОВЕРЕНО: дата запроса",IF($B49="","",IF(AND($J49="да",$G49="нет",$P49&lt;&gt;"да"),"дыра: обязательного документа нет, запрос не направлен",IF(AND($G49="нет",$P49="да",$R49&lt;&gt;"да"),"запрошен, не получен",IF(AND($G49="нет",$J49&lt;&gt;"да"),"отсутствует, на причину не влияет",IF(AND(OR($K49="да",$N49="да"),$M49=""),"передан без следа",IF(AND($K49="да",$L49=""),"передан без следа","в порядке"))))))))))</x:f>
      </x:c>
    </x:row>
    <x:row r="50">
      <x:c r="A50" s="95" t="str">
        <x:f>IF($B50="","",ROW()-6)</x:f>
      </x:c>
      <x:c r="B50" s="96" t="n"/>
      <x:c r="C50" s="96" t="n"/>
      <x:c r="D50" s="96" t="n"/>
      <x:c r="E50" s="97" t="n"/>
      <x:c r="F50" s="96" t="n"/>
      <x:c r="G50" s="96" t="n"/>
      <x:c r="H50" s="96" t="n"/>
      <x:c r="I50" s="96" t="n"/>
      <x:c r="J50" s="96" t="n"/>
      <x:c r="K50" s="96" t="n"/>
      <x:c r="L50" s="97" t="n"/>
      <x:c r="M50" s="96" t="n"/>
      <x:c r="N50" s="96" t="n"/>
      <x:c r="O50" s="11" t="n"/>
      <x:c r="P50" s="10" t="n"/>
      <x:c r="Q50" s="11" t="n"/>
      <x:c r="R50" s="10" t="n"/>
      <x:c r="S50" s="10" t="n"/>
      <x:c r="T50" s="10" t="n"/>
      <x:c r="U50" s="12" t="str">
        <x:f>IF($B50="","",IF(OR(AND($G50&lt;&gt;"оригинал",$G50&lt;&gt;"копия",$G50&lt;&gt;"скан",$G50&lt;&gt;"нет"),AND($J50&lt;&gt;"да",$J50&lt;&gt;"нет")),"НЕ ПРОВЕРЕНО: наличие или обязательность",IF(AND($N50="да",OR($O50="",$M50="")),"передан без следа: эксперт или дата",IF(AND($P50="да",$Q50=""),"НЕ ПРОВЕРЕНО: дата запроса",IF($B50="","",IF(AND($J50="да",$G50="нет",$P50&lt;&gt;"да"),"дыра: обязательного документа нет, запрос не направлен",IF(AND($G50="нет",$P50="да",$R50&lt;&gt;"да"),"запрошен, не получен",IF(AND($G50="нет",$J50&lt;&gt;"да"),"отсутствует, на причину не влияет",IF(AND(OR($K50="да",$N50="да"),$M50=""),"передан без следа",IF(AND($K50="да",$L50=""),"передан без следа","в порядке"))))))))))</x:f>
      </x:c>
    </x:row>
    <x:row r="51">
      <x:c r="A51" s="95" t="str">
        <x:f>IF($B51="","",ROW()-6)</x:f>
      </x:c>
      <x:c r="B51" s="96" t="n"/>
      <x:c r="C51" s="96" t="n"/>
      <x:c r="D51" s="96" t="n"/>
      <x:c r="E51" s="97" t="n"/>
      <x:c r="F51" s="96" t="n"/>
      <x:c r="G51" s="96" t="n"/>
      <x:c r="H51" s="96" t="n"/>
      <x:c r="I51" s="96" t="n"/>
      <x:c r="J51" s="96" t="n"/>
      <x:c r="K51" s="96" t="n"/>
      <x:c r="L51" s="97" t="n"/>
      <x:c r="M51" s="96" t="n"/>
      <x:c r="N51" s="96" t="n"/>
      <x:c r="O51" s="11" t="n"/>
      <x:c r="P51" s="10" t="n"/>
      <x:c r="Q51" s="11" t="n"/>
      <x:c r="R51" s="10" t="n"/>
      <x:c r="S51" s="10" t="n"/>
      <x:c r="T51" s="10" t="n"/>
      <x:c r="U51" s="12" t="str">
        <x:f>IF($B51="","",IF(OR(AND($G51&lt;&gt;"оригинал",$G51&lt;&gt;"копия",$G51&lt;&gt;"скан",$G51&lt;&gt;"нет"),AND($J51&lt;&gt;"да",$J51&lt;&gt;"нет")),"НЕ ПРОВЕРЕНО: наличие или обязательность",IF(AND($N51="да",OR($O51="",$M51="")),"передан без следа: эксперт или дата",IF(AND($P51="да",$Q51=""),"НЕ ПРОВЕРЕНО: дата запроса",IF($B51="","",IF(AND($J51="да",$G51="нет",$P51&lt;&gt;"да"),"дыра: обязательного документа нет, запрос не направлен",IF(AND($G51="нет",$P51="да",$R51&lt;&gt;"да"),"запрошен, не получен",IF(AND($G51="нет",$J51&lt;&gt;"да"),"отсутствует, на причину не влияет",IF(AND(OR($K51="да",$N51="да"),$M51=""),"передан без следа",IF(AND($K51="да",$L51=""),"передан без следа","в порядке"))))))))))</x:f>
      </x:c>
    </x:row>
    <x:row r="52">
      <x:c r="A52" s="95" t="str">
        <x:f>IF($B52="","",ROW()-6)</x:f>
      </x:c>
      <x:c r="B52" s="96" t="n"/>
      <x:c r="C52" s="96" t="n"/>
      <x:c r="D52" s="96" t="n"/>
      <x:c r="E52" s="97" t="n"/>
      <x:c r="F52" s="96" t="n"/>
      <x:c r="G52" s="96" t="n"/>
      <x:c r="H52" s="96" t="n"/>
      <x:c r="I52" s="96" t="n"/>
      <x:c r="J52" s="96" t="n"/>
      <x:c r="K52" s="96" t="n"/>
      <x:c r="L52" s="97" t="n"/>
      <x:c r="M52" s="96" t="n"/>
      <x:c r="N52" s="96" t="n"/>
      <x:c r="O52" s="11" t="n"/>
      <x:c r="P52" s="10" t="n"/>
      <x:c r="Q52" s="11" t="n"/>
      <x:c r="R52" s="10" t="n"/>
      <x:c r="S52" s="10" t="n"/>
      <x:c r="T52" s="10" t="n"/>
      <x:c r="U52" s="12" t="str">
        <x:f>IF($B52="","",IF(OR(AND($G52&lt;&gt;"оригинал",$G52&lt;&gt;"копия",$G52&lt;&gt;"скан",$G52&lt;&gt;"нет"),AND($J52&lt;&gt;"да",$J52&lt;&gt;"нет")),"НЕ ПРОВЕРЕНО: наличие или обязательность",IF(AND($N52="да",OR($O52="",$M52="")),"передан без следа: эксперт или дата",IF(AND($P52="да",$Q52=""),"НЕ ПРОВЕРЕНО: дата запроса",IF($B52="","",IF(AND($J52="да",$G52="нет",$P52&lt;&gt;"да"),"дыра: обязательного документа нет, запрос не направлен",IF(AND($G52="нет",$P52="да",$R52&lt;&gt;"да"),"запрошен, не получен",IF(AND($G52="нет",$J52&lt;&gt;"да"),"отсутствует, на причину не влияет",IF(AND(OR($K52="да",$N52="да"),$M52=""),"передан без следа",IF(AND($K52="да",$L52=""),"передан без следа","в порядке"))))))))))</x:f>
      </x:c>
    </x:row>
    <x:row r="53">
      <x:c r="A53" s="95" t="str">
        <x:f>IF($B53="","",ROW()-6)</x:f>
      </x:c>
      <x:c r="B53" s="96" t="n"/>
      <x:c r="C53" s="96" t="n"/>
      <x:c r="D53" s="96" t="n"/>
      <x:c r="E53" s="97" t="n"/>
      <x:c r="F53" s="96" t="n"/>
      <x:c r="G53" s="96" t="n"/>
      <x:c r="H53" s="96" t="n"/>
      <x:c r="I53" s="96" t="n"/>
      <x:c r="J53" s="96" t="n"/>
      <x:c r="K53" s="96" t="n"/>
      <x:c r="L53" s="97" t="n"/>
      <x:c r="M53" s="96" t="n"/>
      <x:c r="N53" s="96" t="n"/>
      <x:c r="O53" s="11" t="n"/>
      <x:c r="P53" s="10" t="n"/>
      <x:c r="Q53" s="11" t="n"/>
      <x:c r="R53" s="10" t="n"/>
      <x:c r="S53" s="10" t="n"/>
      <x:c r="T53" s="10" t="n"/>
      <x:c r="U53" s="12" t="str">
        <x:f>IF($B53="","",IF(OR(AND($G53&lt;&gt;"оригинал",$G53&lt;&gt;"копия",$G53&lt;&gt;"скан",$G53&lt;&gt;"нет"),AND($J53&lt;&gt;"да",$J53&lt;&gt;"нет")),"НЕ ПРОВЕРЕНО: наличие или обязательность",IF(AND($N53="да",OR($O53="",$M53="")),"передан без следа: эксперт или дата",IF(AND($P53="да",$Q53=""),"НЕ ПРОВЕРЕНО: дата запроса",IF($B53="","",IF(AND($J53="да",$G53="нет",$P53&lt;&gt;"да"),"дыра: обязательного документа нет, запрос не направлен",IF(AND($G53="нет",$P53="да",$R53&lt;&gt;"да"),"запрошен, не получен",IF(AND($G53="нет",$J53&lt;&gt;"да"),"отсутствует, на причину не влияет",IF(AND(OR($K53="да",$N53="да"),$M53=""),"передан без следа",IF(AND($K53="да",$L53=""),"передан без следа","в порядке"))))))))))</x:f>
      </x:c>
    </x:row>
    <x:row r="54">
      <x:c r="A54" s="95" t="str">
        <x:f>IF($B54="","",ROW()-6)</x:f>
      </x:c>
      <x:c r="B54" s="96" t="n"/>
      <x:c r="C54" s="96" t="n"/>
      <x:c r="D54" s="96" t="n"/>
      <x:c r="E54" s="97" t="n"/>
      <x:c r="F54" s="96" t="n"/>
      <x:c r="G54" s="96" t="n"/>
      <x:c r="H54" s="96" t="n"/>
      <x:c r="I54" s="96" t="n"/>
      <x:c r="J54" s="96" t="n"/>
      <x:c r="K54" s="96" t="n"/>
      <x:c r="L54" s="97" t="n"/>
      <x:c r="M54" s="96" t="n"/>
      <x:c r="N54" s="96" t="n"/>
      <x:c r="O54" s="11" t="n"/>
      <x:c r="P54" s="10" t="n"/>
      <x:c r="Q54" s="11" t="n"/>
      <x:c r="R54" s="10" t="n"/>
      <x:c r="S54" s="10" t="n"/>
      <x:c r="T54" s="10" t="n"/>
      <x:c r="U54" s="12" t="str">
        <x:f>IF($B54="","",IF(OR(AND($G54&lt;&gt;"оригинал",$G54&lt;&gt;"копия",$G54&lt;&gt;"скан",$G54&lt;&gt;"нет"),AND($J54&lt;&gt;"да",$J54&lt;&gt;"нет")),"НЕ ПРОВЕРЕНО: наличие или обязательность",IF(AND($N54="да",OR($O54="",$M54="")),"передан без следа: эксперт или дата",IF(AND($P54="да",$Q54=""),"НЕ ПРОВЕРЕНО: дата запроса",IF($B54="","",IF(AND($J54="да",$G54="нет",$P54&lt;&gt;"да"),"дыра: обязательного документа нет, запрос не направлен",IF(AND($G54="нет",$P54="да",$R54&lt;&gt;"да"),"запрошен, не получен",IF(AND($G54="нет",$J54&lt;&gt;"да"),"отсутствует, на причину не влияет",IF(AND(OR($K54="да",$N54="да"),$M54=""),"передан без следа",IF(AND($K54="да",$L54=""),"передан без следа","в порядке"))))))))))</x:f>
      </x:c>
    </x:row>
    <x:row r="55">
      <x:c r="A55" s="95" t="str">
        <x:f>IF($B55="","",ROW()-6)</x:f>
      </x:c>
      <x:c r="B55" s="96" t="n"/>
      <x:c r="C55" s="96" t="n"/>
      <x:c r="D55" s="96" t="n"/>
      <x:c r="E55" s="97" t="n"/>
      <x:c r="F55" s="96" t="n"/>
      <x:c r="G55" s="96" t="n"/>
      <x:c r="H55" s="96" t="n"/>
      <x:c r="I55" s="96" t="n"/>
      <x:c r="J55" s="96" t="n"/>
      <x:c r="K55" s="96" t="n"/>
      <x:c r="L55" s="97" t="n"/>
      <x:c r="M55" s="96" t="n"/>
      <x:c r="N55" s="96" t="n"/>
      <x:c r="O55" s="11" t="n"/>
      <x:c r="P55" s="10" t="n"/>
      <x:c r="Q55" s="11" t="n"/>
      <x:c r="R55" s="10" t="n"/>
      <x:c r="S55" s="10" t="n"/>
      <x:c r="T55" s="10" t="n"/>
      <x:c r="U55" s="12" t="str">
        <x:f>IF($B55="","",IF(OR(AND($G55&lt;&gt;"оригинал",$G55&lt;&gt;"копия",$G55&lt;&gt;"скан",$G55&lt;&gt;"нет"),AND($J55&lt;&gt;"да",$J55&lt;&gt;"нет")),"НЕ ПРОВЕРЕНО: наличие или обязательность",IF(AND($N55="да",OR($O55="",$M55="")),"передан без следа: эксперт или дата",IF(AND($P55="да",$Q55=""),"НЕ ПРОВЕРЕНО: дата запроса",IF($B55="","",IF(AND($J55="да",$G55="нет",$P55&lt;&gt;"да"),"дыра: обязательного документа нет, запрос не направлен",IF(AND($G55="нет",$P55="да",$R55&lt;&gt;"да"),"запрошен, не получен",IF(AND($G55="нет",$J55&lt;&gt;"да"),"отсутствует, на причину не влияет",IF(AND(OR($K55="да",$N55="да"),$M55=""),"передан без следа",IF(AND($K55="да",$L55=""),"передан без следа","в порядке"))))))))))</x:f>
      </x:c>
    </x:row>
    <x:row r="56">
      <x:c r="A56" s="95" t="str">
        <x:f>IF($B56="","",ROW()-6)</x:f>
      </x:c>
      <x:c r="B56" s="96" t="n"/>
      <x:c r="C56" s="96" t="n"/>
      <x:c r="D56" s="96" t="n"/>
      <x:c r="E56" s="97" t="n"/>
      <x:c r="F56" s="96" t="n"/>
      <x:c r="G56" s="96" t="n"/>
      <x:c r="H56" s="96" t="n"/>
      <x:c r="I56" s="96" t="n"/>
      <x:c r="J56" s="96" t="n"/>
      <x:c r="K56" s="96" t="n"/>
      <x:c r="L56" s="97" t="n"/>
      <x:c r="M56" s="96" t="n"/>
      <x:c r="N56" s="96" t="n"/>
      <x:c r="O56" s="11" t="n"/>
      <x:c r="P56" s="10" t="n"/>
      <x:c r="Q56" s="11" t="n"/>
      <x:c r="R56" s="10" t="n"/>
      <x:c r="S56" s="10" t="n"/>
      <x:c r="T56" s="10" t="n"/>
      <x:c r="U56" s="12" t="str">
        <x:f>IF($B56="","",IF(OR(AND($G56&lt;&gt;"оригинал",$G56&lt;&gt;"копия",$G56&lt;&gt;"скан",$G56&lt;&gt;"нет"),AND($J56&lt;&gt;"да",$J56&lt;&gt;"нет")),"НЕ ПРОВЕРЕНО: наличие или обязательность",IF(AND($N56="да",OR($O56="",$M56="")),"передан без следа: эксперт или дата",IF(AND($P56="да",$Q56=""),"НЕ ПРОВЕРЕНО: дата запроса",IF($B56="","",IF(AND($J56="да",$G56="нет",$P56&lt;&gt;"да"),"дыра: обязательного документа нет, запрос не направлен",IF(AND($G56="нет",$P56="да",$R56&lt;&gt;"да"),"запрошен, не получен",IF(AND($G56="нет",$J56&lt;&gt;"да"),"отсутствует, на причину не влияет",IF(AND(OR($K56="да",$N56="да"),$M56=""),"передан без следа",IF(AND($K56="да",$L56=""),"передан без следа","в порядке"))))))))))</x:f>
      </x:c>
    </x:row>
    <x:row r="57">
      <x:c r="A57" s="95" t="str">
        <x:f>IF($B57="","",ROW()-6)</x:f>
      </x:c>
      <x:c r="B57" s="96" t="n"/>
      <x:c r="C57" s="96" t="n"/>
      <x:c r="D57" s="96" t="n"/>
      <x:c r="E57" s="97" t="n"/>
      <x:c r="F57" s="96" t="n"/>
      <x:c r="G57" s="96" t="n"/>
      <x:c r="H57" s="96" t="n"/>
      <x:c r="I57" s="96" t="n"/>
      <x:c r="J57" s="96" t="n"/>
      <x:c r="K57" s="96" t="n"/>
      <x:c r="L57" s="97" t="n"/>
      <x:c r="M57" s="96" t="n"/>
      <x:c r="N57" s="96" t="n"/>
      <x:c r="O57" s="11" t="n"/>
      <x:c r="P57" s="10" t="n"/>
      <x:c r="Q57" s="11" t="n"/>
      <x:c r="R57" s="10" t="n"/>
      <x:c r="S57" s="10" t="n"/>
      <x:c r="T57" s="10" t="n"/>
      <x:c r="U57" s="12" t="str">
        <x:f>IF($B57="","",IF(OR(AND($G57&lt;&gt;"оригинал",$G57&lt;&gt;"копия",$G57&lt;&gt;"скан",$G57&lt;&gt;"нет"),AND($J57&lt;&gt;"да",$J57&lt;&gt;"нет")),"НЕ ПРОВЕРЕНО: наличие или обязательность",IF(AND($N57="да",OR($O57="",$M57="")),"передан без следа: эксперт или дата",IF(AND($P57="да",$Q57=""),"НЕ ПРОВЕРЕНО: дата запроса",IF($B57="","",IF(AND($J57="да",$G57="нет",$P57&lt;&gt;"да"),"дыра: обязательного документа нет, запрос не направлен",IF(AND($G57="нет",$P57="да",$R57&lt;&gt;"да"),"запрошен, не получен",IF(AND($G57="нет",$J57&lt;&gt;"да"),"отсутствует, на причину не влияет",IF(AND(OR($K57="да",$N57="да"),$M57=""),"передан без следа",IF(AND($K57="да",$L57=""),"передан без следа","в порядке"))))))))))</x:f>
      </x:c>
    </x:row>
    <x:row r="58">
      <x:c r="A58" s="95" t="str">
        <x:f>IF($B58="","",ROW()-6)</x:f>
      </x:c>
      <x:c r="B58" s="96" t="n"/>
      <x:c r="C58" s="96" t="n"/>
      <x:c r="D58" s="96" t="n"/>
      <x:c r="E58" s="97" t="n"/>
      <x:c r="F58" s="96" t="n"/>
      <x:c r="G58" s="96" t="n"/>
      <x:c r="H58" s="96" t="n"/>
      <x:c r="I58" s="96" t="n"/>
      <x:c r="J58" s="96" t="n"/>
      <x:c r="K58" s="96" t="n"/>
      <x:c r="L58" s="97" t="n"/>
      <x:c r="M58" s="96" t="n"/>
      <x:c r="N58" s="96" t="n"/>
      <x:c r="O58" s="11" t="n"/>
      <x:c r="P58" s="10" t="n"/>
      <x:c r="Q58" s="11" t="n"/>
      <x:c r="R58" s="10" t="n"/>
      <x:c r="S58" s="10" t="n"/>
      <x:c r="T58" s="10" t="n"/>
      <x:c r="U58" s="12" t="str">
        <x:f>IF($B58="","",IF(OR(AND($G58&lt;&gt;"оригинал",$G58&lt;&gt;"копия",$G58&lt;&gt;"скан",$G58&lt;&gt;"нет"),AND($J58&lt;&gt;"да",$J58&lt;&gt;"нет")),"НЕ ПРОВЕРЕНО: наличие или обязательность",IF(AND($N58="да",OR($O58="",$M58="")),"передан без следа: эксперт или дата",IF(AND($P58="да",$Q58=""),"НЕ ПРОВЕРЕНО: дата запроса",IF($B58="","",IF(AND($J58="да",$G58="нет",$P58&lt;&gt;"да"),"дыра: обязательного документа нет, запрос не направлен",IF(AND($G58="нет",$P58="да",$R58&lt;&gt;"да"),"запрошен, не получен",IF(AND($G58="нет",$J58&lt;&gt;"да"),"отсутствует, на причину не влияет",IF(AND(OR($K58="да",$N58="да"),$M58=""),"передан без следа",IF(AND($K58="да",$L58=""),"передан без следа","в порядке"))))))))))</x:f>
      </x:c>
    </x:row>
    <x:row r="59">
      <x:c r="A59" s="95" t="str">
        <x:f>IF($B59="","",ROW()-6)</x:f>
      </x:c>
      <x:c r="B59" s="96" t="n"/>
      <x:c r="C59" s="96" t="n"/>
      <x:c r="D59" s="96" t="n"/>
      <x:c r="E59" s="97" t="n"/>
      <x:c r="F59" s="96" t="n"/>
      <x:c r="G59" s="96" t="n"/>
      <x:c r="H59" s="96" t="n"/>
      <x:c r="I59" s="96" t="n"/>
      <x:c r="J59" s="96" t="n"/>
      <x:c r="K59" s="96" t="n"/>
      <x:c r="L59" s="97" t="n"/>
      <x:c r="M59" s="96" t="n"/>
      <x:c r="N59" s="96" t="n"/>
      <x:c r="O59" s="11" t="n"/>
      <x:c r="P59" s="10" t="n"/>
      <x:c r="Q59" s="11" t="n"/>
      <x:c r="R59" s="10" t="n"/>
      <x:c r="S59" s="10" t="n"/>
      <x:c r="T59" s="10" t="n"/>
      <x:c r="U59" s="12" t="str">
        <x:f>IF($B59="","",IF(OR(AND($G59&lt;&gt;"оригинал",$G59&lt;&gt;"копия",$G59&lt;&gt;"скан",$G59&lt;&gt;"нет"),AND($J59&lt;&gt;"да",$J59&lt;&gt;"нет")),"НЕ ПРОВЕРЕНО: наличие или обязательность",IF(AND($N59="да",OR($O59="",$M59="")),"передан без следа: эксперт или дата",IF(AND($P59="да",$Q59=""),"НЕ ПРОВЕРЕНО: дата запроса",IF($B59="","",IF(AND($J59="да",$G59="нет",$P59&lt;&gt;"да"),"дыра: обязательного документа нет, запрос не направлен",IF(AND($G59="нет",$P59="да",$R59&lt;&gt;"да"),"запрошен, не получен",IF(AND($G59="нет",$J59&lt;&gt;"да"),"отсутствует, на причину не влияет",IF(AND(OR($K59="да",$N59="да"),$M59=""),"передан без следа",IF(AND($K59="да",$L59=""),"передан без следа","в порядке"))))))))))</x:f>
      </x:c>
    </x:row>
    <x:row r="60">
      <x:c r="A60" s="95" t="str">
        <x:f>IF($B60="","",ROW()-6)</x:f>
      </x:c>
      <x:c r="B60" s="96" t="n"/>
      <x:c r="C60" s="96" t="n"/>
      <x:c r="D60" s="96" t="n"/>
      <x:c r="E60" s="97" t="n"/>
      <x:c r="F60" s="96" t="n"/>
      <x:c r="G60" s="96" t="n"/>
      <x:c r="H60" s="96" t="n"/>
      <x:c r="I60" s="96" t="n"/>
      <x:c r="J60" s="96" t="n"/>
      <x:c r="K60" s="96" t="n"/>
      <x:c r="L60" s="97" t="n"/>
      <x:c r="M60" s="96" t="n"/>
      <x:c r="N60" s="96" t="n"/>
      <x:c r="O60" s="11" t="n"/>
      <x:c r="P60" s="10" t="n"/>
      <x:c r="Q60" s="11" t="n"/>
      <x:c r="R60" s="10" t="n"/>
      <x:c r="S60" s="10" t="n"/>
      <x:c r="T60" s="10" t="n"/>
      <x:c r="U60" s="12" t="str">
        <x:f>IF($B60="","",IF(OR(AND($G60&lt;&gt;"оригинал",$G60&lt;&gt;"копия",$G60&lt;&gt;"скан",$G60&lt;&gt;"нет"),AND($J60&lt;&gt;"да",$J60&lt;&gt;"нет")),"НЕ ПРОВЕРЕНО: наличие или обязательность",IF(AND($N60="да",OR($O60="",$M60="")),"передан без следа: эксперт или дата",IF(AND($P60="да",$Q60=""),"НЕ ПРОВЕРЕНО: дата запроса",IF($B60="","",IF(AND($J60="да",$G60="нет",$P60&lt;&gt;"да"),"дыра: обязательного документа нет, запрос не направлен",IF(AND($G60="нет",$P60="да",$R60&lt;&gt;"да"),"запрошен, не получен",IF(AND($G60="нет",$J60&lt;&gt;"да"),"отсутствует, на причину не влияет",IF(AND(OR($K60="да",$N60="да"),$M60=""),"передан без следа",IF(AND($K60="да",$L60=""),"передан без следа","в порядке"))))))))))</x:f>
      </x:c>
    </x:row>
    <x:row r="61">
      <x:c r="A61" s="95" t="str">
        <x:f>IF($B61="","",ROW()-6)</x:f>
      </x:c>
      <x:c r="B61" s="96" t="n"/>
      <x:c r="C61" s="96" t="n"/>
      <x:c r="D61" s="96" t="n"/>
      <x:c r="E61" s="97" t="n"/>
      <x:c r="F61" s="96" t="n"/>
      <x:c r="G61" s="96" t="n"/>
      <x:c r="H61" s="96" t="n"/>
      <x:c r="I61" s="96" t="n"/>
      <x:c r="J61" s="96" t="n"/>
      <x:c r="K61" s="96" t="n"/>
      <x:c r="L61" s="97" t="n"/>
      <x:c r="M61" s="96" t="n"/>
      <x:c r="N61" s="96" t="n"/>
      <x:c r="O61" s="11" t="n"/>
      <x:c r="P61" s="10" t="n"/>
      <x:c r="Q61" s="11" t="n"/>
      <x:c r="R61" s="10" t="n"/>
      <x:c r="S61" s="10" t="n"/>
      <x:c r="T61" s="10" t="n"/>
      <x:c r="U61" s="12" t="str">
        <x:f>IF($B61="","",IF(OR(AND($G61&lt;&gt;"оригинал",$G61&lt;&gt;"копия",$G61&lt;&gt;"скан",$G61&lt;&gt;"нет"),AND($J61&lt;&gt;"да",$J61&lt;&gt;"нет")),"НЕ ПРОВЕРЕНО: наличие или обязательность",IF(AND($N61="да",OR($O61="",$M61="")),"передан без следа: эксперт или дата",IF(AND($P61="да",$Q61=""),"НЕ ПРОВЕРЕНО: дата запроса",IF($B61="","",IF(AND($J61="да",$G61="нет",$P61&lt;&gt;"да"),"дыра: обязательного документа нет, запрос не направлен",IF(AND($G61="нет",$P61="да",$R61&lt;&gt;"да"),"запрошен, не получен",IF(AND($G61="нет",$J61&lt;&gt;"да"),"отсутствует, на причину не влияет",IF(AND(OR($K61="да",$N61="да"),$M61=""),"передан без следа",IF(AND($K61="да",$L61=""),"передан без следа","в порядке"))))))))))</x:f>
      </x:c>
    </x:row>
    <x:row r="62">
      <x:c r="A62" s="95" t="str">
        <x:f>IF($B62="","",ROW()-6)</x:f>
      </x:c>
      <x:c r="B62" s="96" t="n"/>
      <x:c r="C62" s="96" t="n"/>
      <x:c r="D62" s="96" t="n"/>
      <x:c r="E62" s="97" t="n"/>
      <x:c r="F62" s="96" t="n"/>
      <x:c r="G62" s="96" t="n"/>
      <x:c r="H62" s="96" t="n"/>
      <x:c r="I62" s="96" t="n"/>
      <x:c r="J62" s="96" t="n"/>
      <x:c r="K62" s="96" t="n"/>
      <x:c r="L62" s="97" t="n"/>
      <x:c r="M62" s="96" t="n"/>
      <x:c r="N62" s="96" t="n"/>
      <x:c r="O62" s="11" t="n"/>
      <x:c r="P62" s="10" t="n"/>
      <x:c r="Q62" s="11" t="n"/>
      <x:c r="R62" s="10" t="n"/>
      <x:c r="S62" s="10" t="n"/>
      <x:c r="T62" s="10" t="n"/>
      <x:c r="U62" s="12" t="str">
        <x:f>IF($B62="","",IF(OR(AND($G62&lt;&gt;"оригинал",$G62&lt;&gt;"копия",$G62&lt;&gt;"скан",$G62&lt;&gt;"нет"),AND($J62&lt;&gt;"да",$J62&lt;&gt;"нет")),"НЕ ПРОВЕРЕНО: наличие или обязательность",IF(AND($N62="да",OR($O62="",$M62="")),"передан без следа: эксперт или дата",IF(AND($P62="да",$Q62=""),"НЕ ПРОВЕРЕНО: дата запроса",IF($B62="","",IF(AND($J62="да",$G62="нет",$P62&lt;&gt;"да"),"дыра: обязательного документа нет, запрос не направлен",IF(AND($G62="нет",$P62="да",$R62&lt;&gt;"да"),"запрошен, не получен",IF(AND($G62="нет",$J62&lt;&gt;"да"),"отсутствует, на причину не влияет",IF(AND(OR($K62="да",$N62="да"),$M62=""),"передан без следа",IF(AND($K62="да",$L62=""),"передан без следа","в порядке"))))))))))</x:f>
      </x:c>
    </x:row>
    <x:row r="63">
      <x:c r="A63" s="95" t="str">
        <x:f>IF($B63="","",ROW()-6)</x:f>
      </x:c>
      <x:c r="B63" s="96" t="n"/>
      <x:c r="C63" s="96" t="n"/>
      <x:c r="D63" s="96" t="n"/>
      <x:c r="E63" s="97" t="n"/>
      <x:c r="F63" s="96" t="n"/>
      <x:c r="G63" s="96" t="n"/>
      <x:c r="H63" s="96" t="n"/>
      <x:c r="I63" s="96" t="n"/>
      <x:c r="J63" s="96" t="n"/>
      <x:c r="K63" s="96" t="n"/>
      <x:c r="L63" s="97" t="n"/>
      <x:c r="M63" s="96" t="n"/>
      <x:c r="N63" s="96" t="n"/>
      <x:c r="O63" s="11" t="n"/>
      <x:c r="P63" s="10" t="n"/>
      <x:c r="Q63" s="11" t="n"/>
      <x:c r="R63" s="10" t="n"/>
      <x:c r="S63" s="10" t="n"/>
      <x:c r="T63" s="10" t="n"/>
      <x:c r="U63" s="12" t="str">
        <x:f>IF($B63="","",IF(OR(AND($G63&lt;&gt;"оригинал",$G63&lt;&gt;"копия",$G63&lt;&gt;"скан",$G63&lt;&gt;"нет"),AND($J63&lt;&gt;"да",$J63&lt;&gt;"нет")),"НЕ ПРОВЕРЕНО: наличие или обязательность",IF(AND($N63="да",OR($O63="",$M63="")),"передан без следа: эксперт или дата",IF(AND($P63="да",$Q63=""),"НЕ ПРОВЕРЕНО: дата запроса",IF($B63="","",IF(AND($J63="да",$G63="нет",$P63&lt;&gt;"да"),"дыра: обязательного документа нет, запрос не направлен",IF(AND($G63="нет",$P63="да",$R63&lt;&gt;"да"),"запрошен, не получен",IF(AND($G63="нет",$J63&lt;&gt;"да"),"отсутствует, на причину не влияет",IF(AND(OR($K63="да",$N63="да"),$M63=""),"передан без следа",IF(AND($K63="да",$L63=""),"передан без следа","в порядке"))))))))))</x:f>
      </x:c>
    </x:row>
    <x:row r="64">
      <x:c r="A64" s="95" t="str">
        <x:f>IF($B64="","",ROW()-6)</x:f>
      </x:c>
      <x:c r="B64" s="96" t="n"/>
      <x:c r="C64" s="96" t="n"/>
      <x:c r="D64" s="96" t="n"/>
      <x:c r="E64" s="97" t="n"/>
      <x:c r="F64" s="96" t="n"/>
      <x:c r="G64" s="96" t="n"/>
      <x:c r="H64" s="96" t="n"/>
      <x:c r="I64" s="96" t="n"/>
      <x:c r="J64" s="96" t="n"/>
      <x:c r="K64" s="96" t="n"/>
      <x:c r="L64" s="97" t="n"/>
      <x:c r="M64" s="96" t="n"/>
      <x:c r="N64" s="96" t="n"/>
      <x:c r="O64" s="11" t="n"/>
      <x:c r="P64" s="10" t="n"/>
      <x:c r="Q64" s="11" t="n"/>
      <x:c r="R64" s="10" t="n"/>
      <x:c r="S64" s="10" t="n"/>
      <x:c r="T64" s="10" t="n"/>
      <x:c r="U64" s="12" t="str">
        <x:f>IF($B64="","",IF(OR(AND($G64&lt;&gt;"оригинал",$G64&lt;&gt;"копия",$G64&lt;&gt;"скан",$G64&lt;&gt;"нет"),AND($J64&lt;&gt;"да",$J64&lt;&gt;"нет")),"НЕ ПРОВЕРЕНО: наличие или обязательность",IF(AND($N64="да",OR($O64="",$M64="")),"передан без следа: эксперт или дата",IF(AND($P64="да",$Q64=""),"НЕ ПРОВЕРЕНО: дата запроса",IF($B64="","",IF(AND($J64="да",$G64="нет",$P64&lt;&gt;"да"),"дыра: обязательного документа нет, запрос не направлен",IF(AND($G64="нет",$P64="да",$R64&lt;&gt;"да"),"запрошен, не получен",IF(AND($G64="нет",$J64&lt;&gt;"да"),"отсутствует, на причину не влияет",IF(AND(OR($K64="да",$N64="да"),$M64=""),"передан без следа",IF(AND($K64="да",$L64=""),"передан без следа","в порядке"))))))))))</x:f>
      </x:c>
    </x:row>
    <x:row r="65">
      <x:c r="A65" s="95" t="str">
        <x:f>IF($B65="","",ROW()-6)</x:f>
      </x:c>
      <x:c r="B65" s="96" t="n"/>
      <x:c r="C65" s="96" t="n"/>
      <x:c r="D65" s="96" t="n"/>
      <x:c r="E65" s="97" t="n"/>
      <x:c r="F65" s="96" t="n"/>
      <x:c r="G65" s="96" t="n"/>
      <x:c r="H65" s="96" t="n"/>
      <x:c r="I65" s="96" t="n"/>
      <x:c r="J65" s="96" t="n"/>
      <x:c r="K65" s="96" t="n"/>
      <x:c r="L65" s="97" t="n"/>
      <x:c r="M65" s="96" t="n"/>
      <x:c r="N65" s="96" t="n"/>
      <x:c r="O65" s="11" t="n"/>
      <x:c r="P65" s="10" t="n"/>
      <x:c r="Q65" s="11" t="n"/>
      <x:c r="R65" s="10" t="n"/>
      <x:c r="S65" s="10" t="n"/>
      <x:c r="T65" s="10" t="n"/>
      <x:c r="U65" s="12" t="str">
        <x:f>IF($B65="","",IF(OR(AND($G65&lt;&gt;"оригинал",$G65&lt;&gt;"копия",$G65&lt;&gt;"скан",$G65&lt;&gt;"нет"),AND($J65&lt;&gt;"да",$J65&lt;&gt;"нет")),"НЕ ПРОВЕРЕНО: наличие или обязательность",IF(AND($N65="да",OR($O65="",$M65="")),"передан без следа: эксперт или дата",IF(AND($P65="да",$Q65=""),"НЕ ПРОВЕРЕНО: дата запроса",IF($B65="","",IF(AND($J65="да",$G65="нет",$P65&lt;&gt;"да"),"дыра: обязательного документа нет, запрос не направлен",IF(AND($G65="нет",$P65="да",$R65&lt;&gt;"да"),"запрошен, не получен",IF(AND($G65="нет",$J65&lt;&gt;"да"),"отсутствует, на причину не влияет",IF(AND(OR($K65="да",$N65="да"),$M65=""),"передан без следа",IF(AND($K65="да",$L65=""),"передан без следа","в порядке"))))))))))</x:f>
      </x:c>
    </x:row>
    <x:row r="66">
      <x:c r="A66" s="95" t="str">
        <x:f>IF($B66="","",ROW()-6)</x:f>
      </x:c>
      <x:c r="B66" s="96" t="n"/>
      <x:c r="C66" s="96" t="n"/>
      <x:c r="D66" s="96" t="n"/>
      <x:c r="E66" s="97" t="n"/>
      <x:c r="F66" s="96" t="n"/>
      <x:c r="G66" s="96" t="n"/>
      <x:c r="H66" s="96" t="n"/>
      <x:c r="I66" s="96" t="n"/>
      <x:c r="J66" s="96" t="n"/>
      <x:c r="K66" s="96" t="n"/>
      <x:c r="L66" s="97" t="n"/>
      <x:c r="M66" s="96" t="n"/>
      <x:c r="N66" s="96" t="n"/>
      <x:c r="O66" s="11" t="n"/>
      <x:c r="P66" s="10" t="n"/>
      <x:c r="Q66" s="11" t="n"/>
      <x:c r="R66" s="10" t="n"/>
      <x:c r="S66" s="10" t="n"/>
      <x:c r="T66" s="10" t="n"/>
      <x:c r="U66" s="12" t="str">
        <x:f>IF($B66="","",IF(OR(AND($G66&lt;&gt;"оригинал",$G66&lt;&gt;"копия",$G66&lt;&gt;"скан",$G66&lt;&gt;"нет"),AND($J66&lt;&gt;"да",$J66&lt;&gt;"нет")),"НЕ ПРОВЕРЕНО: наличие или обязательность",IF(AND($N66="да",OR($O66="",$M66="")),"передан без следа: эксперт или дата",IF(AND($P66="да",$Q66=""),"НЕ ПРОВЕРЕНО: дата запроса",IF($B66="","",IF(AND($J66="да",$G66="нет",$P66&lt;&gt;"да"),"дыра: обязательного документа нет, запрос не направлен",IF(AND($G66="нет",$P66="да",$R66&lt;&gt;"да"),"запрошен, не получен",IF(AND($G66="нет",$J66&lt;&gt;"да"),"отсутствует, на причину не влияет",IF(AND(OR($K66="да",$N66="да"),$M66=""),"передан без следа",IF(AND($K66="да",$L66=""),"передан без следа","в порядке"))))))))))</x:f>
      </x:c>
    </x:row>
    <x:row r="67">
      <x:c r="A67" s="95" t="str">
        <x:f>IF($B67="","",ROW()-6)</x:f>
      </x:c>
      <x:c r="B67" s="96" t="n"/>
      <x:c r="C67" s="96" t="n"/>
      <x:c r="D67" s="96" t="n"/>
      <x:c r="E67" s="97" t="n"/>
      <x:c r="F67" s="96" t="n"/>
      <x:c r="G67" s="96" t="n"/>
      <x:c r="H67" s="96" t="n"/>
      <x:c r="I67" s="96" t="n"/>
      <x:c r="J67" s="96" t="n"/>
      <x:c r="K67" s="96" t="n"/>
      <x:c r="L67" s="97" t="n"/>
      <x:c r="M67" s="96" t="n"/>
      <x:c r="N67" s="96" t="n"/>
      <x:c r="O67" s="11" t="n"/>
      <x:c r="P67" s="10" t="n"/>
      <x:c r="Q67" s="11" t="n"/>
      <x:c r="R67" s="10" t="n"/>
      <x:c r="S67" s="10" t="n"/>
      <x:c r="T67" s="10" t="n"/>
      <x:c r="U67" s="12" t="str">
        <x:f>IF($B67="","",IF(OR(AND($G67&lt;&gt;"оригинал",$G67&lt;&gt;"копия",$G67&lt;&gt;"скан",$G67&lt;&gt;"нет"),AND($J67&lt;&gt;"да",$J67&lt;&gt;"нет")),"НЕ ПРОВЕРЕНО: наличие или обязательность",IF(AND($N67="да",OR($O67="",$M67="")),"передан без следа: эксперт или дата",IF(AND($P67="да",$Q67=""),"НЕ ПРОВЕРЕНО: дата запроса",IF($B67="","",IF(AND($J67="да",$G67="нет",$P67&lt;&gt;"да"),"дыра: обязательного документа нет, запрос не направлен",IF(AND($G67="нет",$P67="да",$R67&lt;&gt;"да"),"запрошен, не получен",IF(AND($G67="нет",$J67&lt;&gt;"да"),"отсутствует, на причину не влияет",IF(AND(OR($K67="да",$N67="да"),$M67=""),"передан без следа",IF(AND($K67="да",$L67=""),"передан без следа","в порядке"))))))))))</x:f>
      </x:c>
    </x:row>
    <x:row r="68">
      <x:c r="A68" s="95" t="str">
        <x:f>IF($B68="","",ROW()-6)</x:f>
      </x:c>
      <x:c r="B68" s="96" t="n"/>
      <x:c r="C68" s="96" t="n"/>
      <x:c r="D68" s="96" t="n"/>
      <x:c r="E68" s="97" t="n"/>
      <x:c r="F68" s="96" t="n"/>
      <x:c r="G68" s="96" t="n"/>
      <x:c r="H68" s="96" t="n"/>
      <x:c r="I68" s="96" t="n"/>
      <x:c r="J68" s="96" t="n"/>
      <x:c r="K68" s="96" t="n"/>
      <x:c r="L68" s="97" t="n"/>
      <x:c r="M68" s="96" t="n"/>
      <x:c r="N68" s="96" t="n"/>
      <x:c r="O68" s="11" t="n"/>
      <x:c r="P68" s="10" t="n"/>
      <x:c r="Q68" s="11" t="n"/>
      <x:c r="R68" s="10" t="n"/>
      <x:c r="S68" s="10" t="n"/>
      <x:c r="T68" s="10" t="n"/>
      <x:c r="U68" s="12" t="str">
        <x:f>IF($B68="","",IF(OR(AND($G68&lt;&gt;"оригинал",$G68&lt;&gt;"копия",$G68&lt;&gt;"скан",$G68&lt;&gt;"нет"),AND($J68&lt;&gt;"да",$J68&lt;&gt;"нет")),"НЕ ПРОВЕРЕНО: наличие или обязательность",IF(AND($N68="да",OR($O68="",$M68="")),"передан без следа: эксперт или дата",IF(AND($P68="да",$Q68=""),"НЕ ПРОВЕРЕНО: дата запроса",IF($B68="","",IF(AND($J68="да",$G68="нет",$P68&lt;&gt;"да"),"дыра: обязательного документа нет, запрос не направлен",IF(AND($G68="нет",$P68="да",$R68&lt;&gt;"да"),"запрошен, не получен",IF(AND($G68="нет",$J68&lt;&gt;"да"),"отсутствует, на причину не влияет",IF(AND(OR($K68="да",$N68="да"),$M68=""),"передан без следа",IF(AND($K68="да",$L68=""),"передан без следа","в порядке"))))))))))</x:f>
      </x:c>
    </x:row>
    <x:row r="69">
      <x:c r="A69" s="95" t="str">
        <x:f>IF($B69="","",ROW()-6)</x:f>
      </x:c>
      <x:c r="B69" s="96" t="n"/>
      <x:c r="C69" s="96" t="n"/>
      <x:c r="D69" s="96" t="n"/>
      <x:c r="E69" s="97" t="n"/>
      <x:c r="F69" s="96" t="n"/>
      <x:c r="G69" s="96" t="n"/>
      <x:c r="H69" s="96" t="n"/>
      <x:c r="I69" s="96" t="n"/>
      <x:c r="J69" s="96" t="n"/>
      <x:c r="K69" s="96" t="n"/>
      <x:c r="L69" s="97" t="n"/>
      <x:c r="M69" s="96" t="n"/>
      <x:c r="N69" s="96" t="n"/>
      <x:c r="O69" s="11" t="n"/>
      <x:c r="P69" s="10" t="n"/>
      <x:c r="Q69" s="11" t="n"/>
      <x:c r="R69" s="10" t="n"/>
      <x:c r="S69" s="10" t="n"/>
      <x:c r="T69" s="10" t="n"/>
      <x:c r="U69" s="12" t="str">
        <x:f>IF($B69="","",IF(OR(AND($G69&lt;&gt;"оригинал",$G69&lt;&gt;"копия",$G69&lt;&gt;"скан",$G69&lt;&gt;"нет"),AND($J69&lt;&gt;"да",$J69&lt;&gt;"нет")),"НЕ ПРОВЕРЕНО: наличие или обязательность",IF(AND($N69="да",OR($O69="",$M69="")),"передан без следа: эксперт или дата",IF(AND($P69="да",$Q69=""),"НЕ ПРОВЕРЕНО: дата запроса",IF($B69="","",IF(AND($J69="да",$G69="нет",$P69&lt;&gt;"да"),"дыра: обязательного документа нет, запрос не направлен",IF(AND($G69="нет",$P69="да",$R69&lt;&gt;"да"),"запрошен, не получен",IF(AND($G69="нет",$J69&lt;&gt;"да"),"отсутствует, на причину не влияет",IF(AND(OR($K69="да",$N69="да"),$M69=""),"передан без следа",IF(AND($K69="да",$L69=""),"передан без следа","в порядке"))))))))))</x:f>
      </x:c>
    </x:row>
    <x:row r="70">
      <x:c r="A70" s="95" t="str">
        <x:f>IF($B70="","",ROW()-6)</x:f>
      </x:c>
      <x:c r="B70" s="96" t="n"/>
      <x:c r="C70" s="96" t="n"/>
      <x:c r="D70" s="96" t="n"/>
      <x:c r="E70" s="97" t="n"/>
      <x:c r="F70" s="96" t="n"/>
      <x:c r="G70" s="96" t="n"/>
      <x:c r="H70" s="96" t="n"/>
      <x:c r="I70" s="96" t="n"/>
      <x:c r="J70" s="96" t="n"/>
      <x:c r="K70" s="96" t="n"/>
      <x:c r="L70" s="97" t="n"/>
      <x:c r="M70" s="96" t="n"/>
      <x:c r="N70" s="96" t="n"/>
      <x:c r="O70" s="11" t="n"/>
      <x:c r="P70" s="10" t="n"/>
      <x:c r="Q70" s="11" t="n"/>
      <x:c r="R70" s="10" t="n"/>
      <x:c r="S70" s="10" t="n"/>
      <x:c r="T70" s="10" t="n"/>
      <x:c r="U70" s="12" t="str">
        <x:f>IF($B70="","",IF(OR(AND($G70&lt;&gt;"оригинал",$G70&lt;&gt;"копия",$G70&lt;&gt;"скан",$G70&lt;&gt;"нет"),AND($J70&lt;&gt;"да",$J70&lt;&gt;"нет")),"НЕ ПРОВЕРЕНО: наличие или обязательность",IF(AND($N70="да",OR($O70="",$M70="")),"передан без следа: эксперт или дата",IF(AND($P70="да",$Q70=""),"НЕ ПРОВЕРЕНО: дата запроса",IF($B70="","",IF(AND($J70="да",$G70="нет",$P70&lt;&gt;"да"),"дыра: обязательного документа нет, запрос не направлен",IF(AND($G70="нет",$P70="да",$R70&lt;&gt;"да"),"запрошен, не получен",IF(AND($G70="нет",$J70&lt;&gt;"да"),"отсутствует, на причину не влияет",IF(AND(OR($K70="да",$N70="да"),$M70=""),"передан без следа",IF(AND($K70="да",$L70=""),"передан без следа","в порядке"))))))))))</x:f>
      </x:c>
    </x:row>
    <x:row r="71">
      <x:c r="A71" s="95" t="str">
        <x:f>IF($B71="","",ROW()-6)</x:f>
      </x:c>
      <x:c r="B71" s="96" t="n"/>
      <x:c r="C71" s="96" t="n"/>
      <x:c r="D71" s="96" t="n"/>
      <x:c r="E71" s="97" t="n"/>
      <x:c r="F71" s="96" t="n"/>
      <x:c r="G71" s="96" t="n"/>
      <x:c r="H71" s="96" t="n"/>
      <x:c r="I71" s="96" t="n"/>
      <x:c r="J71" s="96" t="n"/>
      <x:c r="K71" s="96" t="n"/>
      <x:c r="L71" s="97" t="n"/>
      <x:c r="M71" s="96" t="n"/>
      <x:c r="N71" s="96" t="n"/>
      <x:c r="O71" s="11" t="n"/>
      <x:c r="P71" s="10" t="n"/>
      <x:c r="Q71" s="11" t="n"/>
      <x:c r="R71" s="10" t="n"/>
      <x:c r="S71" s="10" t="n"/>
      <x:c r="T71" s="10" t="n"/>
      <x:c r="U71" s="12" t="str">
        <x:f>IF($B71="","",IF(OR(AND($G71&lt;&gt;"оригинал",$G71&lt;&gt;"копия",$G71&lt;&gt;"скан",$G71&lt;&gt;"нет"),AND($J71&lt;&gt;"да",$J71&lt;&gt;"нет")),"НЕ ПРОВЕРЕНО: наличие или обязательность",IF(AND($N71="да",OR($O71="",$M71="")),"передан без следа: эксперт или дата",IF(AND($P71="да",$Q71=""),"НЕ ПРОВЕРЕНО: дата запроса",IF($B71="","",IF(AND($J71="да",$G71="нет",$P71&lt;&gt;"да"),"дыра: обязательного документа нет, запрос не направлен",IF(AND($G71="нет",$P71="да",$R71&lt;&gt;"да"),"запрошен, не получен",IF(AND($G71="нет",$J71&lt;&gt;"да"),"отсутствует, на причину не влияет",IF(AND(OR($K71="да",$N71="да"),$M71=""),"передан без следа",IF(AND($K71="да",$L71=""),"передан без следа","в порядке"))))))))))</x:f>
      </x:c>
    </x:row>
    <x:row r="72">
      <x:c r="A72" s="95" t="str">
        <x:f>IF($B72="","",ROW()-6)</x:f>
      </x:c>
      <x:c r="B72" s="96" t="n"/>
      <x:c r="C72" s="96" t="n"/>
      <x:c r="D72" s="96" t="n"/>
      <x:c r="E72" s="97" t="n"/>
      <x:c r="F72" s="96" t="n"/>
      <x:c r="G72" s="96" t="n"/>
      <x:c r="H72" s="96" t="n"/>
      <x:c r="I72" s="96" t="n"/>
      <x:c r="J72" s="96" t="n"/>
      <x:c r="K72" s="96" t="n"/>
      <x:c r="L72" s="97" t="n"/>
      <x:c r="M72" s="96" t="n"/>
      <x:c r="N72" s="96" t="n"/>
      <x:c r="O72" s="11" t="n"/>
      <x:c r="P72" s="10" t="n"/>
      <x:c r="Q72" s="11" t="n"/>
      <x:c r="R72" s="10" t="n"/>
      <x:c r="S72" s="10" t="n"/>
      <x:c r="T72" s="10" t="n"/>
      <x:c r="U72" s="12" t="str">
        <x:f>IF($B72="","",IF(OR(AND($G72&lt;&gt;"оригинал",$G72&lt;&gt;"копия",$G72&lt;&gt;"скан",$G72&lt;&gt;"нет"),AND($J72&lt;&gt;"да",$J72&lt;&gt;"нет")),"НЕ ПРОВЕРЕНО: наличие или обязательность",IF(AND($N72="да",OR($O72="",$M72="")),"передан без следа: эксперт или дата",IF(AND($P72="да",$Q72=""),"НЕ ПРОВЕРЕНО: дата запроса",IF($B72="","",IF(AND($J72="да",$G72="нет",$P72&lt;&gt;"да"),"дыра: обязательного документа нет, запрос не направлен",IF(AND($G72="нет",$P72="да",$R72&lt;&gt;"да"),"запрошен, не получен",IF(AND($G72="нет",$J72&lt;&gt;"да"),"отсутствует, на причину не влияет",IF(AND(OR($K72="да",$N72="да"),$M72=""),"передан без следа",IF(AND($K72="да",$L72=""),"передан без следа","в порядке"))))))))))</x:f>
      </x:c>
    </x:row>
    <x:row r="73">
      <x:c r="A73" s="95" t="str">
        <x:f>IF($B73="","",ROW()-6)</x:f>
      </x:c>
      <x:c r="B73" s="96" t="n"/>
      <x:c r="C73" s="96" t="n"/>
      <x:c r="D73" s="96" t="n"/>
      <x:c r="E73" s="97" t="n"/>
      <x:c r="F73" s="96" t="n"/>
      <x:c r="G73" s="96" t="n"/>
      <x:c r="H73" s="96" t="n"/>
      <x:c r="I73" s="96" t="n"/>
      <x:c r="J73" s="96" t="n"/>
      <x:c r="K73" s="96" t="n"/>
      <x:c r="L73" s="97" t="n"/>
      <x:c r="M73" s="96" t="n"/>
      <x:c r="N73" s="96" t="n"/>
      <x:c r="O73" s="11" t="n"/>
      <x:c r="P73" s="10" t="n"/>
      <x:c r="Q73" s="11" t="n"/>
      <x:c r="R73" s="10" t="n"/>
      <x:c r="S73" s="10" t="n"/>
      <x:c r="T73" s="10" t="n"/>
      <x:c r="U73" s="12" t="str">
        <x:f>IF($B73="","",IF(OR(AND($G73&lt;&gt;"оригинал",$G73&lt;&gt;"копия",$G73&lt;&gt;"скан",$G73&lt;&gt;"нет"),AND($J73&lt;&gt;"да",$J73&lt;&gt;"нет")),"НЕ ПРОВЕРЕНО: наличие или обязательность",IF(AND($N73="да",OR($O73="",$M73="")),"передан без следа: эксперт или дата",IF(AND($P73="да",$Q73=""),"НЕ ПРОВЕРЕНО: дата запроса",IF($B73="","",IF(AND($J73="да",$G73="нет",$P73&lt;&gt;"да"),"дыра: обязательного документа нет, запрос не направлен",IF(AND($G73="нет",$P73="да",$R73&lt;&gt;"да"),"запрошен, не получен",IF(AND($G73="нет",$J73&lt;&gt;"да"),"отсутствует, на причину не влияет",IF(AND(OR($K73="да",$N73="да"),$M73=""),"передан без следа",IF(AND($K73="да",$L73=""),"передан без следа","в порядке"))))))))))</x:f>
      </x:c>
    </x:row>
    <x:row r="74">
      <x:c r="A74" s="95" t="str">
        <x:f>IF($B74="","",ROW()-6)</x:f>
      </x:c>
      <x:c r="B74" s="96" t="n"/>
      <x:c r="C74" s="96" t="n"/>
      <x:c r="D74" s="96" t="n"/>
      <x:c r="E74" s="97" t="n"/>
      <x:c r="F74" s="96" t="n"/>
      <x:c r="G74" s="96" t="n"/>
      <x:c r="H74" s="96" t="n"/>
      <x:c r="I74" s="96" t="n"/>
      <x:c r="J74" s="96" t="n"/>
      <x:c r="K74" s="96" t="n"/>
      <x:c r="L74" s="97" t="n"/>
      <x:c r="M74" s="96" t="n"/>
      <x:c r="N74" s="96" t="n"/>
      <x:c r="O74" s="11" t="n"/>
      <x:c r="P74" s="10" t="n"/>
      <x:c r="Q74" s="11" t="n"/>
      <x:c r="R74" s="10" t="n"/>
      <x:c r="S74" s="10" t="n"/>
      <x:c r="T74" s="10" t="n"/>
      <x:c r="U74" s="12" t="str">
        <x:f>IF($B74="","",IF(OR(AND($G74&lt;&gt;"оригинал",$G74&lt;&gt;"копия",$G74&lt;&gt;"скан",$G74&lt;&gt;"нет"),AND($J74&lt;&gt;"да",$J74&lt;&gt;"нет")),"НЕ ПРОВЕРЕНО: наличие или обязательность",IF(AND($N74="да",OR($O74="",$M74="")),"передан без следа: эксперт или дата",IF(AND($P74="да",$Q74=""),"НЕ ПРОВЕРЕНО: дата запроса",IF($B74="","",IF(AND($J74="да",$G74="нет",$P74&lt;&gt;"да"),"дыра: обязательного документа нет, запрос не направлен",IF(AND($G74="нет",$P74="да",$R74&lt;&gt;"да"),"запрошен, не получен",IF(AND($G74="нет",$J74&lt;&gt;"да"),"отсутствует, на причину не влияет",IF(AND(OR($K74="да",$N74="да"),$M74=""),"передан без следа",IF(AND($K74="да",$L74=""),"передан без следа","в порядке"))))))))))</x:f>
      </x:c>
    </x:row>
    <x:row r="75">
      <x:c r="A75" s="95" t="str">
        <x:f>IF($B75="","",ROW()-6)</x:f>
      </x:c>
      <x:c r="B75" s="96" t="n"/>
      <x:c r="C75" s="96" t="n"/>
      <x:c r="D75" s="96" t="n"/>
      <x:c r="E75" s="97" t="n"/>
      <x:c r="F75" s="96" t="n"/>
      <x:c r="G75" s="96" t="n"/>
      <x:c r="H75" s="96" t="n"/>
      <x:c r="I75" s="96" t="n"/>
      <x:c r="J75" s="96" t="n"/>
      <x:c r="K75" s="96" t="n"/>
      <x:c r="L75" s="97" t="n"/>
      <x:c r="M75" s="96" t="n"/>
      <x:c r="N75" s="96" t="n"/>
      <x:c r="O75" s="11" t="n"/>
      <x:c r="P75" s="10" t="n"/>
      <x:c r="Q75" s="11" t="n"/>
      <x:c r="R75" s="10" t="n"/>
      <x:c r="S75" s="10" t="n"/>
      <x:c r="T75" s="10" t="n"/>
      <x:c r="U75" s="12" t="str">
        <x:f>IF($B75="","",IF(OR(AND($G75&lt;&gt;"оригинал",$G75&lt;&gt;"копия",$G75&lt;&gt;"скан",$G75&lt;&gt;"нет"),AND($J75&lt;&gt;"да",$J75&lt;&gt;"нет")),"НЕ ПРОВЕРЕНО: наличие или обязательность",IF(AND($N75="да",OR($O75="",$M75="")),"передан без следа: эксперт или дата",IF(AND($P75="да",$Q75=""),"НЕ ПРОВЕРЕНО: дата запроса",IF($B75="","",IF(AND($J75="да",$G75="нет",$P75&lt;&gt;"да"),"дыра: обязательного документа нет, запрос не направлен",IF(AND($G75="нет",$P75="да",$R75&lt;&gt;"да"),"запрошен, не получен",IF(AND($G75="нет",$J75&lt;&gt;"да"),"отсутствует, на причину не влияет",IF(AND(OR($K75="да",$N75="да"),$M75=""),"передан без следа",IF(AND($K75="да",$L75=""),"передан без следа","в порядке"))))))))))</x:f>
      </x:c>
    </x:row>
    <x:row r="76">
      <x:c r="A76" s="95" t="str">
        <x:f>IF($B76="","",ROW()-6)</x:f>
      </x:c>
      <x:c r="B76" s="96" t="n"/>
      <x:c r="C76" s="96" t="n"/>
      <x:c r="D76" s="96" t="n"/>
      <x:c r="E76" s="97" t="n"/>
      <x:c r="F76" s="96" t="n"/>
      <x:c r="G76" s="96" t="n"/>
      <x:c r="H76" s="96" t="n"/>
      <x:c r="I76" s="96" t="n"/>
      <x:c r="J76" s="96" t="n"/>
      <x:c r="K76" s="96" t="n"/>
      <x:c r="L76" s="97" t="n"/>
      <x:c r="M76" s="96" t="n"/>
      <x:c r="N76" s="96" t="n"/>
      <x:c r="O76" s="11" t="n"/>
      <x:c r="P76" s="10" t="n"/>
      <x:c r="Q76" s="11" t="n"/>
      <x:c r="R76" s="10" t="n"/>
      <x:c r="S76" s="10" t="n"/>
      <x:c r="T76" s="10" t="n"/>
      <x:c r="U76" s="12" t="str">
        <x:f>IF($B76="","",IF(OR(AND($G76&lt;&gt;"оригинал",$G76&lt;&gt;"копия",$G76&lt;&gt;"скан",$G76&lt;&gt;"нет"),AND($J76&lt;&gt;"да",$J76&lt;&gt;"нет")),"НЕ ПРОВЕРЕНО: наличие или обязательность",IF(AND($N76="да",OR($O76="",$M76="")),"передан без следа: эксперт или дата",IF(AND($P76="да",$Q76=""),"НЕ ПРОВЕРЕНО: дата запроса",IF($B76="","",IF(AND($J76="да",$G76="нет",$P76&lt;&gt;"да"),"дыра: обязательного документа нет, запрос не направлен",IF(AND($G76="нет",$P76="да",$R76&lt;&gt;"да"),"запрошен, не получен",IF(AND($G76="нет",$J76&lt;&gt;"да"),"отсутствует, на причину не влияет",IF(AND(OR($K76="да",$N76="да"),$M76=""),"передан без следа",IF(AND($K76="да",$L76=""),"передан без следа","в порядке"))))))))))</x:f>
      </x:c>
    </x:row>
    <x:row r="77">
      <x:c r="A77" s="95" t="str">
        <x:f>IF($B77="","",ROW()-6)</x:f>
      </x:c>
      <x:c r="B77" s="96" t="n"/>
      <x:c r="C77" s="96" t="n"/>
      <x:c r="D77" s="96" t="n"/>
      <x:c r="E77" s="97" t="n"/>
      <x:c r="F77" s="96" t="n"/>
      <x:c r="G77" s="96" t="n"/>
      <x:c r="H77" s="96" t="n"/>
      <x:c r="I77" s="96" t="n"/>
      <x:c r="J77" s="96" t="n"/>
      <x:c r="K77" s="96" t="n"/>
      <x:c r="L77" s="97" t="n"/>
      <x:c r="M77" s="96" t="n"/>
      <x:c r="N77" s="96" t="n"/>
      <x:c r="O77" s="11" t="n"/>
      <x:c r="P77" s="10" t="n"/>
      <x:c r="Q77" s="11" t="n"/>
      <x:c r="R77" s="10" t="n"/>
      <x:c r="S77" s="10" t="n"/>
      <x:c r="T77" s="10" t="n"/>
      <x:c r="U77" s="12" t="str">
        <x:f>IF($B77="","",IF(OR(AND($G77&lt;&gt;"оригинал",$G77&lt;&gt;"копия",$G77&lt;&gt;"скан",$G77&lt;&gt;"нет"),AND($J77&lt;&gt;"да",$J77&lt;&gt;"нет")),"НЕ ПРОВЕРЕНО: наличие или обязательность",IF(AND($N77="да",OR($O77="",$M77="")),"передан без следа: эксперт или дата",IF(AND($P77="да",$Q77=""),"НЕ ПРОВЕРЕНО: дата запроса",IF($B77="","",IF(AND($J77="да",$G77="нет",$P77&lt;&gt;"да"),"дыра: обязательного документа нет, запрос не направлен",IF(AND($G77="нет",$P77="да",$R77&lt;&gt;"да"),"запрошен, не получен",IF(AND($G77="нет",$J77&lt;&gt;"да"),"отсутствует, на причину не влияет",IF(AND(OR($K77="да",$N77="да"),$M77=""),"передан без следа",IF(AND($K77="да",$L77=""),"передан без следа","в порядке"))))))))))</x:f>
      </x:c>
    </x:row>
    <x:row r="78">
      <x:c r="A78" s="95" t="str">
        <x:f>IF($B78="","",ROW()-6)</x:f>
      </x:c>
      <x:c r="B78" s="96" t="n"/>
      <x:c r="C78" s="96" t="n"/>
      <x:c r="D78" s="96" t="n"/>
      <x:c r="E78" s="97" t="n"/>
      <x:c r="F78" s="96" t="n"/>
      <x:c r="G78" s="96" t="n"/>
      <x:c r="H78" s="96" t="n"/>
      <x:c r="I78" s="96" t="n"/>
      <x:c r="J78" s="96" t="n"/>
      <x:c r="K78" s="96" t="n"/>
      <x:c r="L78" s="97" t="n"/>
      <x:c r="M78" s="96" t="n"/>
      <x:c r="N78" s="96" t="n"/>
      <x:c r="O78" s="11" t="n"/>
      <x:c r="P78" s="10" t="n"/>
      <x:c r="Q78" s="11" t="n"/>
      <x:c r="R78" s="10" t="n"/>
      <x:c r="S78" s="10" t="n"/>
      <x:c r="T78" s="10" t="n"/>
      <x:c r="U78" s="12" t="str">
        <x:f>IF($B78="","",IF(OR(AND($G78&lt;&gt;"оригинал",$G78&lt;&gt;"копия",$G78&lt;&gt;"скан",$G78&lt;&gt;"нет"),AND($J78&lt;&gt;"да",$J78&lt;&gt;"нет")),"НЕ ПРОВЕРЕНО: наличие или обязательность",IF(AND($N78="да",OR($O78="",$M78="")),"передан без следа: эксперт или дата",IF(AND($P78="да",$Q78=""),"НЕ ПРОВЕРЕНО: дата запроса",IF($B78="","",IF(AND($J78="да",$G78="нет",$P78&lt;&gt;"да"),"дыра: обязательного документа нет, запрос не направлен",IF(AND($G78="нет",$P78="да",$R78&lt;&gt;"да"),"запрошен, не получен",IF(AND($G78="нет",$J78&lt;&gt;"да"),"отсутствует, на причину не влияет",IF(AND(OR($K78="да",$N78="да"),$M78=""),"передан без следа",IF(AND($K78="да",$L78=""),"передан без следа","в порядке"))))))))))</x:f>
      </x:c>
    </x:row>
    <x:row r="79">
      <x:c r="A79" s="95" t="str">
        <x:f>IF($B79="","",ROW()-6)</x:f>
      </x:c>
      <x:c r="B79" s="96" t="n"/>
      <x:c r="C79" s="96" t="n"/>
      <x:c r="D79" s="96" t="n"/>
      <x:c r="E79" s="97" t="n"/>
      <x:c r="F79" s="96" t="n"/>
      <x:c r="G79" s="96" t="n"/>
      <x:c r="H79" s="96" t="n"/>
      <x:c r="I79" s="96" t="n"/>
      <x:c r="J79" s="96" t="n"/>
      <x:c r="K79" s="96" t="n"/>
      <x:c r="L79" s="97" t="n"/>
      <x:c r="M79" s="96" t="n"/>
      <x:c r="N79" s="96" t="n"/>
      <x:c r="O79" s="11" t="n"/>
      <x:c r="P79" s="10" t="n"/>
      <x:c r="Q79" s="11" t="n"/>
      <x:c r="R79" s="10" t="n"/>
      <x:c r="S79" s="10" t="n"/>
      <x:c r="T79" s="10" t="n"/>
      <x:c r="U79" s="12" t="str">
        <x:f>IF($B79="","",IF(OR(AND($G79&lt;&gt;"оригинал",$G79&lt;&gt;"копия",$G79&lt;&gt;"скан",$G79&lt;&gt;"нет"),AND($J79&lt;&gt;"да",$J79&lt;&gt;"нет")),"НЕ ПРОВЕРЕНО: наличие или обязательность",IF(AND($N79="да",OR($O79="",$M79="")),"передан без следа: эксперт или дата",IF(AND($P79="да",$Q79=""),"НЕ ПРОВЕРЕНО: дата запроса",IF($B79="","",IF(AND($J79="да",$G79="нет",$P79&lt;&gt;"да"),"дыра: обязательного документа нет, запрос не направлен",IF(AND($G79="нет",$P79="да",$R79&lt;&gt;"да"),"запрошен, не получен",IF(AND($G79="нет",$J79&lt;&gt;"да"),"отсутствует, на причину не влияет",IF(AND(OR($K79="да",$N79="да"),$M79=""),"передан без следа",IF(AND($K79="да",$L79=""),"передан без следа","в порядке"))))))))))</x:f>
      </x:c>
    </x:row>
    <x:row r="80">
      <x:c r="A80" s="95" t="str">
        <x:f>IF($B80="","",ROW()-6)</x:f>
      </x:c>
      <x:c r="B80" s="96" t="n"/>
      <x:c r="C80" s="96" t="n"/>
      <x:c r="D80" s="96" t="n"/>
      <x:c r="E80" s="97" t="n"/>
      <x:c r="F80" s="96" t="n"/>
      <x:c r="G80" s="96" t="n"/>
      <x:c r="H80" s="96" t="n"/>
      <x:c r="I80" s="96" t="n"/>
      <x:c r="J80" s="96" t="n"/>
      <x:c r="K80" s="96" t="n"/>
      <x:c r="L80" s="97" t="n"/>
      <x:c r="M80" s="96" t="n"/>
      <x:c r="N80" s="96" t="n"/>
      <x:c r="O80" s="11" t="n"/>
      <x:c r="P80" s="10" t="n"/>
      <x:c r="Q80" s="11" t="n"/>
      <x:c r="R80" s="10" t="n"/>
      <x:c r="S80" s="10" t="n"/>
      <x:c r="T80" s="10" t="n"/>
      <x:c r="U80" s="12" t="str">
        <x:f>IF($B80="","",IF(OR(AND($G80&lt;&gt;"оригинал",$G80&lt;&gt;"копия",$G80&lt;&gt;"скан",$G80&lt;&gt;"нет"),AND($J80&lt;&gt;"да",$J80&lt;&gt;"нет")),"НЕ ПРОВЕРЕНО: наличие или обязательность",IF(AND($N80="да",OR($O80="",$M80="")),"передан без следа: эксперт или дата",IF(AND($P80="да",$Q80=""),"НЕ ПРОВЕРЕНО: дата запроса",IF($B80="","",IF(AND($J80="да",$G80="нет",$P80&lt;&gt;"да"),"дыра: обязательного документа нет, запрос не направлен",IF(AND($G80="нет",$P80="да",$R80&lt;&gt;"да"),"запрошен, не получен",IF(AND($G80="нет",$J80&lt;&gt;"да"),"отсутствует, на причину не влияет",IF(AND(OR($K80="да",$N80="да"),$M80=""),"передан без следа",IF(AND($K80="да",$L80=""),"передан без следа","в порядке"))))))))))</x:f>
      </x:c>
    </x:row>
    <x:row r="81">
      <x:c r="A81" s="95" t="str">
        <x:f>IF($B81="","",ROW()-6)</x:f>
      </x:c>
      <x:c r="B81" s="96" t="n"/>
      <x:c r="C81" s="96" t="n"/>
      <x:c r="D81" s="96" t="n"/>
      <x:c r="E81" s="97" t="n"/>
      <x:c r="F81" s="96" t="n"/>
      <x:c r="G81" s="96" t="n"/>
      <x:c r="H81" s="96" t="n"/>
      <x:c r="I81" s="96" t="n"/>
      <x:c r="J81" s="96" t="n"/>
      <x:c r="K81" s="96" t="n"/>
      <x:c r="L81" s="97" t="n"/>
      <x:c r="M81" s="96" t="n"/>
      <x:c r="N81" s="96" t="n"/>
      <x:c r="O81" s="11" t="n"/>
      <x:c r="P81" s="10" t="n"/>
      <x:c r="Q81" s="11" t="n"/>
      <x:c r="R81" s="10" t="n"/>
      <x:c r="S81" s="10" t="n"/>
      <x:c r="T81" s="10" t="n"/>
      <x:c r="U81" s="12" t="str">
        <x:f>IF($B81="","",IF(OR(AND($G81&lt;&gt;"оригинал",$G81&lt;&gt;"копия",$G81&lt;&gt;"скан",$G81&lt;&gt;"нет"),AND($J81&lt;&gt;"да",$J81&lt;&gt;"нет")),"НЕ ПРОВЕРЕНО: наличие или обязательность",IF(AND($N81="да",OR($O81="",$M81="")),"передан без следа: эксперт или дата",IF(AND($P81="да",$Q81=""),"НЕ ПРОВЕРЕНО: дата запроса",IF($B81="","",IF(AND($J81="да",$G81="нет",$P81&lt;&gt;"да"),"дыра: обязательного документа нет, запрос не направлен",IF(AND($G81="нет",$P81="да",$R81&lt;&gt;"да"),"запрошен, не получен",IF(AND($G81="нет",$J81&lt;&gt;"да"),"отсутствует, на причину не влияет",IF(AND(OR($K81="да",$N81="да"),$M81=""),"передан без следа",IF(AND($K81="да",$L81=""),"передан без следа","в порядке"))))))))))</x:f>
      </x:c>
    </x:row>
    <x:row r="82">
      <x:c r="A82" s="95" t="str">
        <x:f>IF($B82="","",ROW()-6)</x:f>
      </x:c>
      <x:c r="B82" s="96" t="n"/>
      <x:c r="C82" s="96" t="n"/>
      <x:c r="D82" s="96" t="n"/>
      <x:c r="E82" s="97" t="n"/>
      <x:c r="F82" s="96" t="n"/>
      <x:c r="G82" s="96" t="n"/>
      <x:c r="H82" s="96" t="n"/>
      <x:c r="I82" s="96" t="n"/>
      <x:c r="J82" s="96" t="n"/>
      <x:c r="K82" s="96" t="n"/>
      <x:c r="L82" s="97" t="n"/>
      <x:c r="M82" s="96" t="n"/>
      <x:c r="N82" s="96" t="n"/>
      <x:c r="O82" s="11" t="n"/>
      <x:c r="P82" s="10" t="n"/>
      <x:c r="Q82" s="11" t="n"/>
      <x:c r="R82" s="10" t="n"/>
      <x:c r="S82" s="10" t="n"/>
      <x:c r="T82" s="10" t="n"/>
      <x:c r="U82" s="12" t="str">
        <x:f>IF($B82="","",IF(OR(AND($G82&lt;&gt;"оригинал",$G82&lt;&gt;"копия",$G82&lt;&gt;"скан",$G82&lt;&gt;"нет"),AND($J82&lt;&gt;"да",$J82&lt;&gt;"нет")),"НЕ ПРОВЕРЕНО: наличие или обязательность",IF(AND($N82="да",OR($O82="",$M82="")),"передан без следа: эксперт или дата",IF(AND($P82="да",$Q82=""),"НЕ ПРОВЕРЕНО: дата запроса",IF($B82="","",IF(AND($J82="да",$G82="нет",$P82&lt;&gt;"да"),"дыра: обязательного документа нет, запрос не направлен",IF(AND($G82="нет",$P82="да",$R82&lt;&gt;"да"),"запрошен, не получен",IF(AND($G82="нет",$J82&lt;&gt;"да"),"отсутствует, на причину не влияет",IF(AND(OR($K82="да",$N82="да"),$M82=""),"передан без следа",IF(AND($K82="да",$L82=""),"передан без следа","в порядке"))))))))))</x:f>
      </x:c>
    </x:row>
    <x:row r="83">
      <x:c r="A83" s="95" t="str">
        <x:f>IF($B83="","",ROW()-6)</x:f>
      </x:c>
      <x:c r="B83" s="96" t="n"/>
      <x:c r="C83" s="96" t="n"/>
      <x:c r="D83" s="96" t="n"/>
      <x:c r="E83" s="97" t="n"/>
      <x:c r="F83" s="96" t="n"/>
      <x:c r="G83" s="96" t="n"/>
      <x:c r="H83" s="96" t="n"/>
      <x:c r="I83" s="96" t="n"/>
      <x:c r="J83" s="96" t="n"/>
      <x:c r="K83" s="96" t="n"/>
      <x:c r="L83" s="97" t="n"/>
      <x:c r="M83" s="96" t="n"/>
      <x:c r="N83" s="96" t="n"/>
      <x:c r="O83" s="11" t="n"/>
      <x:c r="P83" s="10" t="n"/>
      <x:c r="Q83" s="11" t="n"/>
      <x:c r="R83" s="10" t="n"/>
      <x:c r="S83" s="10" t="n"/>
      <x:c r="T83" s="10" t="n"/>
      <x:c r="U83" s="12" t="str">
        <x:f>IF($B83="","",IF(OR(AND($G83&lt;&gt;"оригинал",$G83&lt;&gt;"копия",$G83&lt;&gt;"скан",$G83&lt;&gt;"нет"),AND($J83&lt;&gt;"да",$J83&lt;&gt;"нет")),"НЕ ПРОВЕРЕНО: наличие или обязательность",IF(AND($N83="да",OR($O83="",$M83="")),"передан без следа: эксперт или дата",IF(AND($P83="да",$Q83=""),"НЕ ПРОВЕРЕНО: дата запроса",IF($B83="","",IF(AND($J83="да",$G83="нет",$P83&lt;&gt;"да"),"дыра: обязательного документа нет, запрос не направлен",IF(AND($G83="нет",$P83="да",$R83&lt;&gt;"да"),"запрошен, не получен",IF(AND($G83="нет",$J83&lt;&gt;"да"),"отсутствует, на причину не влияет",IF(AND(OR($K83="да",$N83="да"),$M83=""),"передан без следа",IF(AND($K83="да",$L83=""),"передан без следа","в порядке"))))))))))</x:f>
      </x:c>
    </x:row>
    <x:row r="84">
      <x:c r="A84" s="95" t="str">
        <x:f>IF($B84="","",ROW()-6)</x:f>
      </x:c>
      <x:c r="B84" s="96" t="n"/>
      <x:c r="C84" s="96" t="n"/>
      <x:c r="D84" s="96" t="n"/>
      <x:c r="E84" s="97" t="n"/>
      <x:c r="F84" s="96" t="n"/>
      <x:c r="G84" s="96" t="n"/>
      <x:c r="H84" s="96" t="n"/>
      <x:c r="I84" s="96" t="n"/>
      <x:c r="J84" s="96" t="n"/>
      <x:c r="K84" s="96" t="n"/>
      <x:c r="L84" s="97" t="n"/>
      <x:c r="M84" s="96" t="n"/>
      <x:c r="N84" s="96" t="n"/>
      <x:c r="O84" s="11" t="n"/>
      <x:c r="P84" s="10" t="n"/>
      <x:c r="Q84" s="11" t="n"/>
      <x:c r="R84" s="10" t="n"/>
      <x:c r="S84" s="10" t="n"/>
      <x:c r="T84" s="10" t="n"/>
      <x:c r="U84" s="12" t="str">
        <x:f>IF($B84="","",IF(OR(AND($G84&lt;&gt;"оригинал",$G84&lt;&gt;"копия",$G84&lt;&gt;"скан",$G84&lt;&gt;"нет"),AND($J84&lt;&gt;"да",$J84&lt;&gt;"нет")),"НЕ ПРОВЕРЕНО: наличие или обязательность",IF(AND($N84="да",OR($O84="",$M84="")),"передан без следа: эксперт или дата",IF(AND($P84="да",$Q84=""),"НЕ ПРОВЕРЕНО: дата запроса",IF($B84="","",IF(AND($J84="да",$G84="нет",$P84&lt;&gt;"да"),"дыра: обязательного документа нет, запрос не направлен",IF(AND($G84="нет",$P84="да",$R84&lt;&gt;"да"),"запрошен, не получен",IF(AND($G84="нет",$J84&lt;&gt;"да"),"отсутствует, на причину не влияет",IF(AND(OR($K84="да",$N84="да"),$M84=""),"передан без следа",IF(AND($K84="да",$L84=""),"передан без следа","в порядке"))))))))))</x:f>
      </x:c>
    </x:row>
    <x:row r="85">
      <x:c r="A85" s="95" t="str">
        <x:f>IF($B85="","",ROW()-6)</x:f>
      </x:c>
      <x:c r="B85" s="96" t="n"/>
      <x:c r="C85" s="96" t="n"/>
      <x:c r="D85" s="96" t="n"/>
      <x:c r="E85" s="97" t="n"/>
      <x:c r="F85" s="96" t="n"/>
      <x:c r="G85" s="96" t="n"/>
      <x:c r="H85" s="96" t="n"/>
      <x:c r="I85" s="96" t="n"/>
      <x:c r="J85" s="96" t="n"/>
      <x:c r="K85" s="96" t="n"/>
      <x:c r="L85" s="97" t="n"/>
      <x:c r="M85" s="96" t="n"/>
      <x:c r="N85" s="96" t="n"/>
      <x:c r="O85" s="11" t="n"/>
      <x:c r="P85" s="10" t="n"/>
      <x:c r="Q85" s="11" t="n"/>
      <x:c r="R85" s="10" t="n"/>
      <x:c r="S85" s="10" t="n"/>
      <x:c r="T85" s="10" t="n"/>
      <x:c r="U85" s="12" t="str">
        <x:f>IF($B85="","",IF(OR(AND($G85&lt;&gt;"оригинал",$G85&lt;&gt;"копия",$G85&lt;&gt;"скан",$G85&lt;&gt;"нет"),AND($J85&lt;&gt;"да",$J85&lt;&gt;"нет")),"НЕ ПРОВЕРЕНО: наличие или обязательность",IF(AND($N85="да",OR($O85="",$M85="")),"передан без следа: эксперт или дата",IF(AND($P85="да",$Q85=""),"НЕ ПРОВЕРЕНО: дата запроса",IF($B85="","",IF(AND($J85="да",$G85="нет",$P85&lt;&gt;"да"),"дыра: обязательного документа нет, запрос не направлен",IF(AND($G85="нет",$P85="да",$R85&lt;&gt;"да"),"запрошен, не получен",IF(AND($G85="нет",$J85&lt;&gt;"да"),"отсутствует, на причину не влияет",IF(AND(OR($K85="да",$N85="да"),$M85=""),"передан без следа",IF(AND($K85="да",$L85=""),"передан без следа","в порядке"))))))))))</x:f>
      </x:c>
    </x:row>
    <x:row r="86">
      <x:c r="A86" s="95" t="str">
        <x:f>IF($B86="","",ROW()-6)</x:f>
      </x:c>
      <x:c r="B86" s="96" t="n"/>
      <x:c r="C86" s="96" t="n"/>
      <x:c r="D86" s="96" t="n"/>
      <x:c r="E86" s="97" t="n"/>
      <x:c r="F86" s="96" t="n"/>
      <x:c r="G86" s="96" t="n"/>
      <x:c r="H86" s="96" t="n"/>
      <x:c r="I86" s="96" t="n"/>
      <x:c r="J86" s="96" t="n"/>
      <x:c r="K86" s="96" t="n"/>
      <x:c r="L86" s="97" t="n"/>
      <x:c r="M86" s="96" t="n"/>
      <x:c r="N86" s="96" t="n"/>
      <x:c r="O86" s="11" t="n"/>
      <x:c r="P86" s="10" t="n"/>
      <x:c r="Q86" s="11" t="n"/>
      <x:c r="R86" s="10" t="n"/>
      <x:c r="S86" s="10" t="n"/>
      <x:c r="T86" s="10" t="n"/>
      <x:c r="U86" s="12" t="str">
        <x:f>IF($B86="","",IF(OR(AND($G86&lt;&gt;"оригинал",$G86&lt;&gt;"копия",$G86&lt;&gt;"скан",$G86&lt;&gt;"нет"),AND($J86&lt;&gt;"да",$J86&lt;&gt;"нет")),"НЕ ПРОВЕРЕНО: наличие или обязательность",IF(AND($N86="да",OR($O86="",$M86="")),"передан без следа: эксперт или дата",IF(AND($P86="да",$Q86=""),"НЕ ПРОВЕРЕНО: дата запроса",IF($B86="","",IF(AND($J86="да",$G86="нет",$P86&lt;&gt;"да"),"дыра: обязательного документа нет, запрос не направлен",IF(AND($G86="нет",$P86="да",$R86&lt;&gt;"да"),"запрошен, не получен",IF(AND($G86="нет",$J86&lt;&gt;"да"),"отсутствует, на причину не влияет",IF(AND(OR($K86="да",$N86="да"),$M86=""),"передан без следа",IF(AND($K86="да",$L86=""),"передан без следа","в порядке"))))))))))</x:f>
      </x:c>
    </x:row>
    <x:row r="87">
      <x:c r="A87" s="95" t="str">
        <x:f>IF($B87="","",ROW()-6)</x:f>
      </x:c>
      <x:c r="B87" s="96" t="n"/>
      <x:c r="C87" s="96" t="n"/>
      <x:c r="D87" s="96" t="n"/>
      <x:c r="E87" s="97" t="n"/>
      <x:c r="F87" s="96" t="n"/>
      <x:c r="G87" s="96" t="n"/>
      <x:c r="H87" s="96" t="n"/>
      <x:c r="I87" s="96" t="n"/>
      <x:c r="J87" s="96" t="n"/>
      <x:c r="K87" s="96" t="n"/>
      <x:c r="L87" s="97" t="n"/>
      <x:c r="M87" s="96" t="n"/>
      <x:c r="N87" s="96" t="n"/>
      <x:c r="O87" s="11" t="n"/>
      <x:c r="P87" s="10" t="n"/>
      <x:c r="Q87" s="11" t="n"/>
      <x:c r="R87" s="10" t="n"/>
      <x:c r="S87" s="10" t="n"/>
      <x:c r="T87" s="10" t="n"/>
      <x:c r="U87" s="12" t="str">
        <x:f>IF($B87="","",IF(OR(AND($G87&lt;&gt;"оригинал",$G87&lt;&gt;"копия",$G87&lt;&gt;"скан",$G87&lt;&gt;"нет"),AND($J87&lt;&gt;"да",$J87&lt;&gt;"нет")),"НЕ ПРОВЕРЕНО: наличие или обязательность",IF(AND($N87="да",OR($O87="",$M87="")),"передан без следа: эксперт или дата",IF(AND($P87="да",$Q87=""),"НЕ ПРОВЕРЕНО: дата запроса",IF($B87="","",IF(AND($J87="да",$G87="нет",$P87&lt;&gt;"да"),"дыра: обязательного документа нет, запрос не направлен",IF(AND($G87="нет",$P87="да",$R87&lt;&gt;"да"),"запрошен, не получен",IF(AND($G87="нет",$J87&lt;&gt;"да"),"отсутствует, на причину не влияет",IF(AND(OR($K87="да",$N87="да"),$M87=""),"передан без следа",IF(AND($K87="да",$L87=""),"передан без следа","в порядке"))))))))))</x:f>
      </x:c>
    </x:row>
    <x:row r="88">
      <x:c r="A88" s="95" t="str">
        <x:f>IF($B88="","",ROW()-6)</x:f>
      </x:c>
      <x:c r="B88" s="96" t="n"/>
      <x:c r="C88" s="96" t="n"/>
      <x:c r="D88" s="96" t="n"/>
      <x:c r="E88" s="97" t="n"/>
      <x:c r="F88" s="96" t="n"/>
      <x:c r="G88" s="96" t="n"/>
      <x:c r="H88" s="96" t="n"/>
      <x:c r="I88" s="96" t="n"/>
      <x:c r="J88" s="96" t="n"/>
      <x:c r="K88" s="96" t="n"/>
      <x:c r="L88" s="97" t="n"/>
      <x:c r="M88" s="96" t="n"/>
      <x:c r="N88" s="96" t="n"/>
      <x:c r="O88" s="11" t="n"/>
      <x:c r="P88" s="10" t="n"/>
      <x:c r="Q88" s="11" t="n"/>
      <x:c r="R88" s="10" t="n"/>
      <x:c r="S88" s="10" t="n"/>
      <x:c r="T88" s="10" t="n"/>
      <x:c r="U88" s="12" t="str">
        <x:f>IF($B88="","",IF(OR(AND($G88&lt;&gt;"оригинал",$G88&lt;&gt;"копия",$G88&lt;&gt;"скан",$G88&lt;&gt;"нет"),AND($J88&lt;&gt;"да",$J88&lt;&gt;"нет")),"НЕ ПРОВЕРЕНО: наличие или обязательность",IF(AND($N88="да",OR($O88="",$M88="")),"передан без следа: эксперт или дата",IF(AND($P88="да",$Q88=""),"НЕ ПРОВЕРЕНО: дата запроса",IF($B88="","",IF(AND($J88="да",$G88="нет",$P88&lt;&gt;"да"),"дыра: обязательного документа нет, запрос не направлен",IF(AND($G88="нет",$P88="да",$R88&lt;&gt;"да"),"запрошен, не получен",IF(AND($G88="нет",$J88&lt;&gt;"да"),"отсутствует, на причину не влияет",IF(AND(OR($K88="да",$N88="да"),$M88=""),"передан без следа",IF(AND($K88="да",$L88=""),"передан без следа","в порядке"))))))))))</x:f>
      </x:c>
    </x:row>
    <x:row r="89">
      <x:c r="A89" s="95" t="str">
        <x:f>IF($B89="","",ROW()-6)</x:f>
      </x:c>
      <x:c r="B89" s="96" t="n"/>
      <x:c r="C89" s="96" t="n"/>
      <x:c r="D89" s="96" t="n"/>
      <x:c r="E89" s="97" t="n"/>
      <x:c r="F89" s="96" t="n"/>
      <x:c r="G89" s="96" t="n"/>
      <x:c r="H89" s="96" t="n"/>
      <x:c r="I89" s="96" t="n"/>
      <x:c r="J89" s="96" t="n"/>
      <x:c r="K89" s="96" t="n"/>
      <x:c r="L89" s="97" t="n"/>
      <x:c r="M89" s="96" t="n"/>
      <x:c r="N89" s="96" t="n"/>
      <x:c r="O89" s="11" t="n"/>
      <x:c r="P89" s="10" t="n"/>
      <x:c r="Q89" s="11" t="n"/>
      <x:c r="R89" s="10" t="n"/>
      <x:c r="S89" s="10" t="n"/>
      <x:c r="T89" s="10" t="n"/>
      <x:c r="U89" s="12" t="str">
        <x:f>IF($B89="","",IF(OR(AND($G89&lt;&gt;"оригинал",$G89&lt;&gt;"копия",$G89&lt;&gt;"скан",$G89&lt;&gt;"нет"),AND($J89&lt;&gt;"да",$J89&lt;&gt;"нет")),"НЕ ПРОВЕРЕНО: наличие или обязательность",IF(AND($N89="да",OR($O89="",$M89="")),"передан без следа: эксперт или дата",IF(AND($P89="да",$Q89=""),"НЕ ПРОВЕРЕНО: дата запроса",IF($B89="","",IF(AND($J89="да",$G89="нет",$P89&lt;&gt;"да"),"дыра: обязательного документа нет, запрос не направлен",IF(AND($G89="нет",$P89="да",$R89&lt;&gt;"да"),"запрошен, не получен",IF(AND($G89="нет",$J89&lt;&gt;"да"),"отсутствует, на причину не влияет",IF(AND(OR($K89="да",$N89="да"),$M89=""),"передан без следа",IF(AND($K89="да",$L89=""),"передан без следа","в порядке"))))))))))</x:f>
      </x:c>
    </x:row>
    <x:row r="90">
      <x:c r="A90" s="95" t="str">
        <x:f>IF($B90="","",ROW()-6)</x:f>
      </x:c>
      <x:c r="B90" s="96" t="n"/>
      <x:c r="C90" s="96" t="n"/>
      <x:c r="D90" s="96" t="n"/>
      <x:c r="E90" s="97" t="n"/>
      <x:c r="F90" s="96" t="n"/>
      <x:c r="G90" s="96" t="n"/>
      <x:c r="H90" s="96" t="n"/>
      <x:c r="I90" s="96" t="n"/>
      <x:c r="J90" s="96" t="n"/>
      <x:c r="K90" s="96" t="n"/>
      <x:c r="L90" s="97" t="n"/>
      <x:c r="M90" s="96" t="n"/>
      <x:c r="N90" s="96" t="n"/>
      <x:c r="O90" s="11" t="n"/>
      <x:c r="P90" s="10" t="n"/>
      <x:c r="Q90" s="11" t="n"/>
      <x:c r="R90" s="10" t="n"/>
      <x:c r="S90" s="10" t="n"/>
      <x:c r="T90" s="10" t="n"/>
      <x:c r="U90" s="12" t="str">
        <x:f>IF($B90="","",IF(OR(AND($G90&lt;&gt;"оригинал",$G90&lt;&gt;"копия",$G90&lt;&gt;"скан",$G90&lt;&gt;"нет"),AND($J90&lt;&gt;"да",$J90&lt;&gt;"нет")),"НЕ ПРОВЕРЕНО: наличие или обязательность",IF(AND($N90="да",OR($O90="",$M90="")),"передан без следа: эксперт или дата",IF(AND($P90="да",$Q90=""),"НЕ ПРОВЕРЕНО: дата запроса",IF($B90="","",IF(AND($J90="да",$G90="нет",$P90&lt;&gt;"да"),"дыра: обязательного документа нет, запрос не направлен",IF(AND($G90="нет",$P90="да",$R90&lt;&gt;"да"),"запрошен, не получен",IF(AND($G90="нет",$J90&lt;&gt;"да"),"отсутствует, на причину не влияет",IF(AND(OR($K90="да",$N90="да"),$M90=""),"передан без следа",IF(AND($K90="да",$L90=""),"передан без следа","в порядке"))))))))))</x:f>
      </x:c>
    </x:row>
    <x:row r="91">
      <x:c r="A91" s="95" t="str">
        <x:f>IF($B91="","",ROW()-6)</x:f>
      </x:c>
      <x:c r="B91" s="96" t="n"/>
      <x:c r="C91" s="96" t="n"/>
      <x:c r="D91" s="96" t="n"/>
      <x:c r="E91" s="97" t="n"/>
      <x:c r="F91" s="96" t="n"/>
      <x:c r="G91" s="96" t="n"/>
      <x:c r="H91" s="96" t="n"/>
      <x:c r="I91" s="96" t="n"/>
      <x:c r="J91" s="96" t="n"/>
      <x:c r="K91" s="96" t="n"/>
      <x:c r="L91" s="97" t="n"/>
      <x:c r="M91" s="96" t="n"/>
      <x:c r="N91" s="96" t="n"/>
      <x:c r="O91" s="11" t="n"/>
      <x:c r="P91" s="10" t="n"/>
      <x:c r="Q91" s="11" t="n"/>
      <x:c r="R91" s="10" t="n"/>
      <x:c r="S91" s="10" t="n"/>
      <x:c r="T91" s="10" t="n"/>
      <x:c r="U91" s="12" t="str">
        <x:f>IF($B91="","",IF(OR(AND($G91&lt;&gt;"оригинал",$G91&lt;&gt;"копия",$G91&lt;&gt;"скан",$G91&lt;&gt;"нет"),AND($J91&lt;&gt;"да",$J91&lt;&gt;"нет")),"НЕ ПРОВЕРЕНО: наличие или обязательность",IF(AND($N91="да",OR($O91="",$M91="")),"передан без следа: эксперт или дата",IF(AND($P91="да",$Q91=""),"НЕ ПРОВЕРЕНО: дата запроса",IF($B91="","",IF(AND($J91="да",$G91="нет",$P91&lt;&gt;"да"),"дыра: обязательного документа нет, запрос не направлен",IF(AND($G91="нет",$P91="да",$R91&lt;&gt;"да"),"запрошен, не получен",IF(AND($G91="нет",$J91&lt;&gt;"да"),"отсутствует, на причину не влияет",IF(AND(OR($K91="да",$N91="да"),$M91=""),"передан без следа",IF(AND($K91="да",$L91=""),"передан без следа","в порядке"))))))))))</x:f>
      </x:c>
    </x:row>
    <x:row r="92">
      <x:c r="A92" s="95" t="str">
        <x:f>IF($B92="","",ROW()-6)</x:f>
      </x:c>
      <x:c r="B92" s="96" t="n"/>
      <x:c r="C92" s="96" t="n"/>
      <x:c r="D92" s="96" t="n"/>
      <x:c r="E92" s="97" t="n"/>
      <x:c r="F92" s="96" t="n"/>
      <x:c r="G92" s="96" t="n"/>
      <x:c r="H92" s="96" t="n"/>
      <x:c r="I92" s="96" t="n"/>
      <x:c r="J92" s="96" t="n"/>
      <x:c r="K92" s="96" t="n"/>
      <x:c r="L92" s="97" t="n"/>
      <x:c r="M92" s="96" t="n"/>
      <x:c r="N92" s="96" t="n"/>
      <x:c r="O92" s="11" t="n"/>
      <x:c r="P92" s="10" t="n"/>
      <x:c r="Q92" s="11" t="n"/>
      <x:c r="R92" s="10" t="n"/>
      <x:c r="S92" s="10" t="n"/>
      <x:c r="T92" s="10" t="n"/>
      <x:c r="U92" s="12" t="str">
        <x:f>IF($B92="","",IF(OR(AND($G92&lt;&gt;"оригинал",$G92&lt;&gt;"копия",$G92&lt;&gt;"скан",$G92&lt;&gt;"нет"),AND($J92&lt;&gt;"да",$J92&lt;&gt;"нет")),"НЕ ПРОВЕРЕНО: наличие или обязательность",IF(AND($N92="да",OR($O92="",$M92="")),"передан без следа: эксперт или дата",IF(AND($P92="да",$Q92=""),"НЕ ПРОВЕРЕНО: дата запроса",IF($B92="","",IF(AND($J92="да",$G92="нет",$P92&lt;&gt;"да"),"дыра: обязательного документа нет, запрос не направлен",IF(AND($G92="нет",$P92="да",$R92&lt;&gt;"да"),"запрошен, не получен",IF(AND($G92="нет",$J92&lt;&gt;"да"),"отсутствует, на причину не влияет",IF(AND(OR($K92="да",$N92="да"),$M92=""),"передан без следа",IF(AND($K92="да",$L92=""),"передан без следа","в порядке"))))))))))</x:f>
      </x:c>
    </x:row>
    <x:row r="93">
      <x:c r="A93" s="95" t="str">
        <x:f>IF($B93="","",ROW()-6)</x:f>
      </x:c>
      <x:c r="B93" s="96" t="n"/>
      <x:c r="C93" s="96" t="n"/>
      <x:c r="D93" s="96" t="n"/>
      <x:c r="E93" s="97" t="n"/>
      <x:c r="F93" s="96" t="n"/>
      <x:c r="G93" s="96" t="n"/>
      <x:c r="H93" s="96" t="n"/>
      <x:c r="I93" s="96" t="n"/>
      <x:c r="J93" s="96" t="n"/>
      <x:c r="K93" s="96" t="n"/>
      <x:c r="L93" s="97" t="n"/>
      <x:c r="M93" s="96" t="n"/>
      <x:c r="N93" s="96" t="n"/>
      <x:c r="O93" s="11" t="n"/>
      <x:c r="P93" s="10" t="n"/>
      <x:c r="Q93" s="11" t="n"/>
      <x:c r="R93" s="10" t="n"/>
      <x:c r="S93" s="10" t="n"/>
      <x:c r="T93" s="10" t="n"/>
      <x:c r="U93" s="12" t="str">
        <x:f>IF($B93="","",IF(OR(AND($G93&lt;&gt;"оригинал",$G93&lt;&gt;"копия",$G93&lt;&gt;"скан",$G93&lt;&gt;"нет"),AND($J93&lt;&gt;"да",$J93&lt;&gt;"нет")),"НЕ ПРОВЕРЕНО: наличие или обязательность",IF(AND($N93="да",OR($O93="",$M93="")),"передан без следа: эксперт или дата",IF(AND($P93="да",$Q93=""),"НЕ ПРОВЕРЕНО: дата запроса",IF($B93="","",IF(AND($J93="да",$G93="нет",$P93&lt;&gt;"да"),"дыра: обязательного документа нет, запрос не направлен",IF(AND($G93="нет",$P93="да",$R93&lt;&gt;"да"),"запрошен, не получен",IF(AND($G93="нет",$J93&lt;&gt;"да"),"отсутствует, на причину не влияет",IF(AND(OR($K93="да",$N93="да"),$M93=""),"передан без следа",IF(AND($K93="да",$L93=""),"передан без следа","в порядке"))))))))))</x:f>
      </x:c>
    </x:row>
    <x:row r="94">
      <x:c r="A94" s="95" t="str">
        <x:f>IF($B94="","",ROW()-6)</x:f>
      </x:c>
      <x:c r="B94" s="96" t="n"/>
      <x:c r="C94" s="96" t="n"/>
      <x:c r="D94" s="96" t="n"/>
      <x:c r="E94" s="97" t="n"/>
      <x:c r="F94" s="96" t="n"/>
      <x:c r="G94" s="96" t="n"/>
      <x:c r="H94" s="96" t="n"/>
      <x:c r="I94" s="96" t="n"/>
      <x:c r="J94" s="96" t="n"/>
      <x:c r="K94" s="96" t="n"/>
      <x:c r="L94" s="97" t="n"/>
      <x:c r="M94" s="96" t="n"/>
      <x:c r="N94" s="96" t="n"/>
      <x:c r="O94" s="11" t="n"/>
      <x:c r="P94" s="10" t="n"/>
      <x:c r="Q94" s="11" t="n"/>
      <x:c r="R94" s="10" t="n"/>
      <x:c r="S94" s="10" t="n"/>
      <x:c r="T94" s="10" t="n"/>
      <x:c r="U94" s="12" t="str">
        <x:f>IF($B94="","",IF(OR(AND($G94&lt;&gt;"оригинал",$G94&lt;&gt;"копия",$G94&lt;&gt;"скан",$G94&lt;&gt;"нет"),AND($J94&lt;&gt;"да",$J94&lt;&gt;"нет")),"НЕ ПРОВЕРЕНО: наличие или обязательность",IF(AND($N94="да",OR($O94="",$M94="")),"передан без следа: эксперт или дата",IF(AND($P94="да",$Q94=""),"НЕ ПРОВЕРЕНО: дата запроса",IF($B94="","",IF(AND($J94="да",$G94="нет",$P94&lt;&gt;"да"),"дыра: обязательного документа нет, запрос не направлен",IF(AND($G94="нет",$P94="да",$R94&lt;&gt;"да"),"запрошен, не получен",IF(AND($G94="нет",$J94&lt;&gt;"да"),"отсутствует, на причину не влияет",IF(AND(OR($K94="да",$N94="да"),$M94=""),"передан без следа",IF(AND($K94="да",$L94=""),"передан без следа","в порядке"))))))))))</x:f>
      </x:c>
    </x:row>
    <x:row r="95">
      <x:c r="A95" s="95" t="str">
        <x:f>IF($B95="","",ROW()-6)</x:f>
      </x:c>
      <x:c r="B95" s="96" t="n"/>
      <x:c r="C95" s="96" t="n"/>
      <x:c r="D95" s="96" t="n"/>
      <x:c r="E95" s="97" t="n"/>
      <x:c r="F95" s="96" t="n"/>
      <x:c r="G95" s="96" t="n"/>
      <x:c r="H95" s="96" t="n"/>
      <x:c r="I95" s="96" t="n"/>
      <x:c r="J95" s="96" t="n"/>
      <x:c r="K95" s="96" t="n"/>
      <x:c r="L95" s="97" t="n"/>
      <x:c r="M95" s="96" t="n"/>
      <x:c r="N95" s="96" t="n"/>
      <x:c r="O95" s="11" t="n"/>
      <x:c r="P95" s="10" t="n"/>
      <x:c r="Q95" s="11" t="n"/>
      <x:c r="R95" s="10" t="n"/>
      <x:c r="S95" s="10" t="n"/>
      <x:c r="T95" s="10" t="n"/>
      <x:c r="U95" s="12" t="str">
        <x:f>IF($B95="","",IF(OR(AND($G95&lt;&gt;"оригинал",$G95&lt;&gt;"копия",$G95&lt;&gt;"скан",$G95&lt;&gt;"нет"),AND($J95&lt;&gt;"да",$J95&lt;&gt;"нет")),"НЕ ПРОВЕРЕНО: наличие или обязательность",IF(AND($N95="да",OR($O95="",$M95="")),"передан без следа: эксперт или дата",IF(AND($P95="да",$Q95=""),"НЕ ПРОВЕРЕНО: дата запроса",IF($B95="","",IF(AND($J95="да",$G95="нет",$P95&lt;&gt;"да"),"дыра: обязательного документа нет, запрос не направлен",IF(AND($G95="нет",$P95="да",$R95&lt;&gt;"да"),"запрошен, не получен",IF(AND($G95="нет",$J95&lt;&gt;"да"),"отсутствует, на причину не влияет",IF(AND(OR($K95="да",$N95="да"),$M95=""),"передан без следа",IF(AND($K95="да",$L95=""),"передан без следа","в порядке"))))))))))</x:f>
      </x:c>
    </x:row>
    <x:row r="96">
      <x:c r="A96" s="95" t="str">
        <x:f>IF($B96="","",ROW()-6)</x:f>
      </x:c>
      <x:c r="B96" s="96" t="n"/>
      <x:c r="C96" s="96" t="n"/>
      <x:c r="D96" s="96" t="n"/>
      <x:c r="E96" s="97" t="n"/>
      <x:c r="F96" s="96" t="n"/>
      <x:c r="G96" s="96" t="n"/>
      <x:c r="H96" s="96" t="n"/>
      <x:c r="I96" s="96" t="n"/>
      <x:c r="J96" s="96" t="n"/>
      <x:c r="K96" s="96" t="n"/>
      <x:c r="L96" s="97" t="n"/>
      <x:c r="M96" s="96" t="n"/>
      <x:c r="N96" s="96" t="n"/>
      <x:c r="O96" s="11" t="n"/>
      <x:c r="P96" s="10" t="n"/>
      <x:c r="Q96" s="11" t="n"/>
      <x:c r="R96" s="10" t="n"/>
      <x:c r="S96" s="10" t="n"/>
      <x:c r="T96" s="10" t="n"/>
      <x:c r="U96" s="12" t="str">
        <x:f>IF($B96="","",IF(OR(AND($G96&lt;&gt;"оригинал",$G96&lt;&gt;"копия",$G96&lt;&gt;"скан",$G96&lt;&gt;"нет"),AND($J96&lt;&gt;"да",$J96&lt;&gt;"нет")),"НЕ ПРОВЕРЕНО: наличие или обязательность",IF(AND($N96="да",OR($O96="",$M96="")),"передан без следа: эксперт или дата",IF(AND($P96="да",$Q96=""),"НЕ ПРОВЕРЕНО: дата запроса",IF($B96="","",IF(AND($J96="да",$G96="нет",$P96&lt;&gt;"да"),"дыра: обязательного документа нет, запрос не направлен",IF(AND($G96="нет",$P96="да",$R96&lt;&gt;"да"),"запрошен, не получен",IF(AND($G96="нет",$J96&lt;&gt;"да"),"отсутствует, на причину не влияет",IF(AND(OR($K96="да",$N96="да"),$M96=""),"передан без следа",IF(AND($K96="да",$L96=""),"передан без следа","в порядке"))))))))))</x:f>
      </x:c>
    </x:row>
    <x:row r="97">
      <x:c r="A97" s="95" t="str">
        <x:f>IF($B97="","",ROW()-6)</x:f>
      </x:c>
      <x:c r="B97" s="96" t="n"/>
      <x:c r="C97" s="96" t="n"/>
      <x:c r="D97" s="96" t="n"/>
      <x:c r="E97" s="97" t="n"/>
      <x:c r="F97" s="96" t="n"/>
      <x:c r="G97" s="96" t="n"/>
      <x:c r="H97" s="96" t="n"/>
      <x:c r="I97" s="96" t="n"/>
      <x:c r="J97" s="96" t="n"/>
      <x:c r="K97" s="96" t="n"/>
      <x:c r="L97" s="97" t="n"/>
      <x:c r="M97" s="96" t="n"/>
      <x:c r="N97" s="96" t="n"/>
      <x:c r="O97" s="11" t="n"/>
      <x:c r="P97" s="10" t="n"/>
      <x:c r="Q97" s="11" t="n"/>
      <x:c r="R97" s="10" t="n"/>
      <x:c r="S97" s="10" t="n"/>
      <x:c r="T97" s="10" t="n"/>
      <x:c r="U97" s="12" t="str">
        <x:f>IF($B97="","",IF(OR(AND($G97&lt;&gt;"оригинал",$G97&lt;&gt;"копия",$G97&lt;&gt;"скан",$G97&lt;&gt;"нет"),AND($J97&lt;&gt;"да",$J97&lt;&gt;"нет")),"НЕ ПРОВЕРЕНО: наличие или обязательность",IF(AND($N97="да",OR($O97="",$M97="")),"передан без следа: эксперт или дата",IF(AND($P97="да",$Q97=""),"НЕ ПРОВЕРЕНО: дата запроса",IF($B97="","",IF(AND($J97="да",$G97="нет",$P97&lt;&gt;"да"),"дыра: обязательного документа нет, запрос не направлен",IF(AND($G97="нет",$P97="да",$R97&lt;&gt;"да"),"запрошен, не получен",IF(AND($G97="нет",$J97&lt;&gt;"да"),"отсутствует, на причину не влияет",IF(AND(OR($K97="да",$N97="да"),$M97=""),"передан без следа",IF(AND($K97="да",$L97=""),"передан без следа","в порядке"))))))))))</x:f>
      </x:c>
    </x:row>
    <x:row r="98">
      <x:c r="A98" s="95" t="str">
        <x:f>IF($B98="","",ROW()-6)</x:f>
      </x:c>
      <x:c r="B98" s="96" t="n"/>
      <x:c r="C98" s="96" t="n"/>
      <x:c r="D98" s="96" t="n"/>
      <x:c r="E98" s="97" t="n"/>
      <x:c r="F98" s="96" t="n"/>
      <x:c r="G98" s="96" t="n"/>
      <x:c r="H98" s="96" t="n"/>
      <x:c r="I98" s="96" t="n"/>
      <x:c r="J98" s="96" t="n"/>
      <x:c r="K98" s="96" t="n"/>
      <x:c r="L98" s="97" t="n"/>
      <x:c r="M98" s="96" t="n"/>
      <x:c r="N98" s="96" t="n"/>
      <x:c r="O98" s="11" t="n"/>
      <x:c r="P98" s="10" t="n"/>
      <x:c r="Q98" s="11" t="n"/>
      <x:c r="R98" s="10" t="n"/>
      <x:c r="S98" s="10" t="n"/>
      <x:c r="T98" s="10" t="n"/>
      <x:c r="U98" s="12" t="str">
        <x:f>IF($B98="","",IF(OR(AND($G98&lt;&gt;"оригинал",$G98&lt;&gt;"копия",$G98&lt;&gt;"скан",$G98&lt;&gt;"нет"),AND($J98&lt;&gt;"да",$J98&lt;&gt;"нет")),"НЕ ПРОВЕРЕНО: наличие или обязательность",IF(AND($N98="да",OR($O98="",$M98="")),"передан без следа: эксперт или дата",IF(AND($P98="да",$Q98=""),"НЕ ПРОВЕРЕНО: дата запроса",IF($B98="","",IF(AND($J98="да",$G98="нет",$P98&lt;&gt;"да"),"дыра: обязательного документа нет, запрос не направлен",IF(AND($G98="нет",$P98="да",$R98&lt;&gt;"да"),"запрошен, не получен",IF(AND($G98="нет",$J98&lt;&gt;"да"),"отсутствует, на причину не влияет",IF(AND(OR($K98="да",$N98="да"),$M98=""),"передан без следа",IF(AND($K98="да",$L98=""),"передан без следа","в порядке"))))))))))</x:f>
      </x:c>
    </x:row>
    <x:row r="99">
      <x:c r="A99" s="95" t="str">
        <x:f>IF($B99="","",ROW()-6)</x:f>
      </x:c>
      <x:c r="B99" s="96" t="n"/>
      <x:c r="C99" s="96" t="n"/>
      <x:c r="D99" s="96" t="n"/>
      <x:c r="E99" s="97" t="n"/>
      <x:c r="F99" s="96" t="n"/>
      <x:c r="G99" s="96" t="n"/>
      <x:c r="H99" s="96" t="n"/>
      <x:c r="I99" s="96" t="n"/>
      <x:c r="J99" s="96" t="n"/>
      <x:c r="K99" s="96" t="n"/>
      <x:c r="L99" s="97" t="n"/>
      <x:c r="M99" s="96" t="n"/>
      <x:c r="N99" s="96" t="n"/>
      <x:c r="O99" s="11" t="n"/>
      <x:c r="P99" s="10" t="n"/>
      <x:c r="Q99" s="11" t="n"/>
      <x:c r="R99" s="10" t="n"/>
      <x:c r="S99" s="10" t="n"/>
      <x:c r="T99" s="10" t="n"/>
      <x:c r="U99" s="12" t="str">
        <x:f>IF($B99="","",IF(OR(AND($G99&lt;&gt;"оригинал",$G99&lt;&gt;"копия",$G99&lt;&gt;"скан",$G99&lt;&gt;"нет"),AND($J99&lt;&gt;"да",$J99&lt;&gt;"нет")),"НЕ ПРОВЕРЕНО: наличие или обязательность",IF(AND($N99="да",OR($O99="",$M99="")),"передан без следа: эксперт или дата",IF(AND($P99="да",$Q99=""),"НЕ ПРОВЕРЕНО: дата запроса",IF($B99="","",IF(AND($J99="да",$G99="нет",$P99&lt;&gt;"да"),"дыра: обязательного документа нет, запрос не направлен",IF(AND($G99="нет",$P99="да",$R99&lt;&gt;"да"),"запрошен, не получен",IF(AND($G99="нет",$J99&lt;&gt;"да"),"отсутствует, на причину не влияет",IF(AND(OR($K99="да",$N99="да"),$M99=""),"передан без следа",IF(AND($K99="да",$L99=""),"передан без следа","в порядке"))))))))))</x:f>
      </x:c>
    </x:row>
    <x:row r="100">
      <x:c r="A100" s="95" t="str">
        <x:f>IF($B100="","",ROW()-6)</x:f>
      </x:c>
      <x:c r="B100" s="96" t="n"/>
      <x:c r="C100" s="96" t="n"/>
      <x:c r="D100" s="96" t="n"/>
      <x:c r="E100" s="97" t="n"/>
      <x:c r="F100" s="96" t="n"/>
      <x:c r="G100" s="96" t="n"/>
      <x:c r="H100" s="96" t="n"/>
      <x:c r="I100" s="96" t="n"/>
      <x:c r="J100" s="96" t="n"/>
      <x:c r="K100" s="96" t="n"/>
      <x:c r="L100" s="97" t="n"/>
      <x:c r="M100" s="96" t="n"/>
      <x:c r="N100" s="96" t="n"/>
      <x:c r="O100" s="11" t="n"/>
      <x:c r="P100" s="10" t="n"/>
      <x:c r="Q100" s="11" t="n"/>
      <x:c r="R100" s="10" t="n"/>
      <x:c r="S100" s="10" t="n"/>
      <x:c r="T100" s="10" t="n"/>
      <x:c r="U100" s="12" t="str">
        <x:f>IF($B100="","",IF(OR(AND($G100&lt;&gt;"оригинал",$G100&lt;&gt;"копия",$G100&lt;&gt;"скан",$G100&lt;&gt;"нет"),AND($J100&lt;&gt;"да",$J100&lt;&gt;"нет")),"НЕ ПРОВЕРЕНО: наличие или обязательность",IF(AND($N100="да",OR($O100="",$M100="")),"передан без следа: эксперт или дата",IF(AND($P100="да",$Q100=""),"НЕ ПРОВЕРЕНО: дата запроса",IF($B100="","",IF(AND($J100="да",$G100="нет",$P100&lt;&gt;"да"),"дыра: обязательного документа нет, запрос не направлен",IF(AND($G100="нет",$P100="да",$R100&lt;&gt;"да"),"запрошен, не получен",IF(AND($G100="нет",$J100&lt;&gt;"да"),"отсутствует, на причину не влияет",IF(AND(OR($K100="да",$N100="да"),$M100=""),"передан без следа",IF(AND($K100="да",$L100=""),"передан без следа","в порядке"))))))))))</x:f>
      </x:c>
    </x:row>
    <x:row r="101">
      <x:c r="A101" s="95" t="str">
        <x:f>IF($B101="","",ROW()-6)</x:f>
      </x:c>
      <x:c r="B101" s="96" t="n"/>
      <x:c r="C101" s="96" t="n"/>
      <x:c r="D101" s="96" t="n"/>
      <x:c r="E101" s="97" t="n"/>
      <x:c r="F101" s="96" t="n"/>
      <x:c r="G101" s="96" t="n"/>
      <x:c r="H101" s="96" t="n"/>
      <x:c r="I101" s="96" t="n"/>
      <x:c r="J101" s="96" t="n"/>
      <x:c r="K101" s="96" t="n"/>
      <x:c r="L101" s="97" t="n"/>
      <x:c r="M101" s="96" t="n"/>
      <x:c r="N101" s="96" t="n"/>
      <x:c r="O101" s="11" t="n"/>
      <x:c r="P101" s="10" t="n"/>
      <x:c r="Q101" s="11" t="n"/>
      <x:c r="R101" s="10" t="n"/>
      <x:c r="S101" s="10" t="n"/>
      <x:c r="T101" s="10" t="n"/>
      <x:c r="U101" s="12" t="str">
        <x:f>IF($B101="","",IF(OR(AND($G101&lt;&gt;"оригинал",$G101&lt;&gt;"копия",$G101&lt;&gt;"скан",$G101&lt;&gt;"нет"),AND($J101&lt;&gt;"да",$J101&lt;&gt;"нет")),"НЕ ПРОВЕРЕНО: наличие или обязательность",IF(AND($N101="да",OR($O101="",$M101="")),"передан без следа: эксперт или дата",IF(AND($P101="да",$Q101=""),"НЕ ПРОВЕРЕНО: дата запроса",IF($B101="","",IF(AND($J101="да",$G101="нет",$P101&lt;&gt;"да"),"дыра: обязательного документа нет, запрос не направлен",IF(AND($G101="нет",$P101="да",$R101&lt;&gt;"да"),"запрошен, не получен",IF(AND($G101="нет",$J101&lt;&gt;"да"),"отсутствует, на причину не влияет",IF(AND(OR($K101="да",$N101="да"),$M101=""),"передан без следа",IF(AND($K101="да",$L101=""),"передан без следа","в порядке"))))))))))</x:f>
      </x:c>
    </x:row>
    <x:row r="102">
      <x:c r="A102" s="95" t="str">
        <x:f>IF($B102="","",ROW()-6)</x:f>
      </x:c>
      <x:c r="B102" s="96" t="n"/>
      <x:c r="C102" s="96" t="n"/>
      <x:c r="D102" s="96" t="n"/>
      <x:c r="E102" s="97" t="n"/>
      <x:c r="F102" s="96" t="n"/>
      <x:c r="G102" s="96" t="n"/>
      <x:c r="H102" s="96" t="n"/>
      <x:c r="I102" s="96" t="n"/>
      <x:c r="J102" s="96" t="n"/>
      <x:c r="K102" s="96" t="n"/>
      <x:c r="L102" s="97" t="n"/>
      <x:c r="M102" s="96" t="n"/>
      <x:c r="N102" s="96" t="n"/>
      <x:c r="O102" s="11" t="n"/>
      <x:c r="P102" s="10" t="n"/>
      <x:c r="Q102" s="11" t="n"/>
      <x:c r="R102" s="10" t="n"/>
      <x:c r="S102" s="10" t="n"/>
      <x:c r="T102" s="10" t="n"/>
      <x:c r="U102" s="12" t="str">
        <x:f>IF($B102="","",IF(OR(AND($G102&lt;&gt;"оригинал",$G102&lt;&gt;"копия",$G102&lt;&gt;"скан",$G102&lt;&gt;"нет"),AND($J102&lt;&gt;"да",$J102&lt;&gt;"нет")),"НЕ ПРОВЕРЕНО: наличие или обязательность",IF(AND($N102="да",OR($O102="",$M102="")),"передан без следа: эксперт или дата",IF(AND($P102="да",$Q102=""),"НЕ ПРОВЕРЕНО: дата запроса",IF($B102="","",IF(AND($J102="да",$G102="нет",$P102&lt;&gt;"да"),"дыра: обязательного документа нет, запрос не направлен",IF(AND($G102="нет",$P102="да",$R102&lt;&gt;"да"),"запрошен, не получен",IF(AND($G102="нет",$J102&lt;&gt;"да"),"отсутствует, на причину не влияет",IF(AND(OR($K102="да",$N102="да"),$M102=""),"передан без следа",IF(AND($K102="да",$L102=""),"передан без следа","в порядке"))))))))))</x:f>
      </x:c>
    </x:row>
    <x:row r="103">
      <x:c r="A103" s="95" t="str">
        <x:f>IF($B103="","",ROW()-6)</x:f>
      </x:c>
      <x:c r="B103" s="96" t="n"/>
      <x:c r="C103" s="96" t="n"/>
      <x:c r="D103" s="96" t="n"/>
      <x:c r="E103" s="97" t="n"/>
      <x:c r="F103" s="96" t="n"/>
      <x:c r="G103" s="96" t="n"/>
      <x:c r="H103" s="96" t="n"/>
      <x:c r="I103" s="96" t="n"/>
      <x:c r="J103" s="96" t="n"/>
      <x:c r="K103" s="96" t="n"/>
      <x:c r="L103" s="97" t="n"/>
      <x:c r="M103" s="96" t="n"/>
      <x:c r="N103" s="96" t="n"/>
      <x:c r="O103" s="11" t="n"/>
      <x:c r="P103" s="10" t="n"/>
      <x:c r="Q103" s="11" t="n"/>
      <x:c r="R103" s="10" t="n"/>
      <x:c r="S103" s="10" t="n"/>
      <x:c r="T103" s="10" t="n"/>
      <x:c r="U103" s="12" t="str">
        <x:f>IF($B103="","",IF(OR(AND($G103&lt;&gt;"оригинал",$G103&lt;&gt;"копия",$G103&lt;&gt;"скан",$G103&lt;&gt;"нет"),AND($J103&lt;&gt;"да",$J103&lt;&gt;"нет")),"НЕ ПРОВЕРЕНО: наличие или обязательность",IF(AND($N103="да",OR($O103="",$M103="")),"передан без следа: эксперт или дата",IF(AND($P103="да",$Q103=""),"НЕ ПРОВЕРЕНО: дата запроса",IF($B103="","",IF(AND($J103="да",$G103="нет",$P103&lt;&gt;"да"),"дыра: обязательного документа нет, запрос не направлен",IF(AND($G103="нет",$P103="да",$R103&lt;&gt;"да"),"запрошен, не получен",IF(AND($G103="нет",$J103&lt;&gt;"да"),"отсутствует, на причину не влияет",IF(AND(OR($K103="да",$N103="да"),$M103=""),"передан без следа",IF(AND($K103="да",$L103=""),"передан без следа","в порядке"))))))))))</x:f>
      </x:c>
    </x:row>
    <x:row r="104">
      <x:c r="A104" s="95" t="str">
        <x:f>IF($B104="","",ROW()-6)</x:f>
      </x:c>
      <x:c r="B104" s="96" t="n"/>
      <x:c r="C104" s="96" t="n"/>
      <x:c r="D104" s="96" t="n"/>
      <x:c r="E104" s="97" t="n"/>
      <x:c r="F104" s="96" t="n"/>
      <x:c r="G104" s="96" t="n"/>
      <x:c r="H104" s="96" t="n"/>
      <x:c r="I104" s="96" t="n"/>
      <x:c r="J104" s="96" t="n"/>
      <x:c r="K104" s="96" t="n"/>
      <x:c r="L104" s="97" t="n"/>
      <x:c r="M104" s="96" t="n"/>
      <x:c r="N104" s="96" t="n"/>
      <x:c r="O104" s="11" t="n"/>
      <x:c r="P104" s="10" t="n"/>
      <x:c r="Q104" s="11" t="n"/>
      <x:c r="R104" s="10" t="n"/>
      <x:c r="S104" s="10" t="n"/>
      <x:c r="T104" s="10" t="n"/>
      <x:c r="U104" s="12" t="str">
        <x:f>IF($B104="","",IF(OR(AND($G104&lt;&gt;"оригинал",$G104&lt;&gt;"копия",$G104&lt;&gt;"скан",$G104&lt;&gt;"нет"),AND($J104&lt;&gt;"да",$J104&lt;&gt;"нет")),"НЕ ПРОВЕРЕНО: наличие или обязательность",IF(AND($N104="да",OR($O104="",$M104="")),"передан без следа: эксперт или дата",IF(AND($P104="да",$Q104=""),"НЕ ПРОВЕРЕНО: дата запроса",IF($B104="","",IF(AND($J104="да",$G104="нет",$P104&lt;&gt;"да"),"дыра: обязательного документа нет, запрос не направлен",IF(AND($G104="нет",$P104="да",$R104&lt;&gt;"да"),"запрошен, не получен",IF(AND($G104="нет",$J104&lt;&gt;"да"),"отсутствует, на причину не влияет",IF(AND(OR($K104="да",$N104="да"),$M104=""),"передан без следа",IF(AND($K104="да",$L104=""),"передан без следа","в порядке"))))))))))</x:f>
      </x:c>
    </x:row>
    <x:row r="105">
      <x:c r="A105" s="95" t="str">
        <x:f>IF($B105="","",ROW()-6)</x:f>
      </x:c>
      <x:c r="B105" s="96" t="n"/>
      <x:c r="C105" s="96" t="n"/>
      <x:c r="D105" s="96" t="n"/>
      <x:c r="E105" s="97" t="n"/>
      <x:c r="F105" s="96" t="n"/>
      <x:c r="G105" s="96" t="n"/>
      <x:c r="H105" s="96" t="n"/>
      <x:c r="I105" s="96" t="n"/>
      <x:c r="J105" s="96" t="n"/>
      <x:c r="K105" s="96" t="n"/>
      <x:c r="L105" s="97" t="n"/>
      <x:c r="M105" s="96" t="n"/>
      <x:c r="N105" s="96" t="n"/>
      <x:c r="O105" s="11" t="n"/>
      <x:c r="P105" s="10" t="n"/>
      <x:c r="Q105" s="11" t="n"/>
      <x:c r="R105" s="10" t="n"/>
      <x:c r="S105" s="10" t="n"/>
      <x:c r="T105" s="10" t="n"/>
      <x:c r="U105" s="12" t="str">
        <x:f>IF($B105="","",IF(OR(AND($G105&lt;&gt;"оригинал",$G105&lt;&gt;"копия",$G105&lt;&gt;"скан",$G105&lt;&gt;"нет"),AND($J105&lt;&gt;"да",$J105&lt;&gt;"нет")),"НЕ ПРОВЕРЕНО: наличие или обязательность",IF(AND($N105="да",OR($O105="",$M105="")),"передан без следа: эксперт или дата",IF(AND($P105="да",$Q105=""),"НЕ ПРОВЕРЕНО: дата запроса",IF($B105="","",IF(AND($J105="да",$G105="нет",$P105&lt;&gt;"да"),"дыра: обязательного документа нет, запрос не направлен",IF(AND($G105="нет",$P105="да",$R105&lt;&gt;"да"),"запрошен, не получен",IF(AND($G105="нет",$J105&lt;&gt;"да"),"отсутствует, на причину не влияет",IF(AND(OR($K105="да",$N105="да"),$M105=""),"передан без следа",IF(AND($K105="да",$L105=""),"передан без следа","в порядке"))))))))))</x:f>
      </x:c>
    </x:row>
    <x:row r="106">
      <x:c r="A106" s="95" t="str">
        <x:f>IF($B106="","",ROW()-6)</x:f>
      </x:c>
      <x:c r="B106" s="96" t="n"/>
      <x:c r="C106" s="96" t="n"/>
      <x:c r="D106" s="96" t="n"/>
      <x:c r="E106" s="97" t="n"/>
      <x:c r="F106" s="96" t="n"/>
      <x:c r="G106" s="96" t="n"/>
      <x:c r="H106" s="96" t="n"/>
      <x:c r="I106" s="96" t="n"/>
      <x:c r="J106" s="96" t="n"/>
      <x:c r="K106" s="96" t="n"/>
      <x:c r="L106" s="97" t="n"/>
      <x:c r="M106" s="96" t="n"/>
      <x:c r="N106" s="96" t="n"/>
      <x:c r="O106" s="11" t="n"/>
      <x:c r="P106" s="10" t="n"/>
      <x:c r="Q106" s="11" t="n"/>
      <x:c r="R106" s="10" t="n"/>
      <x:c r="S106" s="10" t="n"/>
      <x:c r="T106" s="10" t="n"/>
      <x:c r="U106" s="12" t="str">
        <x:f>IF($B106="","",IF(OR(AND($G106&lt;&gt;"оригинал",$G106&lt;&gt;"копия",$G106&lt;&gt;"скан",$G106&lt;&gt;"нет"),AND($J106&lt;&gt;"да",$J106&lt;&gt;"нет")),"НЕ ПРОВЕРЕНО: наличие или обязательность",IF(AND($N106="да",OR($O106="",$M106="")),"передан без следа: эксперт или дата",IF(AND($P106="да",$Q106=""),"НЕ ПРОВЕРЕНО: дата запроса",IF($B106="","",IF(AND($J106="да",$G106="нет",$P106&lt;&gt;"да"),"дыра: обязательного документа нет, запрос не направлен",IF(AND($G106="нет",$P106="да",$R106&lt;&gt;"да"),"запрошен, не получен",IF(AND($G106="нет",$J106&lt;&gt;"да"),"отсутствует, на причину не влияет",IF(AND(OR($K106="да",$N106="да"),$M106=""),"передан без следа",IF(AND($K106="да",$L106=""),"передан без следа","в порядке"))))))))))</x:f>
      </x:c>
    </x:row>
    <x:row r="107">
      <x:c r="A107" s="95" t="str">
        <x:f>IF($B107="","",ROW()-6)</x:f>
      </x:c>
      <x:c r="B107" s="96" t="n"/>
      <x:c r="C107" s="96" t="n"/>
      <x:c r="D107" s="96" t="n"/>
      <x:c r="E107" s="97" t="n"/>
      <x:c r="F107" s="96" t="n"/>
      <x:c r="G107" s="96" t="n"/>
      <x:c r="H107" s="96" t="n"/>
      <x:c r="I107" s="96" t="n"/>
      <x:c r="J107" s="96" t="n"/>
      <x:c r="K107" s="96" t="n"/>
      <x:c r="L107" s="97" t="n"/>
      <x:c r="M107" s="96" t="n"/>
      <x:c r="N107" s="96" t="n"/>
      <x:c r="O107" s="11" t="n"/>
      <x:c r="P107" s="10" t="n"/>
      <x:c r="Q107" s="11" t="n"/>
      <x:c r="R107" s="10" t="n"/>
      <x:c r="S107" s="10" t="n"/>
      <x:c r="T107" s="10" t="n"/>
      <x:c r="U107" s="12" t="str">
        <x:f>IF($B107="","",IF(OR(AND($G107&lt;&gt;"оригинал",$G107&lt;&gt;"копия",$G107&lt;&gt;"скан",$G107&lt;&gt;"нет"),AND($J107&lt;&gt;"да",$J107&lt;&gt;"нет")),"НЕ ПРОВЕРЕНО: наличие или обязательность",IF(AND($N107="да",OR($O107="",$M107="")),"передан без следа: эксперт или дата",IF(AND($P107="да",$Q107=""),"НЕ ПРОВЕРЕНО: дата запроса",IF($B107="","",IF(AND($J107="да",$G107="нет",$P107&lt;&gt;"да"),"дыра: обязательного документа нет, запрос не направлен",IF(AND($G107="нет",$P107="да",$R107&lt;&gt;"да"),"запрошен, не получен",IF(AND($G107="нет",$J107&lt;&gt;"да"),"отсутствует, на причину не влияет",IF(AND(OR($K107="да",$N107="да"),$M107=""),"передан без следа",IF(AND($K107="да",$L107=""),"передан без следа","в порядке"))))))))))</x:f>
      </x:c>
    </x:row>
    <x:row r="108">
      <x:c r="A108" s="95" t="str">
        <x:f>IF($B108="","",ROW()-6)</x:f>
      </x:c>
      <x:c r="B108" s="96" t="n"/>
      <x:c r="C108" s="96" t="n"/>
      <x:c r="D108" s="96" t="n"/>
      <x:c r="E108" s="97" t="n"/>
      <x:c r="F108" s="96" t="n"/>
      <x:c r="G108" s="96" t="n"/>
      <x:c r="H108" s="96" t="n"/>
      <x:c r="I108" s="96" t="n"/>
      <x:c r="J108" s="96" t="n"/>
      <x:c r="K108" s="96" t="n"/>
      <x:c r="L108" s="97" t="n"/>
      <x:c r="M108" s="96" t="n"/>
      <x:c r="N108" s="96" t="n"/>
      <x:c r="O108" s="11" t="n"/>
      <x:c r="P108" s="10" t="n"/>
      <x:c r="Q108" s="11" t="n"/>
      <x:c r="R108" s="10" t="n"/>
      <x:c r="S108" s="10" t="n"/>
      <x:c r="T108" s="10" t="n"/>
      <x:c r="U108" s="12" t="str">
        <x:f>IF($B108="","",IF(OR(AND($G108&lt;&gt;"оригинал",$G108&lt;&gt;"копия",$G108&lt;&gt;"скан",$G108&lt;&gt;"нет"),AND($J108&lt;&gt;"да",$J108&lt;&gt;"нет")),"НЕ ПРОВЕРЕНО: наличие или обязательность",IF(AND($N108="да",OR($O108="",$M108="")),"передан без следа: эксперт или дата",IF(AND($P108="да",$Q108=""),"НЕ ПРОВЕРЕНО: дата запроса",IF($B108="","",IF(AND($J108="да",$G108="нет",$P108&lt;&gt;"да"),"дыра: обязательного документа нет, запрос не направлен",IF(AND($G108="нет",$P108="да",$R108&lt;&gt;"да"),"запрошен, не получен",IF(AND($G108="нет",$J108&lt;&gt;"да"),"отсутствует, на причину не влияет",IF(AND(OR($K108="да",$N108="да"),$M108=""),"передан без следа",IF(AND($K108="да",$L108=""),"передан без следа","в порядке"))))))))))</x:f>
      </x:c>
    </x:row>
    <x:row r="109">
      <x:c r="A109" s="95" t="str">
        <x:f>IF($B109="","",ROW()-6)</x:f>
      </x:c>
      <x:c r="B109" s="96" t="n"/>
      <x:c r="C109" s="96" t="n"/>
      <x:c r="D109" s="96" t="n"/>
      <x:c r="E109" s="97" t="n"/>
      <x:c r="F109" s="96" t="n"/>
      <x:c r="G109" s="96" t="n"/>
      <x:c r="H109" s="96" t="n"/>
      <x:c r="I109" s="96" t="n"/>
      <x:c r="J109" s="96" t="n"/>
      <x:c r="K109" s="96" t="n"/>
      <x:c r="L109" s="97" t="n"/>
      <x:c r="M109" s="96" t="n"/>
      <x:c r="N109" s="96" t="n"/>
      <x:c r="O109" s="11" t="n"/>
      <x:c r="P109" s="10" t="n"/>
      <x:c r="Q109" s="11" t="n"/>
      <x:c r="R109" s="10" t="n"/>
      <x:c r="S109" s="10" t="n"/>
      <x:c r="T109" s="10" t="n"/>
      <x:c r="U109" s="12" t="str">
        <x:f>IF($B109="","",IF(OR(AND($G109&lt;&gt;"оригинал",$G109&lt;&gt;"копия",$G109&lt;&gt;"скан",$G109&lt;&gt;"нет"),AND($J109&lt;&gt;"да",$J109&lt;&gt;"нет")),"НЕ ПРОВЕРЕНО: наличие или обязательность",IF(AND($N109="да",OR($O109="",$M109="")),"передан без следа: эксперт или дата",IF(AND($P109="да",$Q109=""),"НЕ ПРОВЕРЕНО: дата запроса",IF($B109="","",IF(AND($J109="да",$G109="нет",$P109&lt;&gt;"да"),"дыра: обязательного документа нет, запрос не направлен",IF(AND($G109="нет",$P109="да",$R109&lt;&gt;"да"),"запрошен, не получен",IF(AND($G109="нет",$J109&lt;&gt;"да"),"отсутствует, на причину не влияет",IF(AND(OR($K109="да",$N109="да"),$M109=""),"передан без следа",IF(AND($K109="да",$L109=""),"передан без следа","в порядке"))))))))))</x:f>
      </x:c>
    </x:row>
    <x:row r="110">
      <x:c r="A110" s="95" t="str">
        <x:f>IF($B110="","",ROW()-6)</x:f>
      </x:c>
      <x:c r="B110" s="96" t="n"/>
      <x:c r="C110" s="96" t="n"/>
      <x:c r="D110" s="96" t="n"/>
      <x:c r="E110" s="97" t="n"/>
      <x:c r="F110" s="96" t="n"/>
      <x:c r="G110" s="96" t="n"/>
      <x:c r="H110" s="96" t="n"/>
      <x:c r="I110" s="96" t="n"/>
      <x:c r="J110" s="96" t="n"/>
      <x:c r="K110" s="96" t="n"/>
      <x:c r="L110" s="97" t="n"/>
      <x:c r="M110" s="96" t="n"/>
      <x:c r="N110" s="96" t="n"/>
      <x:c r="O110" s="11" t="n"/>
      <x:c r="P110" s="10" t="n"/>
      <x:c r="Q110" s="11" t="n"/>
      <x:c r="R110" s="10" t="n"/>
      <x:c r="S110" s="10" t="n"/>
      <x:c r="T110" s="10" t="n"/>
      <x:c r="U110" s="12" t="str">
        <x:f>IF($B110="","",IF(OR(AND($G110&lt;&gt;"оригинал",$G110&lt;&gt;"копия",$G110&lt;&gt;"скан",$G110&lt;&gt;"нет"),AND($J110&lt;&gt;"да",$J110&lt;&gt;"нет")),"НЕ ПРОВЕРЕНО: наличие или обязательность",IF(AND($N110="да",OR($O110="",$M110="")),"передан без следа: эксперт или дата",IF(AND($P110="да",$Q110=""),"НЕ ПРОВЕРЕНО: дата запроса",IF($B110="","",IF(AND($J110="да",$G110="нет",$P110&lt;&gt;"да"),"дыра: обязательного документа нет, запрос не направлен",IF(AND($G110="нет",$P110="да",$R110&lt;&gt;"да"),"запрошен, не получен",IF(AND($G110="нет",$J110&lt;&gt;"да"),"отсутствует, на причину не влияет",IF(AND(OR($K110="да",$N110="да"),$M110=""),"передан без следа",IF(AND($K110="да",$L110=""),"передан без следа","в порядке"))))))))))</x:f>
      </x:c>
    </x:row>
    <x:row r="111">
      <x:c r="A111" s="95" t="str">
        <x:f>IF($B111="","",ROW()-6)</x:f>
      </x:c>
      <x:c r="B111" s="96" t="n"/>
      <x:c r="C111" s="96" t="n"/>
      <x:c r="D111" s="96" t="n"/>
      <x:c r="E111" s="97" t="n"/>
      <x:c r="F111" s="96" t="n"/>
      <x:c r="G111" s="96" t="n"/>
      <x:c r="H111" s="96" t="n"/>
      <x:c r="I111" s="96" t="n"/>
      <x:c r="J111" s="96" t="n"/>
      <x:c r="K111" s="96" t="n"/>
      <x:c r="L111" s="97" t="n"/>
      <x:c r="M111" s="96" t="n"/>
      <x:c r="N111" s="96" t="n"/>
      <x:c r="O111" s="11" t="n"/>
      <x:c r="P111" s="10" t="n"/>
      <x:c r="Q111" s="11" t="n"/>
      <x:c r="R111" s="10" t="n"/>
      <x:c r="S111" s="10" t="n"/>
      <x:c r="T111" s="10" t="n"/>
      <x:c r="U111" s="12" t="str">
        <x:f>IF($B111="","",IF(OR(AND($G111&lt;&gt;"оригинал",$G111&lt;&gt;"копия",$G111&lt;&gt;"скан",$G111&lt;&gt;"нет"),AND($J111&lt;&gt;"да",$J111&lt;&gt;"нет")),"НЕ ПРОВЕРЕНО: наличие или обязательность",IF(AND($N111="да",OR($O111="",$M111="")),"передан без следа: эксперт или дата",IF(AND($P111="да",$Q111=""),"НЕ ПРОВЕРЕНО: дата запроса",IF($B111="","",IF(AND($J111="да",$G111="нет",$P111&lt;&gt;"да"),"дыра: обязательного документа нет, запрос не направлен",IF(AND($G111="нет",$P111="да",$R111&lt;&gt;"да"),"запрошен, не получен",IF(AND($G111="нет",$J111&lt;&gt;"да"),"отсутствует, на причину не влияет",IF(AND(OR($K111="да",$N111="да"),$M111=""),"передан без следа",IF(AND($K111="да",$L111=""),"передан без следа","в порядке"))))))))))</x:f>
      </x:c>
    </x:row>
    <x:row r="112">
      <x:c r="A112" s="95" t="str">
        <x:f>IF($B112="","",ROW()-6)</x:f>
      </x:c>
      <x:c r="B112" s="96" t="n"/>
      <x:c r="C112" s="96" t="n"/>
      <x:c r="D112" s="96" t="n"/>
      <x:c r="E112" s="97" t="n"/>
      <x:c r="F112" s="96" t="n"/>
      <x:c r="G112" s="96" t="n"/>
      <x:c r="H112" s="96" t="n"/>
      <x:c r="I112" s="96" t="n"/>
      <x:c r="J112" s="96" t="n"/>
      <x:c r="K112" s="96" t="n"/>
      <x:c r="L112" s="97" t="n"/>
      <x:c r="M112" s="96" t="n"/>
      <x:c r="N112" s="96" t="n"/>
      <x:c r="O112" s="11" t="n"/>
      <x:c r="P112" s="10" t="n"/>
      <x:c r="Q112" s="11" t="n"/>
      <x:c r="R112" s="10" t="n"/>
      <x:c r="S112" s="10" t="n"/>
      <x:c r="T112" s="10" t="n"/>
      <x:c r="U112" s="12" t="str">
        <x:f>IF($B112="","",IF(OR(AND($G112&lt;&gt;"оригинал",$G112&lt;&gt;"копия",$G112&lt;&gt;"скан",$G112&lt;&gt;"нет"),AND($J112&lt;&gt;"да",$J112&lt;&gt;"нет")),"НЕ ПРОВЕРЕНО: наличие или обязательность",IF(AND($N112="да",OR($O112="",$M112="")),"передан без следа: эксперт или дата",IF(AND($P112="да",$Q112=""),"НЕ ПРОВЕРЕНО: дата запроса",IF($B112="","",IF(AND($J112="да",$G112="нет",$P112&lt;&gt;"да"),"дыра: обязательного документа нет, запрос не направлен",IF(AND($G112="нет",$P112="да",$R112&lt;&gt;"да"),"запрошен, не получен",IF(AND($G112="нет",$J112&lt;&gt;"да"),"отсутствует, на причину не влияет",IF(AND(OR($K112="да",$N112="да"),$M112=""),"передан без следа",IF(AND($K112="да",$L112=""),"передан без следа","в порядке"))))))))))</x:f>
      </x:c>
    </x:row>
    <x:row r="113">
      <x:c r="A113" s="95" t="str">
        <x:f>IF($B113="","",ROW()-6)</x:f>
      </x:c>
      <x:c r="B113" s="96" t="n"/>
      <x:c r="C113" s="96" t="n"/>
      <x:c r="D113" s="96" t="n"/>
      <x:c r="E113" s="97" t="n"/>
      <x:c r="F113" s="96" t="n"/>
      <x:c r="G113" s="96" t="n"/>
      <x:c r="H113" s="96" t="n"/>
      <x:c r="I113" s="96" t="n"/>
      <x:c r="J113" s="96" t="n"/>
      <x:c r="K113" s="96" t="n"/>
      <x:c r="L113" s="97" t="n"/>
      <x:c r="M113" s="96" t="n"/>
      <x:c r="N113" s="96" t="n"/>
      <x:c r="O113" s="11" t="n"/>
      <x:c r="P113" s="10" t="n"/>
      <x:c r="Q113" s="11" t="n"/>
      <x:c r="R113" s="10" t="n"/>
      <x:c r="S113" s="10" t="n"/>
      <x:c r="T113" s="10" t="n"/>
      <x:c r="U113" s="12" t="str">
        <x:f>IF($B113="","",IF(OR(AND($G113&lt;&gt;"оригинал",$G113&lt;&gt;"копия",$G113&lt;&gt;"скан",$G113&lt;&gt;"нет"),AND($J113&lt;&gt;"да",$J113&lt;&gt;"нет")),"НЕ ПРОВЕРЕНО: наличие или обязательность",IF(AND($N113="да",OR($O113="",$M113="")),"передан без следа: эксперт или дата",IF(AND($P113="да",$Q113=""),"НЕ ПРОВЕРЕНО: дата запроса",IF($B113="","",IF(AND($J113="да",$G113="нет",$P113&lt;&gt;"да"),"дыра: обязательного документа нет, запрос не направлен",IF(AND($G113="нет",$P113="да",$R113&lt;&gt;"да"),"запрошен, не получен",IF(AND($G113="нет",$J113&lt;&gt;"да"),"отсутствует, на причину не влияет",IF(AND(OR($K113="да",$N113="да"),$M113=""),"передан без следа",IF(AND($K113="да",$L113=""),"передан без следа","в порядке"))))))))))</x:f>
      </x:c>
    </x:row>
    <x:row r="114">
      <x:c r="A114" s="95" t="str">
        <x:f>IF($B114="","",ROW()-6)</x:f>
      </x:c>
      <x:c r="B114" s="96" t="n"/>
      <x:c r="C114" s="96" t="n"/>
      <x:c r="D114" s="96" t="n"/>
      <x:c r="E114" s="97" t="n"/>
      <x:c r="F114" s="96" t="n"/>
      <x:c r="G114" s="96" t="n"/>
      <x:c r="H114" s="96" t="n"/>
      <x:c r="I114" s="96" t="n"/>
      <x:c r="J114" s="96" t="n"/>
      <x:c r="K114" s="96" t="n"/>
      <x:c r="L114" s="97" t="n"/>
      <x:c r="M114" s="96" t="n"/>
      <x:c r="N114" s="96" t="n"/>
      <x:c r="O114" s="11" t="n"/>
      <x:c r="P114" s="10" t="n"/>
      <x:c r="Q114" s="11" t="n"/>
      <x:c r="R114" s="10" t="n"/>
      <x:c r="S114" s="10" t="n"/>
      <x:c r="T114" s="10" t="n"/>
      <x:c r="U114" s="12" t="str">
        <x:f>IF($B114="","",IF(OR(AND($G114&lt;&gt;"оригинал",$G114&lt;&gt;"копия",$G114&lt;&gt;"скан",$G114&lt;&gt;"нет"),AND($J114&lt;&gt;"да",$J114&lt;&gt;"нет")),"НЕ ПРОВЕРЕНО: наличие или обязательность",IF(AND($N114="да",OR($O114="",$M114="")),"передан без следа: эксперт или дата",IF(AND($P114="да",$Q114=""),"НЕ ПРОВЕРЕНО: дата запроса",IF($B114="","",IF(AND($J114="да",$G114="нет",$P114&lt;&gt;"да"),"дыра: обязательного документа нет, запрос не направлен",IF(AND($G114="нет",$P114="да",$R114&lt;&gt;"да"),"запрошен, не получен",IF(AND($G114="нет",$J114&lt;&gt;"да"),"отсутствует, на причину не влияет",IF(AND(OR($K114="да",$N114="да"),$M114=""),"передан без следа",IF(AND($K114="да",$L114=""),"передан без следа","в порядке"))))))))))</x:f>
      </x:c>
    </x:row>
    <x:row r="115">
      <x:c r="A115" s="95" t="str">
        <x:f>IF($B115="","",ROW()-6)</x:f>
      </x:c>
      <x:c r="B115" s="96" t="n"/>
      <x:c r="C115" s="96" t="n"/>
      <x:c r="D115" s="96" t="n"/>
      <x:c r="E115" s="97" t="n"/>
      <x:c r="F115" s="96" t="n"/>
      <x:c r="G115" s="96" t="n"/>
      <x:c r="H115" s="96" t="n"/>
      <x:c r="I115" s="96" t="n"/>
      <x:c r="J115" s="96" t="n"/>
      <x:c r="K115" s="96" t="n"/>
      <x:c r="L115" s="97" t="n"/>
      <x:c r="M115" s="96" t="n"/>
      <x:c r="N115" s="96" t="n"/>
      <x:c r="O115" s="11" t="n"/>
      <x:c r="P115" s="10" t="n"/>
      <x:c r="Q115" s="11" t="n"/>
      <x:c r="R115" s="10" t="n"/>
      <x:c r="S115" s="10" t="n"/>
      <x:c r="T115" s="10" t="n"/>
      <x:c r="U115" s="12" t="str">
        <x:f>IF($B115="","",IF(OR(AND($G115&lt;&gt;"оригинал",$G115&lt;&gt;"копия",$G115&lt;&gt;"скан",$G115&lt;&gt;"нет"),AND($J115&lt;&gt;"да",$J115&lt;&gt;"нет")),"НЕ ПРОВЕРЕНО: наличие или обязательность",IF(AND($N115="да",OR($O115="",$M115="")),"передан без следа: эксперт или дата",IF(AND($P115="да",$Q115=""),"НЕ ПРОВЕРЕНО: дата запроса",IF($B115="","",IF(AND($J115="да",$G115="нет",$P115&lt;&gt;"да"),"дыра: обязательного документа нет, запрос не направлен",IF(AND($G115="нет",$P115="да",$R115&lt;&gt;"да"),"запрошен, не получен",IF(AND($G115="нет",$J115&lt;&gt;"да"),"отсутствует, на причину не влияет",IF(AND(OR($K115="да",$N115="да"),$M115=""),"передан без следа",IF(AND($K115="да",$L115=""),"передан без следа","в порядке"))))))))))</x:f>
      </x:c>
    </x:row>
    <x:row r="116">
      <x:c r="A116" s="95" t="str">
        <x:f>IF($B116="","",ROW()-6)</x:f>
      </x:c>
      <x:c r="B116" s="96" t="n"/>
      <x:c r="C116" s="96" t="n"/>
      <x:c r="D116" s="96" t="n"/>
      <x:c r="E116" s="97" t="n"/>
      <x:c r="F116" s="96" t="n"/>
      <x:c r="G116" s="96" t="n"/>
      <x:c r="H116" s="96" t="n"/>
      <x:c r="I116" s="96" t="n"/>
      <x:c r="J116" s="96" t="n"/>
      <x:c r="K116" s="96" t="n"/>
      <x:c r="L116" s="97" t="n"/>
      <x:c r="M116" s="96" t="n"/>
      <x:c r="N116" s="96" t="n"/>
      <x:c r="O116" s="11" t="n"/>
      <x:c r="P116" s="10" t="n"/>
      <x:c r="Q116" s="11" t="n"/>
      <x:c r="R116" s="10" t="n"/>
      <x:c r="S116" s="10" t="n"/>
      <x:c r="T116" s="10" t="n"/>
      <x:c r="U116" s="12" t="str">
        <x:f>IF($B116="","",IF(OR(AND($G116&lt;&gt;"оригинал",$G116&lt;&gt;"копия",$G116&lt;&gt;"скан",$G116&lt;&gt;"нет"),AND($J116&lt;&gt;"да",$J116&lt;&gt;"нет")),"НЕ ПРОВЕРЕНО: наличие или обязательность",IF(AND($N116="да",OR($O116="",$M116="")),"передан без следа: эксперт или дата",IF(AND($P116="да",$Q116=""),"НЕ ПРОВЕРЕНО: дата запроса",IF($B116="","",IF(AND($J116="да",$G116="нет",$P116&lt;&gt;"да"),"дыра: обязательного документа нет, запрос не направлен",IF(AND($G116="нет",$P116="да",$R116&lt;&gt;"да"),"запрошен, не получен",IF(AND($G116="нет",$J116&lt;&gt;"да"),"отсутствует, на причину не влияет",IF(AND(OR($K116="да",$N116="да"),$M116=""),"передан без следа",IF(AND($K116="да",$L116=""),"передан без следа","в порядке"))))))))))</x:f>
      </x:c>
    </x:row>
    <x:row r="117">
      <x:c r="A117" s="95" t="str">
        <x:f>IF($B117="","",ROW()-6)</x:f>
      </x:c>
      <x:c r="B117" s="96" t="n"/>
      <x:c r="C117" s="96" t="n"/>
      <x:c r="D117" s="96" t="n"/>
      <x:c r="E117" s="97" t="n"/>
      <x:c r="F117" s="96" t="n"/>
      <x:c r="G117" s="96" t="n"/>
      <x:c r="H117" s="96" t="n"/>
      <x:c r="I117" s="96" t="n"/>
      <x:c r="J117" s="96" t="n"/>
      <x:c r="K117" s="96" t="n"/>
      <x:c r="L117" s="97" t="n"/>
      <x:c r="M117" s="96" t="n"/>
      <x:c r="N117" s="96" t="n"/>
      <x:c r="O117" s="11" t="n"/>
      <x:c r="P117" s="10" t="n"/>
      <x:c r="Q117" s="11" t="n"/>
      <x:c r="R117" s="10" t="n"/>
      <x:c r="S117" s="10" t="n"/>
      <x:c r="T117" s="10" t="n"/>
      <x:c r="U117" s="12" t="str">
        <x:f>IF($B117="","",IF(OR(AND($G117&lt;&gt;"оригинал",$G117&lt;&gt;"копия",$G117&lt;&gt;"скан",$G117&lt;&gt;"нет"),AND($J117&lt;&gt;"да",$J117&lt;&gt;"нет")),"НЕ ПРОВЕРЕНО: наличие или обязательность",IF(AND($N117="да",OR($O117="",$M117="")),"передан без следа: эксперт или дата",IF(AND($P117="да",$Q117=""),"НЕ ПРОВЕРЕНО: дата запроса",IF($B117="","",IF(AND($J117="да",$G117="нет",$P117&lt;&gt;"да"),"дыра: обязательного документа нет, запрос не направлен",IF(AND($G117="нет",$P117="да",$R117&lt;&gt;"да"),"запрошен, не получен",IF(AND($G117="нет",$J117&lt;&gt;"да"),"отсутствует, на причину не влияет",IF(AND(OR($K117="да",$N117="да"),$M117=""),"передан без следа",IF(AND($K117="да",$L117=""),"передан без следа","в порядке"))))))))))</x:f>
      </x:c>
    </x:row>
    <x:row r="118">
      <x:c r="A118" s="95" t="str">
        <x:f>IF($B118="","",ROW()-6)</x:f>
      </x:c>
      <x:c r="B118" s="96" t="n"/>
      <x:c r="C118" s="96" t="n"/>
      <x:c r="D118" s="96" t="n"/>
      <x:c r="E118" s="97" t="n"/>
      <x:c r="F118" s="96" t="n"/>
      <x:c r="G118" s="96" t="n"/>
      <x:c r="H118" s="96" t="n"/>
      <x:c r="I118" s="96" t="n"/>
      <x:c r="J118" s="96" t="n"/>
      <x:c r="K118" s="96" t="n"/>
      <x:c r="L118" s="97" t="n"/>
      <x:c r="M118" s="96" t="n"/>
      <x:c r="N118" s="96" t="n"/>
      <x:c r="O118" s="11" t="n"/>
      <x:c r="P118" s="10" t="n"/>
      <x:c r="Q118" s="11" t="n"/>
      <x:c r="R118" s="10" t="n"/>
      <x:c r="S118" s="10" t="n"/>
      <x:c r="T118" s="10" t="n"/>
      <x:c r="U118" s="12" t="str">
        <x:f>IF($B118="","",IF(OR(AND($G118&lt;&gt;"оригинал",$G118&lt;&gt;"копия",$G118&lt;&gt;"скан",$G118&lt;&gt;"нет"),AND($J118&lt;&gt;"да",$J118&lt;&gt;"нет")),"НЕ ПРОВЕРЕНО: наличие или обязательность",IF(AND($N118="да",OR($O118="",$M118="")),"передан без следа: эксперт или дата",IF(AND($P118="да",$Q118=""),"НЕ ПРОВЕРЕНО: дата запроса",IF($B118="","",IF(AND($J118="да",$G118="нет",$P118&lt;&gt;"да"),"дыра: обязательного документа нет, запрос не направлен",IF(AND($G118="нет",$P118="да",$R118&lt;&gt;"да"),"запрошен, не получен",IF(AND($G118="нет",$J118&lt;&gt;"да"),"отсутствует, на причину не влияет",IF(AND(OR($K118="да",$N118="да"),$M118=""),"передан без следа",IF(AND($K118="да",$L118=""),"передан без следа","в порядке"))))))))))</x:f>
      </x:c>
    </x:row>
    <x:row r="119">
      <x:c r="A119" s="95" t="str">
        <x:f>IF($B119="","",ROW()-6)</x:f>
      </x:c>
      <x:c r="B119" s="96" t="n"/>
      <x:c r="C119" s="96" t="n"/>
      <x:c r="D119" s="96" t="n"/>
      <x:c r="E119" s="97" t="n"/>
      <x:c r="F119" s="96" t="n"/>
      <x:c r="G119" s="96" t="n"/>
      <x:c r="H119" s="96" t="n"/>
      <x:c r="I119" s="96" t="n"/>
      <x:c r="J119" s="96" t="n"/>
      <x:c r="K119" s="96" t="n"/>
      <x:c r="L119" s="97" t="n"/>
      <x:c r="M119" s="96" t="n"/>
      <x:c r="N119" s="96" t="n"/>
      <x:c r="O119" s="11" t="n"/>
      <x:c r="P119" s="10" t="n"/>
      <x:c r="Q119" s="11" t="n"/>
      <x:c r="R119" s="10" t="n"/>
      <x:c r="S119" s="10" t="n"/>
      <x:c r="T119" s="10" t="n"/>
      <x:c r="U119" s="12" t="str">
        <x:f>IF($B119="","",IF(OR(AND($G119&lt;&gt;"оригинал",$G119&lt;&gt;"копия",$G119&lt;&gt;"скан",$G119&lt;&gt;"нет"),AND($J119&lt;&gt;"да",$J119&lt;&gt;"нет")),"НЕ ПРОВЕРЕНО: наличие или обязательность",IF(AND($N119="да",OR($O119="",$M119="")),"передан без следа: эксперт или дата",IF(AND($P119="да",$Q119=""),"НЕ ПРОВЕРЕНО: дата запроса",IF($B119="","",IF(AND($J119="да",$G119="нет",$P119&lt;&gt;"да"),"дыра: обязательного документа нет, запрос не направлен",IF(AND($G119="нет",$P119="да",$R119&lt;&gt;"да"),"запрошен, не получен",IF(AND($G119="нет",$J119&lt;&gt;"да"),"отсутствует, на причину не влияет",IF(AND(OR($K119="да",$N119="да"),$M119=""),"передан без следа",IF(AND($K119="да",$L119=""),"передан без следа","в порядке"))))))))))</x:f>
      </x:c>
    </x:row>
    <x:row r="120">
      <x:c r="A120" s="95" t="str">
        <x:f>IF($B120="","",ROW()-6)</x:f>
      </x:c>
      <x:c r="B120" s="96" t="n"/>
      <x:c r="C120" s="96" t="n"/>
      <x:c r="D120" s="96" t="n"/>
      <x:c r="E120" s="97" t="n"/>
      <x:c r="F120" s="96" t="n"/>
      <x:c r="G120" s="96" t="n"/>
      <x:c r="H120" s="96" t="n"/>
      <x:c r="I120" s="96" t="n"/>
      <x:c r="J120" s="96" t="n"/>
      <x:c r="K120" s="96" t="n"/>
      <x:c r="L120" s="97" t="n"/>
      <x:c r="M120" s="96" t="n"/>
      <x:c r="N120" s="96" t="n"/>
      <x:c r="O120" s="11" t="n"/>
      <x:c r="P120" s="10" t="n"/>
      <x:c r="Q120" s="11" t="n"/>
      <x:c r="R120" s="10" t="n"/>
      <x:c r="S120" s="10" t="n"/>
      <x:c r="T120" s="10" t="n"/>
      <x:c r="U120" s="12" t="str">
        <x:f>IF($B120="","",IF(OR(AND($G120&lt;&gt;"оригинал",$G120&lt;&gt;"копия",$G120&lt;&gt;"скан",$G120&lt;&gt;"нет"),AND($J120&lt;&gt;"да",$J120&lt;&gt;"нет")),"НЕ ПРОВЕРЕНО: наличие или обязательность",IF(AND($N120="да",OR($O120="",$M120="")),"передан без следа: эксперт или дата",IF(AND($P120="да",$Q120=""),"НЕ ПРОВЕРЕНО: дата запроса",IF($B120="","",IF(AND($J120="да",$G120="нет",$P120&lt;&gt;"да"),"дыра: обязательного документа нет, запрос не направлен",IF(AND($G120="нет",$P120="да",$R120&lt;&gt;"да"),"запрошен, не получен",IF(AND($G120="нет",$J120&lt;&gt;"да"),"отсутствует, на причину не влияет",IF(AND(OR($K120="да",$N120="да"),$M120=""),"передан без следа",IF(AND($K120="да",$L120=""),"передан без следа","в порядке"))))))))))</x:f>
      </x:c>
    </x:row>
    <x:row r="121">
      <x:c r="A121" s="95" t="str">
        <x:f>IF($B121="","",ROW()-6)</x:f>
      </x:c>
      <x:c r="B121" s="96" t="n"/>
      <x:c r="C121" s="96" t="n"/>
      <x:c r="D121" s="96" t="n"/>
      <x:c r="E121" s="97" t="n"/>
      <x:c r="F121" s="96" t="n"/>
      <x:c r="G121" s="96" t="n"/>
      <x:c r="H121" s="96" t="n"/>
      <x:c r="I121" s="96" t="n"/>
      <x:c r="J121" s="96" t="n"/>
      <x:c r="K121" s="96" t="n"/>
      <x:c r="L121" s="97" t="n"/>
      <x:c r="M121" s="96" t="n"/>
      <x:c r="N121" s="96" t="n"/>
      <x:c r="O121" s="11" t="n"/>
      <x:c r="P121" s="10" t="n"/>
      <x:c r="Q121" s="11" t="n"/>
      <x:c r="R121" s="10" t="n"/>
      <x:c r="S121" s="10" t="n"/>
      <x:c r="T121" s="10" t="n"/>
      <x:c r="U121" s="12" t="str">
        <x:f>IF($B121="","",IF(OR(AND($G121&lt;&gt;"оригинал",$G121&lt;&gt;"копия",$G121&lt;&gt;"скан",$G121&lt;&gt;"нет"),AND($J121&lt;&gt;"да",$J121&lt;&gt;"нет")),"НЕ ПРОВЕРЕНО: наличие или обязательность",IF(AND($N121="да",OR($O121="",$M121="")),"передан без следа: эксперт или дата",IF(AND($P121="да",$Q121=""),"НЕ ПРОВЕРЕНО: дата запроса",IF($B121="","",IF(AND($J121="да",$G121="нет",$P121&lt;&gt;"да"),"дыра: обязательного документа нет, запрос не направлен",IF(AND($G121="нет",$P121="да",$R121&lt;&gt;"да"),"запрошен, не получен",IF(AND($G121="нет",$J121&lt;&gt;"да"),"отсутствует, на причину не влияет",IF(AND(OR($K121="да",$N121="да"),$M121=""),"передан без следа",IF(AND($K121="да",$L121=""),"передан без следа","в порядке"))))))))))</x:f>
      </x:c>
    </x:row>
    <x:row r="122">
      <x:c r="A122" s="95" t="str">
        <x:f>IF($B122="","",ROW()-6)</x:f>
      </x:c>
      <x:c r="B122" s="96" t="n"/>
      <x:c r="C122" s="96" t="n"/>
      <x:c r="D122" s="96" t="n"/>
      <x:c r="E122" s="97" t="n"/>
      <x:c r="F122" s="96" t="n"/>
      <x:c r="G122" s="96" t="n"/>
      <x:c r="H122" s="96" t="n"/>
      <x:c r="I122" s="96" t="n"/>
      <x:c r="J122" s="96" t="n"/>
      <x:c r="K122" s="96" t="n"/>
      <x:c r="L122" s="97" t="n"/>
      <x:c r="M122" s="96" t="n"/>
      <x:c r="N122" s="96" t="n"/>
      <x:c r="O122" s="11" t="n"/>
      <x:c r="P122" s="10" t="n"/>
      <x:c r="Q122" s="11" t="n"/>
      <x:c r="R122" s="10" t="n"/>
      <x:c r="S122" s="10" t="n"/>
      <x:c r="T122" s="10" t="n"/>
      <x:c r="U122" s="12" t="str">
        <x:f>IF($B122="","",IF(OR(AND($G122&lt;&gt;"оригинал",$G122&lt;&gt;"копия",$G122&lt;&gt;"скан",$G122&lt;&gt;"нет"),AND($J122&lt;&gt;"да",$J122&lt;&gt;"нет")),"НЕ ПРОВЕРЕНО: наличие или обязательность",IF(AND($N122="да",OR($O122="",$M122="")),"передан без следа: эксперт или дата",IF(AND($P122="да",$Q122=""),"НЕ ПРОВЕРЕНО: дата запроса",IF($B122="","",IF(AND($J122="да",$G122="нет",$P122&lt;&gt;"да"),"дыра: обязательного документа нет, запрос не направлен",IF(AND($G122="нет",$P122="да",$R122&lt;&gt;"да"),"запрошен, не получен",IF(AND($G122="нет",$J122&lt;&gt;"да"),"отсутствует, на причину не влияет",IF(AND(OR($K122="да",$N122="да"),$M122=""),"передан без следа",IF(AND($K122="да",$L122=""),"передан без следа","в порядке"))))))))))</x:f>
      </x:c>
    </x:row>
    <x:row r="123">
      <x:c r="A123" s="95" t="str">
        <x:f>IF($B123="","",ROW()-6)</x:f>
      </x:c>
      <x:c r="B123" s="96" t="n"/>
      <x:c r="C123" s="96" t="n"/>
      <x:c r="D123" s="96" t="n"/>
      <x:c r="E123" s="97" t="n"/>
      <x:c r="F123" s="96" t="n"/>
      <x:c r="G123" s="96" t="n"/>
      <x:c r="H123" s="96" t="n"/>
      <x:c r="I123" s="96" t="n"/>
      <x:c r="J123" s="96" t="n"/>
      <x:c r="K123" s="96" t="n"/>
      <x:c r="L123" s="97" t="n"/>
      <x:c r="M123" s="96" t="n"/>
      <x:c r="N123" s="96" t="n"/>
      <x:c r="O123" s="11" t="n"/>
      <x:c r="P123" s="10" t="n"/>
      <x:c r="Q123" s="11" t="n"/>
      <x:c r="R123" s="10" t="n"/>
      <x:c r="S123" s="10" t="n"/>
      <x:c r="T123" s="10" t="n"/>
      <x:c r="U123" s="12" t="str">
        <x:f>IF($B123="","",IF(OR(AND($G123&lt;&gt;"оригинал",$G123&lt;&gt;"копия",$G123&lt;&gt;"скан",$G123&lt;&gt;"нет"),AND($J123&lt;&gt;"да",$J123&lt;&gt;"нет")),"НЕ ПРОВЕРЕНО: наличие или обязательность",IF(AND($N123="да",OR($O123="",$M123="")),"передан без следа: эксперт или дата",IF(AND($P123="да",$Q123=""),"НЕ ПРОВЕРЕНО: дата запроса",IF($B123="","",IF(AND($J123="да",$G123="нет",$P123&lt;&gt;"да"),"дыра: обязательного документа нет, запрос не направлен",IF(AND($G123="нет",$P123="да",$R123&lt;&gt;"да"),"запрошен, не получен",IF(AND($G123="нет",$J123&lt;&gt;"да"),"отсутствует, на причину не влияет",IF(AND(OR($K123="да",$N123="да"),$M123=""),"передан без следа",IF(AND($K123="да",$L123=""),"передан без следа","в порядке"))))))))))</x:f>
      </x:c>
    </x:row>
    <x:row r="124">
      <x:c r="A124" s="95" t="str">
        <x:f>IF($B124="","",ROW()-6)</x:f>
      </x:c>
      <x:c r="B124" s="96" t="n"/>
      <x:c r="C124" s="96" t="n"/>
      <x:c r="D124" s="96" t="n"/>
      <x:c r="E124" s="97" t="n"/>
      <x:c r="F124" s="96" t="n"/>
      <x:c r="G124" s="96" t="n"/>
      <x:c r="H124" s="96" t="n"/>
      <x:c r="I124" s="96" t="n"/>
      <x:c r="J124" s="96" t="n"/>
      <x:c r="K124" s="96" t="n"/>
      <x:c r="L124" s="97" t="n"/>
      <x:c r="M124" s="96" t="n"/>
      <x:c r="N124" s="96" t="n"/>
      <x:c r="O124" s="11" t="n"/>
      <x:c r="P124" s="10" t="n"/>
      <x:c r="Q124" s="11" t="n"/>
      <x:c r="R124" s="10" t="n"/>
      <x:c r="S124" s="10" t="n"/>
      <x:c r="T124" s="10" t="n"/>
      <x:c r="U124" s="12" t="str">
        <x:f>IF($B124="","",IF(OR(AND($G124&lt;&gt;"оригинал",$G124&lt;&gt;"копия",$G124&lt;&gt;"скан",$G124&lt;&gt;"нет"),AND($J124&lt;&gt;"да",$J124&lt;&gt;"нет")),"НЕ ПРОВЕРЕНО: наличие или обязательность",IF(AND($N124="да",OR($O124="",$M124="")),"передан без следа: эксперт или дата",IF(AND($P124="да",$Q124=""),"НЕ ПРОВЕРЕНО: дата запроса",IF($B124="","",IF(AND($J124="да",$G124="нет",$P124&lt;&gt;"да"),"дыра: обязательного документа нет, запрос не направлен",IF(AND($G124="нет",$P124="да",$R124&lt;&gt;"да"),"запрошен, не получен",IF(AND($G124="нет",$J124&lt;&gt;"да"),"отсутствует, на причину не влияет",IF(AND(OR($K124="да",$N124="да"),$M124=""),"передан без следа",IF(AND($K124="да",$L124=""),"передан без следа","в порядке"))))))))))</x:f>
      </x:c>
    </x:row>
    <x:row r="125">
      <x:c r="A125" s="95" t="str">
        <x:f>IF($B125="","",ROW()-6)</x:f>
      </x:c>
      <x:c r="B125" s="96" t="n"/>
      <x:c r="C125" s="96" t="n"/>
      <x:c r="D125" s="96" t="n"/>
      <x:c r="E125" s="97" t="n"/>
      <x:c r="F125" s="96" t="n"/>
      <x:c r="G125" s="96" t="n"/>
      <x:c r="H125" s="96" t="n"/>
      <x:c r="I125" s="96" t="n"/>
      <x:c r="J125" s="96" t="n"/>
      <x:c r="K125" s="96" t="n"/>
      <x:c r="L125" s="97" t="n"/>
      <x:c r="M125" s="96" t="n"/>
      <x:c r="N125" s="96" t="n"/>
      <x:c r="O125" s="11" t="n"/>
      <x:c r="P125" s="10" t="n"/>
      <x:c r="Q125" s="11" t="n"/>
      <x:c r="R125" s="10" t="n"/>
      <x:c r="S125" s="10" t="n"/>
      <x:c r="T125" s="10" t="n"/>
      <x:c r="U125" s="12" t="str">
        <x:f>IF($B125="","",IF(OR(AND($G125&lt;&gt;"оригинал",$G125&lt;&gt;"копия",$G125&lt;&gt;"скан",$G125&lt;&gt;"нет"),AND($J125&lt;&gt;"да",$J125&lt;&gt;"нет")),"НЕ ПРОВЕРЕНО: наличие или обязательность",IF(AND($N125="да",OR($O125="",$M125="")),"передан без следа: эксперт или дата",IF(AND($P125="да",$Q125=""),"НЕ ПРОВЕРЕНО: дата запроса",IF($B125="","",IF(AND($J125="да",$G125="нет",$P125&lt;&gt;"да"),"дыра: обязательного документа нет, запрос не направлен",IF(AND($G125="нет",$P125="да",$R125&lt;&gt;"да"),"запрошен, не получен",IF(AND($G125="нет",$J125&lt;&gt;"да"),"отсутствует, на причину не влияет",IF(AND(OR($K125="да",$N125="да"),$M125=""),"передан без следа",IF(AND($K125="да",$L125=""),"передан без следа","в порядке"))))))))))</x:f>
      </x:c>
    </x:row>
    <x:row r="126">
      <x:c r="A126" s="95" t="str">
        <x:f>IF($B126="","",ROW()-6)</x:f>
      </x:c>
      <x:c r="B126" s="96" t="n"/>
      <x:c r="C126" s="96" t="n"/>
      <x:c r="D126" s="96" t="n"/>
      <x:c r="E126" s="97" t="n"/>
      <x:c r="F126" s="96" t="n"/>
      <x:c r="G126" s="96" t="n"/>
      <x:c r="H126" s="96" t="n"/>
      <x:c r="I126" s="96" t="n"/>
      <x:c r="J126" s="96" t="n"/>
      <x:c r="K126" s="96" t="n"/>
      <x:c r="L126" s="97" t="n"/>
      <x:c r="M126" s="96" t="n"/>
      <x:c r="N126" s="96" t="n"/>
      <x:c r="O126" s="11" t="n"/>
      <x:c r="P126" s="10" t="n"/>
      <x:c r="Q126" s="11" t="n"/>
      <x:c r="R126" s="10" t="n"/>
      <x:c r="S126" s="10" t="n"/>
      <x:c r="T126" s="10" t="n"/>
      <x:c r="U126" s="12" t="str">
        <x:f>IF($B126="","",IF(OR(AND($G126&lt;&gt;"оригинал",$G126&lt;&gt;"копия",$G126&lt;&gt;"скан",$G126&lt;&gt;"нет"),AND($J126&lt;&gt;"да",$J126&lt;&gt;"нет")),"НЕ ПРОВЕРЕНО: наличие или обязательность",IF(AND($N126="да",OR($O126="",$M126="")),"передан без следа: эксперт или дата",IF(AND($P126="да",$Q126=""),"НЕ ПРОВЕРЕНО: дата запроса",IF($B126="","",IF(AND($J126="да",$G126="нет",$P126&lt;&gt;"да"),"дыра: обязательного документа нет, запрос не направлен",IF(AND($G126="нет",$P126="да",$R126&lt;&gt;"да"),"запрошен, не получен",IF(AND($G126="нет",$J126&lt;&gt;"да"),"отсутствует, на причину не влияет",IF(AND(OR($K126="да",$N126="да"),$M126=""),"передан без следа",IF(AND($K126="да",$L126=""),"передан без следа","в порядке"))))))))))</x:f>
      </x:c>
    </x:row>
    <x:row r="127">
      <x:c r="A127" s="95" t="str">
        <x:f>IF($B127="","",ROW()-6)</x:f>
      </x:c>
      <x:c r="B127" s="96" t="n"/>
      <x:c r="C127" s="96" t="n"/>
      <x:c r="D127" s="96" t="n"/>
      <x:c r="E127" s="97" t="n"/>
      <x:c r="F127" s="96" t="n"/>
      <x:c r="G127" s="96" t="n"/>
      <x:c r="H127" s="96" t="n"/>
      <x:c r="I127" s="96" t="n"/>
      <x:c r="J127" s="96" t="n"/>
      <x:c r="K127" s="96" t="n"/>
      <x:c r="L127" s="97" t="n"/>
      <x:c r="M127" s="96" t="n"/>
      <x:c r="N127" s="96" t="n"/>
      <x:c r="O127" s="11" t="n"/>
      <x:c r="P127" s="10" t="n"/>
      <x:c r="Q127" s="11" t="n"/>
      <x:c r="R127" s="10" t="n"/>
      <x:c r="S127" s="10" t="n"/>
      <x:c r="T127" s="10" t="n"/>
      <x:c r="U127" s="12" t="str">
        <x:f>IF($B127="","",IF(OR(AND($G127&lt;&gt;"оригинал",$G127&lt;&gt;"копия",$G127&lt;&gt;"скан",$G127&lt;&gt;"нет"),AND($J127&lt;&gt;"да",$J127&lt;&gt;"нет")),"НЕ ПРОВЕРЕНО: наличие или обязательность",IF(AND($N127="да",OR($O127="",$M127="")),"передан без следа: эксперт или дата",IF(AND($P127="да",$Q127=""),"НЕ ПРОВЕРЕНО: дата запроса",IF($B127="","",IF(AND($J127="да",$G127="нет",$P127&lt;&gt;"да"),"дыра: обязательного документа нет, запрос не направлен",IF(AND($G127="нет",$P127="да",$R127&lt;&gt;"да"),"запрошен, не получен",IF(AND($G127="нет",$J127&lt;&gt;"да"),"отсутствует, на причину не влияет",IF(AND(OR($K127="да",$N127="да"),$M127=""),"передан без следа",IF(AND($K127="да",$L127=""),"передан без следа","в порядке"))))))))))</x:f>
      </x:c>
    </x:row>
    <x:row r="128">
      <x:c r="A128" s="95" t="str">
        <x:f>IF($B128="","",ROW()-6)</x:f>
      </x:c>
      <x:c r="B128" s="96" t="n"/>
      <x:c r="C128" s="96" t="n"/>
      <x:c r="D128" s="96" t="n"/>
      <x:c r="E128" s="97" t="n"/>
      <x:c r="F128" s="96" t="n"/>
      <x:c r="G128" s="96" t="n"/>
      <x:c r="H128" s="96" t="n"/>
      <x:c r="I128" s="96" t="n"/>
      <x:c r="J128" s="96" t="n"/>
      <x:c r="K128" s="96" t="n"/>
      <x:c r="L128" s="97" t="n"/>
      <x:c r="M128" s="96" t="n"/>
      <x:c r="N128" s="96" t="n"/>
      <x:c r="O128" s="11" t="n"/>
      <x:c r="P128" s="10" t="n"/>
      <x:c r="Q128" s="11" t="n"/>
      <x:c r="R128" s="10" t="n"/>
      <x:c r="S128" s="10" t="n"/>
      <x:c r="T128" s="10" t="n"/>
      <x:c r="U128" s="12" t="str">
        <x:f>IF($B128="","",IF(OR(AND($G128&lt;&gt;"оригинал",$G128&lt;&gt;"копия",$G128&lt;&gt;"скан",$G128&lt;&gt;"нет"),AND($J128&lt;&gt;"да",$J128&lt;&gt;"нет")),"НЕ ПРОВЕРЕНО: наличие или обязательность",IF(AND($N128="да",OR($O128="",$M128="")),"передан без следа: эксперт или дата",IF(AND($P128="да",$Q128=""),"НЕ ПРОВЕРЕНО: дата запроса",IF($B128="","",IF(AND($J128="да",$G128="нет",$P128&lt;&gt;"да"),"дыра: обязательного документа нет, запрос не направлен",IF(AND($G128="нет",$P128="да",$R128&lt;&gt;"да"),"запрошен, не получен",IF(AND($G128="нет",$J128&lt;&gt;"да"),"отсутствует, на причину не влияет",IF(AND(OR($K128="да",$N128="да"),$M128=""),"передан без следа",IF(AND($K128="да",$L128=""),"передан без следа","в порядке"))))))))))</x:f>
      </x:c>
    </x:row>
    <x:row r="129">
      <x:c r="A129" s="95" t="str">
        <x:f>IF($B129="","",ROW()-6)</x:f>
      </x:c>
      <x:c r="B129" s="96" t="n"/>
      <x:c r="C129" s="96" t="n"/>
      <x:c r="D129" s="96" t="n"/>
      <x:c r="E129" s="97" t="n"/>
      <x:c r="F129" s="96" t="n"/>
      <x:c r="G129" s="96" t="n"/>
      <x:c r="H129" s="96" t="n"/>
      <x:c r="I129" s="96" t="n"/>
      <x:c r="J129" s="96" t="n"/>
      <x:c r="K129" s="96" t="n"/>
      <x:c r="L129" s="97" t="n"/>
      <x:c r="M129" s="96" t="n"/>
      <x:c r="N129" s="96" t="n"/>
      <x:c r="O129" s="11" t="n"/>
      <x:c r="P129" s="10" t="n"/>
      <x:c r="Q129" s="11" t="n"/>
      <x:c r="R129" s="10" t="n"/>
      <x:c r="S129" s="10" t="n"/>
      <x:c r="T129" s="10" t="n"/>
      <x:c r="U129" s="12" t="str">
        <x:f>IF($B129="","",IF(OR(AND($G129&lt;&gt;"оригинал",$G129&lt;&gt;"копия",$G129&lt;&gt;"скан",$G129&lt;&gt;"нет"),AND($J129&lt;&gt;"да",$J129&lt;&gt;"нет")),"НЕ ПРОВЕРЕНО: наличие или обязательность",IF(AND($N129="да",OR($O129="",$M129="")),"передан без следа: эксперт или дата",IF(AND($P129="да",$Q129=""),"НЕ ПРОВЕРЕНО: дата запроса",IF($B129="","",IF(AND($J129="да",$G129="нет",$P129&lt;&gt;"да"),"дыра: обязательного документа нет, запрос не направлен",IF(AND($G129="нет",$P129="да",$R129&lt;&gt;"да"),"запрошен, не получен",IF(AND($G129="нет",$J129&lt;&gt;"да"),"отсутствует, на причину не влияет",IF(AND(OR($K129="да",$N129="да"),$M129=""),"передан без следа",IF(AND($K129="да",$L129=""),"передан без следа","в порядке"))))))))))</x:f>
      </x:c>
    </x:row>
    <x:row r="130">
      <x:c r="A130" s="95" t="str">
        <x:f>IF($B130="","",ROW()-6)</x:f>
      </x:c>
      <x:c r="B130" s="96" t="n"/>
      <x:c r="C130" s="96" t="n"/>
      <x:c r="D130" s="96" t="n"/>
      <x:c r="E130" s="97" t="n"/>
      <x:c r="F130" s="96" t="n"/>
      <x:c r="G130" s="96" t="n"/>
      <x:c r="H130" s="96" t="n"/>
      <x:c r="I130" s="96" t="n"/>
      <x:c r="J130" s="96" t="n"/>
      <x:c r="K130" s="96" t="n"/>
      <x:c r="L130" s="97" t="n"/>
      <x:c r="M130" s="96" t="n"/>
      <x:c r="N130" s="96" t="n"/>
      <x:c r="O130" s="11" t="n"/>
      <x:c r="P130" s="10" t="n"/>
      <x:c r="Q130" s="11" t="n"/>
      <x:c r="R130" s="10" t="n"/>
      <x:c r="S130" s="10" t="n"/>
      <x:c r="T130" s="10" t="n"/>
      <x:c r="U130" s="12" t="str">
        <x:f>IF($B130="","",IF(OR(AND($G130&lt;&gt;"оригинал",$G130&lt;&gt;"копия",$G130&lt;&gt;"скан",$G130&lt;&gt;"нет"),AND($J130&lt;&gt;"да",$J130&lt;&gt;"нет")),"НЕ ПРОВЕРЕНО: наличие или обязательность",IF(AND($N130="да",OR($O130="",$M130="")),"передан без следа: эксперт или дата",IF(AND($P130="да",$Q130=""),"НЕ ПРОВЕРЕНО: дата запроса",IF($B130="","",IF(AND($J130="да",$G130="нет",$P130&lt;&gt;"да"),"дыра: обязательного документа нет, запрос не направлен",IF(AND($G130="нет",$P130="да",$R130&lt;&gt;"да"),"запрошен, не получен",IF(AND($G130="нет",$J130&lt;&gt;"да"),"отсутствует, на причину не влияет",IF(AND(OR($K130="да",$N130="да"),$M130=""),"передан без следа",IF(AND($K130="да",$L130=""),"передан без следа","в порядке"))))))))))</x:f>
      </x:c>
    </x:row>
    <x:row r="131">
      <x:c r="A131" s="95" t="str">
        <x:f>IF($B131="","",ROW()-6)</x:f>
      </x:c>
      <x:c r="B131" s="96" t="n"/>
      <x:c r="C131" s="96" t="n"/>
      <x:c r="D131" s="96" t="n"/>
      <x:c r="E131" s="97" t="n"/>
      <x:c r="F131" s="96" t="n"/>
      <x:c r="G131" s="96" t="n"/>
      <x:c r="H131" s="96" t="n"/>
      <x:c r="I131" s="96" t="n"/>
      <x:c r="J131" s="96" t="n"/>
      <x:c r="K131" s="96" t="n"/>
      <x:c r="L131" s="97" t="n"/>
      <x:c r="M131" s="96" t="n"/>
      <x:c r="N131" s="96" t="n"/>
      <x:c r="O131" s="11" t="n"/>
      <x:c r="P131" s="10" t="n"/>
      <x:c r="Q131" s="11" t="n"/>
      <x:c r="R131" s="10" t="n"/>
      <x:c r="S131" s="10" t="n"/>
      <x:c r="T131" s="10" t="n"/>
      <x:c r="U131" s="12" t="str">
        <x:f>IF($B131="","",IF(OR(AND($G131&lt;&gt;"оригинал",$G131&lt;&gt;"копия",$G131&lt;&gt;"скан",$G131&lt;&gt;"нет"),AND($J131&lt;&gt;"да",$J131&lt;&gt;"нет")),"НЕ ПРОВЕРЕНО: наличие или обязательность",IF(AND($N131="да",OR($O131="",$M131="")),"передан без следа: эксперт или дата",IF(AND($P131="да",$Q131=""),"НЕ ПРОВЕРЕНО: дата запроса",IF($B131="","",IF(AND($J131="да",$G131="нет",$P131&lt;&gt;"да"),"дыра: обязательного документа нет, запрос не направлен",IF(AND($G131="нет",$P131="да",$R131&lt;&gt;"да"),"запрошен, не получен",IF(AND($G131="нет",$J131&lt;&gt;"да"),"отсутствует, на причину не влияет",IF(AND(OR($K131="да",$N131="да"),$M131=""),"передан без следа",IF(AND($K131="да",$L131=""),"передан без следа","в порядке"))))))))))</x:f>
      </x:c>
    </x:row>
    <x:row r="132">
      <x:c r="A132" s="95" t="str">
        <x:f>IF($B132="","",ROW()-6)</x:f>
      </x:c>
      <x:c r="B132" s="96" t="n"/>
      <x:c r="C132" s="96" t="n"/>
      <x:c r="D132" s="96" t="n"/>
      <x:c r="E132" s="97" t="n"/>
      <x:c r="F132" s="96" t="n"/>
      <x:c r="G132" s="96" t="n"/>
      <x:c r="H132" s="96" t="n"/>
      <x:c r="I132" s="96" t="n"/>
      <x:c r="J132" s="96" t="n"/>
      <x:c r="K132" s="96" t="n"/>
      <x:c r="L132" s="97" t="n"/>
      <x:c r="M132" s="96" t="n"/>
      <x:c r="N132" s="96" t="n"/>
      <x:c r="O132" s="11" t="n"/>
      <x:c r="P132" s="10" t="n"/>
      <x:c r="Q132" s="11" t="n"/>
      <x:c r="R132" s="10" t="n"/>
      <x:c r="S132" s="10" t="n"/>
      <x:c r="T132" s="10" t="n"/>
      <x:c r="U132" s="12" t="str">
        <x:f>IF($B132="","",IF(OR(AND($G132&lt;&gt;"оригинал",$G132&lt;&gt;"копия",$G132&lt;&gt;"скан",$G132&lt;&gt;"нет"),AND($J132&lt;&gt;"да",$J132&lt;&gt;"нет")),"НЕ ПРОВЕРЕНО: наличие или обязательность",IF(AND($N132="да",OR($O132="",$M132="")),"передан без следа: эксперт или дата",IF(AND($P132="да",$Q132=""),"НЕ ПРОВЕРЕНО: дата запроса",IF($B132="","",IF(AND($J132="да",$G132="нет",$P132&lt;&gt;"да"),"дыра: обязательного документа нет, запрос не направлен",IF(AND($G132="нет",$P132="да",$R132&lt;&gt;"да"),"запрошен, не получен",IF(AND($G132="нет",$J132&lt;&gt;"да"),"отсутствует, на причину не влияет",IF(AND(OR($K132="да",$N132="да"),$M132=""),"передан без следа",IF(AND($K132="да",$L132=""),"передан без следа","в порядке"))))))))))</x:f>
      </x:c>
    </x:row>
    <x:row r="133">
      <x:c r="A133" s="95" t="str">
        <x:f>IF($B133="","",ROW()-6)</x:f>
      </x:c>
      <x:c r="B133" s="96" t="n"/>
      <x:c r="C133" s="96" t="n"/>
      <x:c r="D133" s="96" t="n"/>
      <x:c r="E133" s="97" t="n"/>
      <x:c r="F133" s="96" t="n"/>
      <x:c r="G133" s="96" t="n"/>
      <x:c r="H133" s="96" t="n"/>
      <x:c r="I133" s="96" t="n"/>
      <x:c r="J133" s="96" t="n"/>
      <x:c r="K133" s="96" t="n"/>
      <x:c r="L133" s="97" t="n"/>
      <x:c r="M133" s="96" t="n"/>
      <x:c r="N133" s="96" t="n"/>
      <x:c r="O133" s="11" t="n"/>
      <x:c r="P133" s="10" t="n"/>
      <x:c r="Q133" s="11" t="n"/>
      <x:c r="R133" s="10" t="n"/>
      <x:c r="S133" s="10" t="n"/>
      <x:c r="T133" s="10" t="n"/>
      <x:c r="U133" s="12" t="str">
        <x:f>IF($B133="","",IF(OR(AND($G133&lt;&gt;"оригинал",$G133&lt;&gt;"копия",$G133&lt;&gt;"скан",$G133&lt;&gt;"нет"),AND($J133&lt;&gt;"да",$J133&lt;&gt;"нет")),"НЕ ПРОВЕРЕНО: наличие или обязательность",IF(AND($N133="да",OR($O133="",$M133="")),"передан без следа: эксперт или дата",IF(AND($P133="да",$Q133=""),"НЕ ПРОВЕРЕНО: дата запроса",IF($B133="","",IF(AND($J133="да",$G133="нет",$P133&lt;&gt;"да"),"дыра: обязательного документа нет, запрос не направлен",IF(AND($G133="нет",$P133="да",$R133&lt;&gt;"да"),"запрошен, не получен",IF(AND($G133="нет",$J133&lt;&gt;"да"),"отсутствует, на причину не влияет",IF(AND(OR($K133="да",$N133="да"),$M133=""),"передан без следа",IF(AND($K133="да",$L133=""),"передан без следа","в порядке"))))))))))</x:f>
      </x:c>
    </x:row>
    <x:row r="134">
      <x:c r="A134" s="95" t="str">
        <x:f>IF($B134="","",ROW()-6)</x:f>
      </x:c>
      <x:c r="B134" s="96" t="n"/>
      <x:c r="C134" s="96" t="n"/>
      <x:c r="D134" s="96" t="n"/>
      <x:c r="E134" s="97" t="n"/>
      <x:c r="F134" s="96" t="n"/>
      <x:c r="G134" s="96" t="n"/>
      <x:c r="H134" s="96" t="n"/>
      <x:c r="I134" s="96" t="n"/>
      <x:c r="J134" s="96" t="n"/>
      <x:c r="K134" s="96" t="n"/>
      <x:c r="L134" s="97" t="n"/>
      <x:c r="M134" s="96" t="n"/>
      <x:c r="N134" s="96" t="n"/>
      <x:c r="O134" s="11" t="n"/>
      <x:c r="P134" s="10" t="n"/>
      <x:c r="Q134" s="11" t="n"/>
      <x:c r="R134" s="10" t="n"/>
      <x:c r="S134" s="10" t="n"/>
      <x:c r="T134" s="10" t="n"/>
      <x:c r="U134" s="12" t="str">
        <x:f>IF($B134="","",IF(OR(AND($G134&lt;&gt;"оригинал",$G134&lt;&gt;"копия",$G134&lt;&gt;"скан",$G134&lt;&gt;"нет"),AND($J134&lt;&gt;"да",$J134&lt;&gt;"нет")),"НЕ ПРОВЕРЕНО: наличие или обязательность",IF(AND($N134="да",OR($O134="",$M134="")),"передан без следа: эксперт или дата",IF(AND($P134="да",$Q134=""),"НЕ ПРОВЕРЕНО: дата запроса",IF($B134="","",IF(AND($J134="да",$G134="нет",$P134&lt;&gt;"да"),"дыра: обязательного документа нет, запрос не направлен",IF(AND($G134="нет",$P134="да",$R134&lt;&gt;"да"),"запрошен, не получен",IF(AND($G134="нет",$J134&lt;&gt;"да"),"отсутствует, на причину не влияет",IF(AND(OR($K134="да",$N134="да"),$M134=""),"передан без следа",IF(AND($K134="да",$L134=""),"передан без следа","в порядке"))))))))))</x:f>
      </x:c>
    </x:row>
    <x:row r="135">
      <x:c r="A135" s="95" t="str">
        <x:f>IF($B135="","",ROW()-6)</x:f>
      </x:c>
      <x:c r="B135" s="96" t="n"/>
      <x:c r="C135" s="96" t="n"/>
      <x:c r="D135" s="96" t="n"/>
      <x:c r="E135" s="97" t="n"/>
      <x:c r="F135" s="96" t="n"/>
      <x:c r="G135" s="96" t="n"/>
      <x:c r="H135" s="96" t="n"/>
      <x:c r="I135" s="96" t="n"/>
      <x:c r="J135" s="96" t="n"/>
      <x:c r="K135" s="96" t="n"/>
      <x:c r="L135" s="97" t="n"/>
      <x:c r="M135" s="96" t="n"/>
      <x:c r="N135" s="96" t="n"/>
      <x:c r="O135" s="11" t="n"/>
      <x:c r="P135" s="10" t="n"/>
      <x:c r="Q135" s="11" t="n"/>
      <x:c r="R135" s="10" t="n"/>
      <x:c r="S135" s="10" t="n"/>
      <x:c r="T135" s="10" t="n"/>
      <x:c r="U135" s="12" t="str">
        <x:f>IF($B135="","",IF(OR(AND($G135&lt;&gt;"оригинал",$G135&lt;&gt;"копия",$G135&lt;&gt;"скан",$G135&lt;&gt;"нет"),AND($J135&lt;&gt;"да",$J135&lt;&gt;"нет")),"НЕ ПРОВЕРЕНО: наличие или обязательность",IF(AND($N135="да",OR($O135="",$M135="")),"передан без следа: эксперт или дата",IF(AND($P135="да",$Q135=""),"НЕ ПРОВЕРЕНО: дата запроса",IF($B135="","",IF(AND($J135="да",$G135="нет",$P135&lt;&gt;"да"),"дыра: обязательного документа нет, запрос не направлен",IF(AND($G135="нет",$P135="да",$R135&lt;&gt;"да"),"запрошен, не получен",IF(AND($G135="нет",$J135&lt;&gt;"да"),"отсутствует, на причину не влияет",IF(AND(OR($K135="да",$N135="да"),$M135=""),"передан без следа",IF(AND($K135="да",$L135=""),"передан без следа","в порядке"))))))))))</x:f>
      </x:c>
    </x:row>
    <x:row r="136">
      <x:c r="A136" s="95" t="str">
        <x:f>IF($B136="","",ROW()-6)</x:f>
      </x:c>
      <x:c r="B136" s="96" t="n"/>
      <x:c r="C136" s="96" t="n"/>
      <x:c r="D136" s="96" t="n"/>
      <x:c r="E136" s="97" t="n"/>
      <x:c r="F136" s="96" t="n"/>
      <x:c r="G136" s="96" t="n"/>
      <x:c r="H136" s="96" t="n"/>
      <x:c r="I136" s="96" t="n"/>
      <x:c r="J136" s="96" t="n"/>
      <x:c r="K136" s="96" t="n"/>
      <x:c r="L136" s="97" t="n"/>
      <x:c r="M136" s="96" t="n"/>
      <x:c r="N136" s="96" t="n"/>
      <x:c r="O136" s="11" t="n"/>
      <x:c r="P136" s="10" t="n"/>
      <x:c r="Q136" s="11" t="n"/>
      <x:c r="R136" s="10" t="n"/>
      <x:c r="S136" s="10" t="n"/>
      <x:c r="T136" s="10" t="n"/>
      <x:c r="U136" s="12" t="str">
        <x:f>IF($B136="","",IF(OR(AND($G136&lt;&gt;"оригинал",$G136&lt;&gt;"копия",$G136&lt;&gt;"скан",$G136&lt;&gt;"нет"),AND($J136&lt;&gt;"да",$J136&lt;&gt;"нет")),"НЕ ПРОВЕРЕНО: наличие или обязательность",IF(AND($N136="да",OR($O136="",$M136="")),"передан без следа: эксперт или дата",IF(AND($P136="да",$Q136=""),"НЕ ПРОВЕРЕНО: дата запроса",IF($B136="","",IF(AND($J136="да",$G136="нет",$P136&lt;&gt;"да"),"дыра: обязательного документа нет, запрос не направлен",IF(AND($G136="нет",$P136="да",$R136&lt;&gt;"да"),"запрошен, не получен",IF(AND($G136="нет",$J136&lt;&gt;"да"),"отсутствует, на причину не влияет",IF(AND(OR($K136="да",$N136="да"),$M136=""),"передан без следа",IF(AND($K136="да",$L136=""),"передан без следа","в порядке"))))))))))</x:f>
      </x:c>
    </x:row>
    <x:row r="137">
      <x:c r="A137" s="95" t="str">
        <x:f>IF($B137="","",ROW()-6)</x:f>
      </x:c>
      <x:c r="B137" s="96" t="n"/>
      <x:c r="C137" s="96" t="n"/>
      <x:c r="D137" s="96" t="n"/>
      <x:c r="E137" s="97" t="n"/>
      <x:c r="F137" s="96" t="n"/>
      <x:c r="G137" s="96" t="n"/>
      <x:c r="H137" s="96" t="n"/>
      <x:c r="I137" s="96" t="n"/>
      <x:c r="J137" s="96" t="n"/>
      <x:c r="K137" s="96" t="n"/>
      <x:c r="L137" s="97" t="n"/>
      <x:c r="M137" s="96" t="n"/>
      <x:c r="N137" s="96" t="n"/>
      <x:c r="O137" s="11" t="n"/>
      <x:c r="P137" s="10" t="n"/>
      <x:c r="Q137" s="11" t="n"/>
      <x:c r="R137" s="10" t="n"/>
      <x:c r="S137" s="10" t="n"/>
      <x:c r="T137" s="10" t="n"/>
      <x:c r="U137" s="12" t="str">
        <x:f>IF($B137="","",IF(OR(AND($G137&lt;&gt;"оригинал",$G137&lt;&gt;"копия",$G137&lt;&gt;"скан",$G137&lt;&gt;"нет"),AND($J137&lt;&gt;"да",$J137&lt;&gt;"нет")),"НЕ ПРОВЕРЕНО: наличие или обязательность",IF(AND($N137="да",OR($O137="",$M137="")),"передан без следа: эксперт или дата",IF(AND($P137="да",$Q137=""),"НЕ ПРОВЕРЕНО: дата запроса",IF($B137="","",IF(AND($J137="да",$G137="нет",$P137&lt;&gt;"да"),"дыра: обязательного документа нет, запрос не направлен",IF(AND($G137="нет",$P137="да",$R137&lt;&gt;"да"),"запрошен, не получен",IF(AND($G137="нет",$J137&lt;&gt;"да"),"отсутствует, на причину не влияет",IF(AND(OR($K137="да",$N137="да"),$M137=""),"передан без следа",IF(AND($K137="да",$L137=""),"передан без следа","в порядке"))))))))))</x:f>
      </x:c>
    </x:row>
    <x:row r="138">
      <x:c r="A138" s="95" t="str">
        <x:f>IF($B138="","",ROW()-6)</x:f>
      </x:c>
      <x:c r="B138" s="96" t="n"/>
      <x:c r="C138" s="96" t="n"/>
      <x:c r="D138" s="96" t="n"/>
      <x:c r="E138" s="97" t="n"/>
      <x:c r="F138" s="96" t="n"/>
      <x:c r="G138" s="96" t="n"/>
      <x:c r="H138" s="96" t="n"/>
      <x:c r="I138" s="96" t="n"/>
      <x:c r="J138" s="96" t="n"/>
      <x:c r="K138" s="96" t="n"/>
      <x:c r="L138" s="97" t="n"/>
      <x:c r="M138" s="96" t="n"/>
      <x:c r="N138" s="96" t="n"/>
      <x:c r="O138" s="11" t="n"/>
      <x:c r="P138" s="10" t="n"/>
      <x:c r="Q138" s="11" t="n"/>
      <x:c r="R138" s="10" t="n"/>
      <x:c r="S138" s="10" t="n"/>
      <x:c r="T138" s="10" t="n"/>
      <x:c r="U138" s="12" t="str">
        <x:f>IF($B138="","",IF(OR(AND($G138&lt;&gt;"оригинал",$G138&lt;&gt;"копия",$G138&lt;&gt;"скан",$G138&lt;&gt;"нет"),AND($J138&lt;&gt;"да",$J138&lt;&gt;"нет")),"НЕ ПРОВЕРЕНО: наличие или обязательность",IF(AND($N138="да",OR($O138="",$M138="")),"передан без следа: эксперт или дата",IF(AND($P138="да",$Q138=""),"НЕ ПРОВЕРЕНО: дата запроса",IF($B138="","",IF(AND($J138="да",$G138="нет",$P138&lt;&gt;"да"),"дыра: обязательного документа нет, запрос не направлен",IF(AND($G138="нет",$P138="да",$R138&lt;&gt;"да"),"запрошен, не получен",IF(AND($G138="нет",$J138&lt;&gt;"да"),"отсутствует, на причину не влияет",IF(AND(OR($K138="да",$N138="да"),$M138=""),"передан без следа",IF(AND($K138="да",$L138=""),"передан без следа","в порядке"))))))))))</x:f>
      </x:c>
    </x:row>
    <x:row r="139">
      <x:c r="A139" s="95" t="str">
        <x:f>IF($B139="","",ROW()-6)</x:f>
      </x:c>
      <x:c r="B139" s="96" t="n"/>
      <x:c r="C139" s="96" t="n"/>
      <x:c r="D139" s="96" t="n"/>
      <x:c r="E139" s="97" t="n"/>
      <x:c r="F139" s="96" t="n"/>
      <x:c r="G139" s="96" t="n"/>
      <x:c r="H139" s="96" t="n"/>
      <x:c r="I139" s="96" t="n"/>
      <x:c r="J139" s="96" t="n"/>
      <x:c r="K139" s="96" t="n"/>
      <x:c r="L139" s="97" t="n"/>
      <x:c r="M139" s="96" t="n"/>
      <x:c r="N139" s="96" t="n"/>
      <x:c r="O139" s="11" t="n"/>
      <x:c r="P139" s="10" t="n"/>
      <x:c r="Q139" s="11" t="n"/>
      <x:c r="R139" s="10" t="n"/>
      <x:c r="S139" s="10" t="n"/>
      <x:c r="T139" s="10" t="n"/>
      <x:c r="U139" s="12" t="str">
        <x:f>IF($B139="","",IF(OR(AND($G139&lt;&gt;"оригинал",$G139&lt;&gt;"копия",$G139&lt;&gt;"скан",$G139&lt;&gt;"нет"),AND($J139&lt;&gt;"да",$J139&lt;&gt;"нет")),"НЕ ПРОВЕРЕНО: наличие или обязательность",IF(AND($N139="да",OR($O139="",$M139="")),"передан без следа: эксперт или дата",IF(AND($P139="да",$Q139=""),"НЕ ПРОВЕРЕНО: дата запроса",IF($B139="","",IF(AND($J139="да",$G139="нет",$P139&lt;&gt;"да"),"дыра: обязательного документа нет, запрос не направлен",IF(AND($G139="нет",$P139="да",$R139&lt;&gt;"да"),"запрошен, не получен",IF(AND($G139="нет",$J139&lt;&gt;"да"),"отсутствует, на причину не влияет",IF(AND(OR($K139="да",$N139="да"),$M139=""),"передан без следа",IF(AND($K139="да",$L139=""),"передан без следа","в порядке"))))))))))</x:f>
      </x:c>
    </x:row>
    <x:row r="140">
      <x:c r="A140" s="95" t="str">
        <x:f>IF($B140="","",ROW()-6)</x:f>
      </x:c>
      <x:c r="B140" s="96" t="n"/>
      <x:c r="C140" s="96" t="n"/>
      <x:c r="D140" s="96" t="n"/>
      <x:c r="E140" s="97" t="n"/>
      <x:c r="F140" s="96" t="n"/>
      <x:c r="G140" s="96" t="n"/>
      <x:c r="H140" s="96" t="n"/>
      <x:c r="I140" s="96" t="n"/>
      <x:c r="J140" s="96" t="n"/>
      <x:c r="K140" s="96" t="n"/>
      <x:c r="L140" s="97" t="n"/>
      <x:c r="M140" s="96" t="n"/>
      <x:c r="N140" s="96" t="n"/>
      <x:c r="O140" s="11" t="n"/>
      <x:c r="P140" s="10" t="n"/>
      <x:c r="Q140" s="11" t="n"/>
      <x:c r="R140" s="10" t="n"/>
      <x:c r="S140" s="10" t="n"/>
      <x:c r="T140" s="10" t="n"/>
      <x:c r="U140" s="12" t="str">
        <x:f>IF($B140="","",IF(OR(AND($G140&lt;&gt;"оригинал",$G140&lt;&gt;"копия",$G140&lt;&gt;"скан",$G140&lt;&gt;"нет"),AND($J140&lt;&gt;"да",$J140&lt;&gt;"нет")),"НЕ ПРОВЕРЕНО: наличие или обязательность",IF(AND($N140="да",OR($O140="",$M140="")),"передан без следа: эксперт или дата",IF(AND($P140="да",$Q140=""),"НЕ ПРОВЕРЕНО: дата запроса",IF($B140="","",IF(AND($J140="да",$G140="нет",$P140&lt;&gt;"да"),"дыра: обязательного документа нет, запрос не направлен",IF(AND($G140="нет",$P140="да",$R140&lt;&gt;"да"),"запрошен, не получен",IF(AND($G140="нет",$J140&lt;&gt;"да"),"отсутствует, на причину не влияет",IF(AND(OR($K140="да",$N140="да"),$M140=""),"передан без следа",IF(AND($K140="да",$L140=""),"передан без следа","в порядке"))))))))))</x:f>
      </x:c>
    </x:row>
    <x:row r="141">
      <x:c r="A141" s="95" t="str">
        <x:f>IF($B141="","",ROW()-6)</x:f>
      </x:c>
      <x:c r="B141" s="96" t="n"/>
      <x:c r="C141" s="96" t="n"/>
      <x:c r="D141" s="96" t="n"/>
      <x:c r="E141" s="97" t="n"/>
      <x:c r="F141" s="96" t="n"/>
      <x:c r="G141" s="96" t="n"/>
      <x:c r="H141" s="96" t="n"/>
      <x:c r="I141" s="96" t="n"/>
      <x:c r="J141" s="96" t="n"/>
      <x:c r="K141" s="96" t="n"/>
      <x:c r="L141" s="97" t="n"/>
      <x:c r="M141" s="96" t="n"/>
      <x:c r="N141" s="96" t="n"/>
      <x:c r="O141" s="11" t="n"/>
      <x:c r="P141" s="10" t="n"/>
      <x:c r="Q141" s="11" t="n"/>
      <x:c r="R141" s="10" t="n"/>
      <x:c r="S141" s="10" t="n"/>
      <x:c r="T141" s="10" t="n"/>
      <x:c r="U141" s="12" t="str">
        <x:f>IF($B141="","",IF(OR(AND($G141&lt;&gt;"оригинал",$G141&lt;&gt;"копия",$G141&lt;&gt;"скан",$G141&lt;&gt;"нет"),AND($J141&lt;&gt;"да",$J141&lt;&gt;"нет")),"НЕ ПРОВЕРЕНО: наличие или обязательность",IF(AND($N141="да",OR($O141="",$M141="")),"передан без следа: эксперт или дата",IF(AND($P141="да",$Q141=""),"НЕ ПРОВЕРЕНО: дата запроса",IF($B141="","",IF(AND($J141="да",$G141="нет",$P141&lt;&gt;"да"),"дыра: обязательного документа нет, запрос не направлен",IF(AND($G141="нет",$P141="да",$R141&lt;&gt;"да"),"запрошен, не получен",IF(AND($G141="нет",$J141&lt;&gt;"да"),"отсутствует, на причину не влияет",IF(AND(OR($K141="да",$N141="да"),$M141=""),"передан без следа",IF(AND($K141="да",$L141=""),"передан без следа","в порядке"))))))))))</x:f>
      </x:c>
    </x:row>
    <x:row r="142">
      <x:c r="A142" s="95" t="str">
        <x:f>IF($B142="","",ROW()-6)</x:f>
      </x:c>
      <x:c r="B142" s="96" t="n"/>
      <x:c r="C142" s="96" t="n"/>
      <x:c r="D142" s="96" t="n"/>
      <x:c r="E142" s="97" t="n"/>
      <x:c r="F142" s="96" t="n"/>
      <x:c r="G142" s="96" t="n"/>
      <x:c r="H142" s="96" t="n"/>
      <x:c r="I142" s="96" t="n"/>
      <x:c r="J142" s="96" t="n"/>
      <x:c r="K142" s="96" t="n"/>
      <x:c r="L142" s="97" t="n"/>
      <x:c r="M142" s="96" t="n"/>
      <x:c r="N142" s="96" t="n"/>
      <x:c r="O142" s="11" t="n"/>
      <x:c r="P142" s="10" t="n"/>
      <x:c r="Q142" s="11" t="n"/>
      <x:c r="R142" s="10" t="n"/>
      <x:c r="S142" s="10" t="n"/>
      <x:c r="T142" s="10" t="n"/>
      <x:c r="U142" s="12" t="str">
        <x:f>IF($B142="","",IF(OR(AND($G142&lt;&gt;"оригинал",$G142&lt;&gt;"копия",$G142&lt;&gt;"скан",$G142&lt;&gt;"нет"),AND($J142&lt;&gt;"да",$J142&lt;&gt;"нет")),"НЕ ПРОВЕРЕНО: наличие или обязательность",IF(AND($N142="да",OR($O142="",$M142="")),"передан без следа: эксперт или дата",IF(AND($P142="да",$Q142=""),"НЕ ПРОВЕРЕНО: дата запроса",IF($B142="","",IF(AND($J142="да",$G142="нет",$P142&lt;&gt;"да"),"дыра: обязательного документа нет, запрос не направлен",IF(AND($G142="нет",$P142="да",$R142&lt;&gt;"да"),"запрошен, не получен",IF(AND($G142="нет",$J142&lt;&gt;"да"),"отсутствует, на причину не влияет",IF(AND(OR($K142="да",$N142="да"),$M142=""),"передан без следа",IF(AND($K142="да",$L142=""),"передан без следа","в порядке"))))))))))</x:f>
      </x:c>
    </x:row>
    <x:row r="143">
      <x:c r="A143" s="95" t="str">
        <x:f>IF($B143="","",ROW()-6)</x:f>
      </x:c>
      <x:c r="B143" s="96" t="n"/>
      <x:c r="C143" s="96" t="n"/>
      <x:c r="D143" s="96" t="n"/>
      <x:c r="E143" s="97" t="n"/>
      <x:c r="F143" s="96" t="n"/>
      <x:c r="G143" s="96" t="n"/>
      <x:c r="H143" s="96" t="n"/>
      <x:c r="I143" s="96" t="n"/>
      <x:c r="J143" s="96" t="n"/>
      <x:c r="K143" s="96" t="n"/>
      <x:c r="L143" s="97" t="n"/>
      <x:c r="M143" s="96" t="n"/>
      <x:c r="N143" s="96" t="n"/>
      <x:c r="O143" s="11" t="n"/>
      <x:c r="P143" s="10" t="n"/>
      <x:c r="Q143" s="11" t="n"/>
      <x:c r="R143" s="10" t="n"/>
      <x:c r="S143" s="10" t="n"/>
      <x:c r="T143" s="10" t="n"/>
      <x:c r="U143" s="12" t="str">
        <x:f>IF($B143="","",IF(OR(AND($G143&lt;&gt;"оригинал",$G143&lt;&gt;"копия",$G143&lt;&gt;"скан",$G143&lt;&gt;"нет"),AND($J143&lt;&gt;"да",$J143&lt;&gt;"нет")),"НЕ ПРОВЕРЕНО: наличие или обязательность",IF(AND($N143="да",OR($O143="",$M143="")),"передан без следа: эксперт или дата",IF(AND($P143="да",$Q143=""),"НЕ ПРОВЕРЕНО: дата запроса",IF($B143="","",IF(AND($J143="да",$G143="нет",$P143&lt;&gt;"да"),"дыра: обязательного документа нет, запрос не направлен",IF(AND($G143="нет",$P143="да",$R143&lt;&gt;"да"),"запрошен, не получен",IF(AND($G143="нет",$J143&lt;&gt;"да"),"отсутствует, на причину не влияет",IF(AND(OR($K143="да",$N143="да"),$M143=""),"передан без следа",IF(AND($K143="да",$L143=""),"передан без следа","в порядке"))))))))))</x:f>
      </x:c>
    </x:row>
    <x:row r="144">
      <x:c r="A144" s="95" t="str">
        <x:f>IF($B144="","",ROW()-6)</x:f>
      </x:c>
      <x:c r="B144" s="96" t="n"/>
      <x:c r="C144" s="96" t="n"/>
      <x:c r="D144" s="96" t="n"/>
      <x:c r="E144" s="97" t="n"/>
      <x:c r="F144" s="96" t="n"/>
      <x:c r="G144" s="96" t="n"/>
      <x:c r="H144" s="96" t="n"/>
      <x:c r="I144" s="96" t="n"/>
      <x:c r="J144" s="96" t="n"/>
      <x:c r="K144" s="96" t="n"/>
      <x:c r="L144" s="97" t="n"/>
      <x:c r="M144" s="96" t="n"/>
      <x:c r="N144" s="96" t="n"/>
      <x:c r="O144" s="11" t="n"/>
      <x:c r="P144" s="10" t="n"/>
      <x:c r="Q144" s="11" t="n"/>
      <x:c r="R144" s="10" t="n"/>
      <x:c r="S144" s="10" t="n"/>
      <x:c r="T144" s="10" t="n"/>
      <x:c r="U144" s="12" t="str">
        <x:f>IF($B144="","",IF(OR(AND($G144&lt;&gt;"оригинал",$G144&lt;&gt;"копия",$G144&lt;&gt;"скан",$G144&lt;&gt;"нет"),AND($J144&lt;&gt;"да",$J144&lt;&gt;"нет")),"НЕ ПРОВЕРЕНО: наличие или обязательность",IF(AND($N144="да",OR($O144="",$M144="")),"передан без следа: эксперт или дата",IF(AND($P144="да",$Q144=""),"НЕ ПРОВЕРЕНО: дата запроса",IF($B144="","",IF(AND($J144="да",$G144="нет",$P144&lt;&gt;"да"),"дыра: обязательного документа нет, запрос не направлен",IF(AND($G144="нет",$P144="да",$R144&lt;&gt;"да"),"запрошен, не получен",IF(AND($G144="нет",$J144&lt;&gt;"да"),"отсутствует, на причину не влияет",IF(AND(OR($K144="да",$N144="да"),$M144=""),"передан без следа",IF(AND($K144="да",$L144=""),"передан без следа","в порядке"))))))))))</x:f>
      </x:c>
    </x:row>
    <x:row r="145">
      <x:c r="A145" s="95" t="str">
        <x:f>IF($B145="","",ROW()-6)</x:f>
      </x:c>
      <x:c r="B145" s="96" t="n"/>
      <x:c r="C145" s="96" t="n"/>
      <x:c r="D145" s="96" t="n"/>
      <x:c r="E145" s="97" t="n"/>
      <x:c r="F145" s="96" t="n"/>
      <x:c r="G145" s="96" t="n"/>
      <x:c r="H145" s="96" t="n"/>
      <x:c r="I145" s="96" t="n"/>
      <x:c r="J145" s="96" t="n"/>
      <x:c r="K145" s="96" t="n"/>
      <x:c r="L145" s="97" t="n"/>
      <x:c r="M145" s="96" t="n"/>
      <x:c r="N145" s="96" t="n"/>
      <x:c r="O145" s="11" t="n"/>
      <x:c r="P145" s="10" t="n"/>
      <x:c r="Q145" s="11" t="n"/>
      <x:c r="R145" s="10" t="n"/>
      <x:c r="S145" s="10" t="n"/>
      <x:c r="T145" s="10" t="n"/>
      <x:c r="U145" s="12" t="str">
        <x:f>IF($B145="","",IF(OR(AND($G145&lt;&gt;"оригинал",$G145&lt;&gt;"копия",$G145&lt;&gt;"скан",$G145&lt;&gt;"нет"),AND($J145&lt;&gt;"да",$J145&lt;&gt;"нет")),"НЕ ПРОВЕРЕНО: наличие или обязательность",IF(AND($N145="да",OR($O145="",$M145="")),"передан без следа: эксперт или дата",IF(AND($P145="да",$Q145=""),"НЕ ПРОВЕРЕНО: дата запроса",IF($B145="","",IF(AND($J145="да",$G145="нет",$P145&lt;&gt;"да"),"дыра: обязательного документа нет, запрос не направлен",IF(AND($G145="нет",$P145="да",$R145&lt;&gt;"да"),"запрошен, не получен",IF(AND($G145="нет",$J145&lt;&gt;"да"),"отсутствует, на причину не влияет",IF(AND(OR($K145="да",$N145="да"),$M145=""),"передан без следа",IF(AND($K145="да",$L145=""),"передан без следа","в порядке"))))))))))</x:f>
      </x:c>
    </x:row>
    <x:row r="146">
      <x:c r="A146" s="95" t="str">
        <x:f>IF($B146="","",ROW()-6)</x:f>
      </x:c>
      <x:c r="B146" s="96" t="n"/>
      <x:c r="C146" s="96" t="n"/>
      <x:c r="D146" s="96" t="n"/>
      <x:c r="E146" s="97" t="n"/>
      <x:c r="F146" s="96" t="n"/>
      <x:c r="G146" s="96" t="n"/>
      <x:c r="H146" s="96" t="n"/>
      <x:c r="I146" s="96" t="n"/>
      <x:c r="J146" s="96" t="n"/>
      <x:c r="K146" s="96" t="n"/>
      <x:c r="L146" s="97" t="n"/>
      <x:c r="M146" s="96" t="n"/>
      <x:c r="N146" s="96" t="n"/>
      <x:c r="O146" s="11" t="n"/>
      <x:c r="P146" s="10" t="n"/>
      <x:c r="Q146" s="11" t="n"/>
      <x:c r="R146" s="10" t="n"/>
      <x:c r="S146" s="10" t="n"/>
      <x:c r="T146" s="10" t="n"/>
      <x:c r="U146" s="12" t="str">
        <x:f>IF($B146="","",IF(OR(AND($G146&lt;&gt;"оригинал",$G146&lt;&gt;"копия",$G146&lt;&gt;"скан",$G146&lt;&gt;"нет"),AND($J146&lt;&gt;"да",$J146&lt;&gt;"нет")),"НЕ ПРОВЕРЕНО: наличие или обязательность",IF(AND($N146="да",OR($O146="",$M146="")),"передан без следа: эксперт или дата",IF(AND($P146="да",$Q146=""),"НЕ ПРОВЕРЕНО: дата запроса",IF($B146="","",IF(AND($J146="да",$G146="нет",$P146&lt;&gt;"да"),"дыра: обязательного документа нет, запрос не направлен",IF(AND($G146="нет",$P146="да",$R146&lt;&gt;"да"),"запрошен, не получен",IF(AND($G146="нет",$J146&lt;&gt;"да"),"отсутствует, на причину не влияет",IF(AND(OR($K146="да",$N146="да"),$M146=""),"передан без следа",IF(AND($K146="да",$L146=""),"передан без следа","в порядке"))))))))))</x:f>
      </x:c>
    </x:row>
    <x:row r="147">
      <x:c r="A147" s="95" t="str">
        <x:f>IF($B147="","",ROW()-6)</x:f>
      </x:c>
      <x:c r="B147" s="96" t="n"/>
      <x:c r="C147" s="96" t="n"/>
      <x:c r="D147" s="96" t="n"/>
      <x:c r="E147" s="97" t="n"/>
      <x:c r="F147" s="96" t="n"/>
      <x:c r="G147" s="96" t="n"/>
      <x:c r="H147" s="96" t="n"/>
      <x:c r="I147" s="96" t="n"/>
      <x:c r="J147" s="96" t="n"/>
      <x:c r="K147" s="96" t="n"/>
      <x:c r="L147" s="97" t="n"/>
      <x:c r="M147" s="96" t="n"/>
      <x:c r="N147" s="96" t="n"/>
      <x:c r="O147" s="11" t="n"/>
      <x:c r="P147" s="10" t="n"/>
      <x:c r="Q147" s="11" t="n"/>
      <x:c r="R147" s="10" t="n"/>
      <x:c r="S147" s="10" t="n"/>
      <x:c r="T147" s="10" t="n"/>
      <x:c r="U147" s="12" t="str">
        <x:f>IF($B147="","",IF(OR(AND($G147&lt;&gt;"оригинал",$G147&lt;&gt;"копия",$G147&lt;&gt;"скан",$G147&lt;&gt;"нет"),AND($J147&lt;&gt;"да",$J147&lt;&gt;"нет")),"НЕ ПРОВЕРЕНО: наличие или обязательность",IF(AND($N147="да",OR($O147="",$M147="")),"передан без следа: эксперт или дата",IF(AND($P147="да",$Q147=""),"НЕ ПРОВЕРЕНО: дата запроса",IF($B147="","",IF(AND($J147="да",$G147="нет",$P147&lt;&gt;"да"),"дыра: обязательного документа нет, запрос не направлен",IF(AND($G147="нет",$P147="да",$R147&lt;&gt;"да"),"запрошен, не получен",IF(AND($G147="нет",$J147&lt;&gt;"да"),"отсутствует, на причину не влияет",IF(AND(OR($K147="да",$N147="да"),$M147=""),"передан без следа",IF(AND($K147="да",$L147=""),"передан без следа","в порядке"))))))))))</x:f>
      </x:c>
    </x:row>
    <x:row r="148">
      <x:c r="A148" s="95" t="str">
        <x:f>IF($B148="","",ROW()-6)</x:f>
      </x:c>
      <x:c r="B148" s="96" t="n"/>
      <x:c r="C148" s="96" t="n"/>
      <x:c r="D148" s="96" t="n"/>
      <x:c r="E148" s="97" t="n"/>
      <x:c r="F148" s="96" t="n"/>
      <x:c r="G148" s="96" t="n"/>
      <x:c r="H148" s="96" t="n"/>
      <x:c r="I148" s="96" t="n"/>
      <x:c r="J148" s="96" t="n"/>
      <x:c r="K148" s="96" t="n"/>
      <x:c r="L148" s="97" t="n"/>
      <x:c r="M148" s="96" t="n"/>
      <x:c r="N148" s="96" t="n"/>
      <x:c r="O148" s="11" t="n"/>
      <x:c r="P148" s="10" t="n"/>
      <x:c r="Q148" s="11" t="n"/>
      <x:c r="R148" s="10" t="n"/>
      <x:c r="S148" s="10" t="n"/>
      <x:c r="T148" s="10" t="n"/>
      <x:c r="U148" s="12" t="str">
        <x:f>IF($B148="","",IF(OR(AND($G148&lt;&gt;"оригинал",$G148&lt;&gt;"копия",$G148&lt;&gt;"скан",$G148&lt;&gt;"нет"),AND($J148&lt;&gt;"да",$J148&lt;&gt;"нет")),"НЕ ПРОВЕРЕНО: наличие или обязательность",IF(AND($N148="да",OR($O148="",$M148="")),"передан без следа: эксперт или дата",IF(AND($P148="да",$Q148=""),"НЕ ПРОВЕРЕНО: дата запроса",IF($B148="","",IF(AND($J148="да",$G148="нет",$P148&lt;&gt;"да"),"дыра: обязательного документа нет, запрос не направлен",IF(AND($G148="нет",$P148="да",$R148&lt;&gt;"да"),"запрошен, не получен",IF(AND($G148="нет",$J148&lt;&gt;"да"),"отсутствует, на причину не влияет",IF(AND(OR($K148="да",$N148="да"),$M148=""),"передан без следа",IF(AND($K148="да",$L148=""),"передан без следа","в порядке"))))))))))</x:f>
      </x:c>
    </x:row>
    <x:row r="149">
      <x:c r="A149" s="95" t="str">
        <x:f>IF($B149="","",ROW()-6)</x:f>
      </x:c>
      <x:c r="B149" s="96" t="n"/>
      <x:c r="C149" s="96" t="n"/>
      <x:c r="D149" s="96" t="n"/>
      <x:c r="E149" s="97" t="n"/>
      <x:c r="F149" s="96" t="n"/>
      <x:c r="G149" s="96" t="n"/>
      <x:c r="H149" s="96" t="n"/>
      <x:c r="I149" s="96" t="n"/>
      <x:c r="J149" s="96" t="n"/>
      <x:c r="K149" s="96" t="n"/>
      <x:c r="L149" s="97" t="n"/>
      <x:c r="M149" s="96" t="n"/>
      <x:c r="N149" s="96" t="n"/>
      <x:c r="O149" s="11" t="n"/>
      <x:c r="P149" s="10" t="n"/>
      <x:c r="Q149" s="11" t="n"/>
      <x:c r="R149" s="10" t="n"/>
      <x:c r="S149" s="10" t="n"/>
      <x:c r="T149" s="10" t="n"/>
      <x:c r="U149" s="12" t="str">
        <x:f>IF($B149="","",IF(OR(AND($G149&lt;&gt;"оригинал",$G149&lt;&gt;"копия",$G149&lt;&gt;"скан",$G149&lt;&gt;"нет"),AND($J149&lt;&gt;"да",$J149&lt;&gt;"нет")),"НЕ ПРОВЕРЕНО: наличие или обязательность",IF(AND($N149="да",OR($O149="",$M149="")),"передан без следа: эксперт или дата",IF(AND($P149="да",$Q149=""),"НЕ ПРОВЕРЕНО: дата запроса",IF($B149="","",IF(AND($J149="да",$G149="нет",$P149&lt;&gt;"да"),"дыра: обязательного документа нет, запрос не направлен",IF(AND($G149="нет",$P149="да",$R149&lt;&gt;"да"),"запрошен, не получен",IF(AND($G149="нет",$J149&lt;&gt;"да"),"отсутствует, на причину не влияет",IF(AND(OR($K149="да",$N149="да"),$M149=""),"передан без следа",IF(AND($K149="да",$L149=""),"передан без следа","в порядке"))))))))))</x:f>
      </x:c>
    </x:row>
    <x:row r="150">
      <x:c r="A150" s="95" t="str">
        <x:f>IF($B150="","",ROW()-6)</x:f>
      </x:c>
      <x:c r="B150" s="96" t="n"/>
      <x:c r="C150" s="96" t="n"/>
      <x:c r="D150" s="96" t="n"/>
      <x:c r="E150" s="97" t="n"/>
      <x:c r="F150" s="96" t="n"/>
      <x:c r="G150" s="96" t="n"/>
      <x:c r="H150" s="96" t="n"/>
      <x:c r="I150" s="96" t="n"/>
      <x:c r="J150" s="96" t="n"/>
      <x:c r="K150" s="96" t="n"/>
      <x:c r="L150" s="97" t="n"/>
      <x:c r="M150" s="96" t="n"/>
      <x:c r="N150" s="96" t="n"/>
      <x:c r="O150" s="11" t="n"/>
      <x:c r="P150" s="10" t="n"/>
      <x:c r="Q150" s="11" t="n"/>
      <x:c r="R150" s="10" t="n"/>
      <x:c r="S150" s="10" t="n"/>
      <x:c r="T150" s="10" t="n"/>
      <x:c r="U150" s="12" t="str">
        <x:f>IF($B150="","",IF(OR(AND($G150&lt;&gt;"оригинал",$G150&lt;&gt;"копия",$G150&lt;&gt;"скан",$G150&lt;&gt;"нет"),AND($J150&lt;&gt;"да",$J150&lt;&gt;"нет")),"НЕ ПРОВЕРЕНО: наличие или обязательность",IF(AND($N150="да",OR($O150="",$M150="")),"передан без следа: эксперт или дата",IF(AND($P150="да",$Q150=""),"НЕ ПРОВЕРЕНО: дата запроса",IF($B150="","",IF(AND($J150="да",$G150="нет",$P150&lt;&gt;"да"),"дыра: обязательного документа нет, запрос не направлен",IF(AND($G150="нет",$P150="да",$R150&lt;&gt;"да"),"запрошен, не получен",IF(AND($G150="нет",$J150&lt;&gt;"да"),"отсутствует, на причину не влияет",IF(AND(OR($K150="да",$N150="да"),$M150=""),"передан без следа",IF(AND($K150="да",$L150=""),"передан без следа","в порядке"))))))))))</x:f>
      </x:c>
    </x:row>
    <x:row r="151">
      <x:c r="A151" s="95" t="str">
        <x:f>IF($B151="","",ROW()-6)</x:f>
      </x:c>
      <x:c r="B151" s="96" t="n"/>
      <x:c r="C151" s="96" t="n"/>
      <x:c r="D151" s="96" t="n"/>
      <x:c r="E151" s="97" t="n"/>
      <x:c r="F151" s="96" t="n"/>
      <x:c r="G151" s="96" t="n"/>
      <x:c r="H151" s="96" t="n"/>
      <x:c r="I151" s="96" t="n"/>
      <x:c r="J151" s="96" t="n"/>
      <x:c r="K151" s="96" t="n"/>
      <x:c r="L151" s="97" t="n"/>
      <x:c r="M151" s="96" t="n"/>
      <x:c r="N151" s="96" t="n"/>
      <x:c r="O151" s="11" t="n"/>
      <x:c r="P151" s="10" t="n"/>
      <x:c r="Q151" s="11" t="n"/>
      <x:c r="R151" s="10" t="n"/>
      <x:c r="S151" s="10" t="n"/>
      <x:c r="T151" s="10" t="n"/>
      <x:c r="U151" s="12" t="str">
        <x:f>IF($B151="","",IF(OR(AND($G151&lt;&gt;"оригинал",$G151&lt;&gt;"копия",$G151&lt;&gt;"скан",$G151&lt;&gt;"нет"),AND($J151&lt;&gt;"да",$J151&lt;&gt;"нет")),"НЕ ПРОВЕРЕНО: наличие или обязательность",IF(AND($N151="да",OR($O151="",$M151="")),"передан без следа: эксперт или дата",IF(AND($P151="да",$Q151=""),"НЕ ПРОВЕРЕНО: дата запроса",IF($B151="","",IF(AND($J151="да",$G151="нет",$P151&lt;&gt;"да"),"дыра: обязательного документа нет, запрос не направлен",IF(AND($G151="нет",$P151="да",$R151&lt;&gt;"да"),"запрошен, не получен",IF(AND($G151="нет",$J151&lt;&gt;"да"),"отсутствует, на причину не влияет",IF(AND(OR($K151="да",$N151="да"),$M151=""),"передан без следа",IF(AND($K151="да",$L151=""),"передан без следа","в порядке"))))))))))</x:f>
      </x:c>
    </x:row>
    <x:row r="152">
      <x:c r="A152" s="95" t="str">
        <x:f>IF($B152="","",ROW()-6)</x:f>
      </x:c>
      <x:c r="B152" s="96" t="n"/>
      <x:c r="C152" s="96" t="n"/>
      <x:c r="D152" s="96" t="n"/>
      <x:c r="E152" s="97" t="n"/>
      <x:c r="F152" s="96" t="n"/>
      <x:c r="G152" s="96" t="n"/>
      <x:c r="H152" s="96" t="n"/>
      <x:c r="I152" s="96" t="n"/>
      <x:c r="J152" s="96" t="n"/>
      <x:c r="K152" s="96" t="n"/>
      <x:c r="L152" s="97" t="n"/>
      <x:c r="M152" s="96" t="n"/>
      <x:c r="N152" s="96" t="n"/>
      <x:c r="O152" s="11" t="n"/>
      <x:c r="P152" s="10" t="n"/>
      <x:c r="Q152" s="11" t="n"/>
      <x:c r="R152" s="10" t="n"/>
      <x:c r="S152" s="10" t="n"/>
      <x:c r="T152" s="10" t="n"/>
      <x:c r="U152" s="12" t="str">
        <x:f>IF($B152="","",IF(OR(AND($G152&lt;&gt;"оригинал",$G152&lt;&gt;"копия",$G152&lt;&gt;"скан",$G152&lt;&gt;"нет"),AND($J152&lt;&gt;"да",$J152&lt;&gt;"нет")),"НЕ ПРОВЕРЕНО: наличие или обязательность",IF(AND($N152="да",OR($O152="",$M152="")),"передан без следа: эксперт или дата",IF(AND($P152="да",$Q152=""),"НЕ ПРОВЕРЕНО: дата запроса",IF($B152="","",IF(AND($J152="да",$G152="нет",$P152&lt;&gt;"да"),"дыра: обязательного документа нет, запрос не направлен",IF(AND($G152="нет",$P152="да",$R152&lt;&gt;"да"),"запрошен, не получен",IF(AND($G152="нет",$J152&lt;&gt;"да"),"отсутствует, на причину не влияет",IF(AND(OR($K152="да",$N152="да"),$M152=""),"передан без следа",IF(AND($K152="да",$L152=""),"передан без следа","в порядке"))))))))))</x:f>
      </x:c>
    </x:row>
    <x:row r="153">
      <x:c r="A153" s="95" t="str">
        <x:f>IF($B153="","",ROW()-6)</x:f>
      </x:c>
      <x:c r="B153" s="96" t="n"/>
      <x:c r="C153" s="96" t="n"/>
      <x:c r="D153" s="96" t="n"/>
      <x:c r="E153" s="97" t="n"/>
      <x:c r="F153" s="96" t="n"/>
      <x:c r="G153" s="96" t="n"/>
      <x:c r="H153" s="96" t="n"/>
      <x:c r="I153" s="96" t="n"/>
      <x:c r="J153" s="96" t="n"/>
      <x:c r="K153" s="96" t="n"/>
      <x:c r="L153" s="97" t="n"/>
      <x:c r="M153" s="96" t="n"/>
      <x:c r="N153" s="96" t="n"/>
      <x:c r="O153" s="11" t="n"/>
      <x:c r="P153" s="10" t="n"/>
      <x:c r="Q153" s="11" t="n"/>
      <x:c r="R153" s="10" t="n"/>
      <x:c r="S153" s="10" t="n"/>
      <x:c r="T153" s="10" t="n"/>
      <x:c r="U153" s="12" t="str">
        <x:f>IF($B153="","",IF(OR(AND($G153&lt;&gt;"оригинал",$G153&lt;&gt;"копия",$G153&lt;&gt;"скан",$G153&lt;&gt;"нет"),AND($J153&lt;&gt;"да",$J153&lt;&gt;"нет")),"НЕ ПРОВЕРЕНО: наличие или обязательность",IF(AND($N153="да",OR($O153="",$M153="")),"передан без следа: эксперт или дата",IF(AND($P153="да",$Q153=""),"НЕ ПРОВЕРЕНО: дата запроса",IF($B153="","",IF(AND($J153="да",$G153="нет",$P153&lt;&gt;"да"),"дыра: обязательного документа нет, запрос не направлен",IF(AND($G153="нет",$P153="да",$R153&lt;&gt;"да"),"запрошен, не получен",IF(AND($G153="нет",$J153&lt;&gt;"да"),"отсутствует, на причину не влияет",IF(AND(OR($K153="да",$N153="да"),$M153=""),"передан без следа",IF(AND($K153="да",$L153=""),"передан без следа","в порядке"))))))))))</x:f>
      </x:c>
    </x:row>
    <x:row r="154">
      <x:c r="A154" s="95" t="str">
        <x:f>IF($B154="","",ROW()-6)</x:f>
      </x:c>
      <x:c r="B154" s="96" t="n"/>
      <x:c r="C154" s="96" t="n"/>
      <x:c r="D154" s="96" t="n"/>
      <x:c r="E154" s="97" t="n"/>
      <x:c r="F154" s="96" t="n"/>
      <x:c r="G154" s="96" t="n"/>
      <x:c r="H154" s="96" t="n"/>
      <x:c r="I154" s="96" t="n"/>
      <x:c r="J154" s="96" t="n"/>
      <x:c r="K154" s="96" t="n"/>
      <x:c r="L154" s="97" t="n"/>
      <x:c r="M154" s="96" t="n"/>
      <x:c r="N154" s="96" t="n"/>
      <x:c r="O154" s="11" t="n"/>
      <x:c r="P154" s="10" t="n"/>
      <x:c r="Q154" s="11" t="n"/>
      <x:c r="R154" s="10" t="n"/>
      <x:c r="S154" s="10" t="n"/>
      <x:c r="T154" s="10" t="n"/>
      <x:c r="U154" s="12" t="str">
        <x:f>IF($B154="","",IF(OR(AND($G154&lt;&gt;"оригинал",$G154&lt;&gt;"копия",$G154&lt;&gt;"скан",$G154&lt;&gt;"нет"),AND($J154&lt;&gt;"да",$J154&lt;&gt;"нет")),"НЕ ПРОВЕРЕНО: наличие или обязательность",IF(AND($N154="да",OR($O154="",$M154="")),"передан без следа: эксперт или дата",IF(AND($P154="да",$Q154=""),"НЕ ПРОВЕРЕНО: дата запроса",IF($B154="","",IF(AND($J154="да",$G154="нет",$P154&lt;&gt;"да"),"дыра: обязательного документа нет, запрос не направлен",IF(AND($G154="нет",$P154="да",$R154&lt;&gt;"да"),"запрошен, не получен",IF(AND($G154="нет",$J154&lt;&gt;"да"),"отсутствует, на причину не влияет",IF(AND(OR($K154="да",$N154="да"),$M154=""),"передан без следа",IF(AND($K154="да",$L154=""),"передан без следа","в порядке"))))))))))</x:f>
      </x:c>
    </x:row>
    <x:row r="155">
      <x:c r="A155" s="95" t="str">
        <x:f>IF($B155="","",ROW()-6)</x:f>
      </x:c>
      <x:c r="B155" s="96" t="n"/>
      <x:c r="C155" s="96" t="n"/>
      <x:c r="D155" s="96" t="n"/>
      <x:c r="E155" s="97" t="n"/>
      <x:c r="F155" s="96" t="n"/>
      <x:c r="G155" s="96" t="n"/>
      <x:c r="H155" s="96" t="n"/>
      <x:c r="I155" s="96" t="n"/>
      <x:c r="J155" s="96" t="n"/>
      <x:c r="K155" s="96" t="n"/>
      <x:c r="L155" s="97" t="n"/>
      <x:c r="M155" s="96" t="n"/>
      <x:c r="N155" s="96" t="n"/>
      <x:c r="O155" s="11" t="n"/>
      <x:c r="P155" s="10" t="n"/>
      <x:c r="Q155" s="11" t="n"/>
      <x:c r="R155" s="10" t="n"/>
      <x:c r="S155" s="10" t="n"/>
      <x:c r="T155" s="10" t="n"/>
      <x:c r="U155" s="12" t="str">
        <x:f>IF($B155="","",IF(OR(AND($G155&lt;&gt;"оригинал",$G155&lt;&gt;"копия",$G155&lt;&gt;"скан",$G155&lt;&gt;"нет"),AND($J155&lt;&gt;"да",$J155&lt;&gt;"нет")),"НЕ ПРОВЕРЕНО: наличие или обязательность",IF(AND($N155="да",OR($O155="",$M155="")),"передан без следа: эксперт или дата",IF(AND($P155="да",$Q155=""),"НЕ ПРОВЕРЕНО: дата запроса",IF($B155="","",IF(AND($J155="да",$G155="нет",$P155&lt;&gt;"да"),"дыра: обязательного документа нет, запрос не направлен",IF(AND($G155="нет",$P155="да",$R155&lt;&gt;"да"),"запрошен, не получен",IF(AND($G155="нет",$J155&lt;&gt;"да"),"отсутствует, на причину не влияет",IF(AND(OR($K155="да",$N155="да"),$M155=""),"передан без следа",IF(AND($K155="да",$L155=""),"передан без следа","в порядке"))))))))))</x:f>
      </x:c>
    </x:row>
    <x:row r="156">
      <x:c r="A156" s="95" t="str">
        <x:f>IF($B156="","",ROW()-6)</x:f>
      </x:c>
      <x:c r="B156" s="96" t="n"/>
      <x:c r="C156" s="96" t="n"/>
      <x:c r="D156" s="96" t="n"/>
      <x:c r="E156" s="97" t="n"/>
      <x:c r="F156" s="96" t="n"/>
      <x:c r="G156" s="96" t="n"/>
      <x:c r="H156" s="96" t="n"/>
      <x:c r="I156" s="96" t="n"/>
      <x:c r="J156" s="96" t="n"/>
      <x:c r="K156" s="96" t="n"/>
      <x:c r="L156" s="97" t="n"/>
      <x:c r="M156" s="96" t="n"/>
      <x:c r="N156" s="96" t="n"/>
      <x:c r="O156" s="11" t="n"/>
      <x:c r="P156" s="10" t="n"/>
      <x:c r="Q156" s="11" t="n"/>
      <x:c r="R156" s="10" t="n"/>
      <x:c r="S156" s="10" t="n"/>
      <x:c r="T156" s="10" t="n"/>
      <x:c r="U156" s="12" t="str">
        <x:f>IF($B156="","",IF(OR(AND($G156&lt;&gt;"оригинал",$G156&lt;&gt;"копия",$G156&lt;&gt;"скан",$G156&lt;&gt;"нет"),AND($J156&lt;&gt;"да",$J156&lt;&gt;"нет")),"НЕ ПРОВЕРЕНО: наличие или обязательность",IF(AND($N156="да",OR($O156="",$M156="")),"передан без следа: эксперт или дата",IF(AND($P156="да",$Q156=""),"НЕ ПРОВЕРЕНО: дата запроса",IF($B156="","",IF(AND($J156="да",$G156="нет",$P156&lt;&gt;"да"),"дыра: обязательного документа нет, запрос не направлен",IF(AND($G156="нет",$P156="да",$R156&lt;&gt;"да"),"запрошен, не получен",IF(AND($G156="нет",$J156&lt;&gt;"да"),"отсутствует, на причину не влияет",IF(AND(OR($K156="да",$N156="да"),$M156=""),"передан без следа",IF(AND($K156="да",$L156=""),"передан без следа","в порядке"))))))))))</x:f>
      </x:c>
    </x:row>
    <x:row r="157">
      <x:c r="A157" s="95" t="str">
        <x:f>IF($B157="","",ROW()-6)</x:f>
      </x:c>
      <x:c r="B157" s="96" t="n"/>
      <x:c r="C157" s="96" t="n"/>
      <x:c r="D157" s="96" t="n"/>
      <x:c r="E157" s="97" t="n"/>
      <x:c r="F157" s="96" t="n"/>
      <x:c r="G157" s="96" t="n"/>
      <x:c r="H157" s="96" t="n"/>
      <x:c r="I157" s="96" t="n"/>
      <x:c r="J157" s="96" t="n"/>
      <x:c r="K157" s="96" t="n"/>
      <x:c r="L157" s="97" t="n"/>
      <x:c r="M157" s="96" t="n"/>
      <x:c r="N157" s="96" t="n"/>
      <x:c r="O157" s="11" t="n"/>
      <x:c r="P157" s="10" t="n"/>
      <x:c r="Q157" s="11" t="n"/>
      <x:c r="R157" s="10" t="n"/>
      <x:c r="S157" s="10" t="n"/>
      <x:c r="T157" s="10" t="n"/>
      <x:c r="U157" s="12" t="str">
        <x:f>IF($B157="","",IF(OR(AND($G157&lt;&gt;"оригинал",$G157&lt;&gt;"копия",$G157&lt;&gt;"скан",$G157&lt;&gt;"нет"),AND($J157&lt;&gt;"да",$J157&lt;&gt;"нет")),"НЕ ПРОВЕРЕНО: наличие или обязательность",IF(AND($N157="да",OR($O157="",$M157="")),"передан без следа: эксперт или дата",IF(AND($P157="да",$Q157=""),"НЕ ПРОВЕРЕНО: дата запроса",IF($B157="","",IF(AND($J157="да",$G157="нет",$P157&lt;&gt;"да"),"дыра: обязательного документа нет, запрос не направлен",IF(AND($G157="нет",$P157="да",$R157&lt;&gt;"да"),"запрошен, не получен",IF(AND($G157="нет",$J157&lt;&gt;"да"),"отсутствует, на причину не влияет",IF(AND(OR($K157="да",$N157="да"),$M157=""),"передан без следа",IF(AND($K157="да",$L157=""),"передан без следа","в порядке"))))))))))</x:f>
      </x:c>
    </x:row>
    <x:row r="158">
      <x:c r="A158" s="95" t="str">
        <x:f>IF($B158="","",ROW()-6)</x:f>
      </x:c>
      <x:c r="B158" s="96" t="n"/>
      <x:c r="C158" s="96" t="n"/>
      <x:c r="D158" s="96" t="n"/>
      <x:c r="E158" s="97" t="n"/>
      <x:c r="F158" s="96" t="n"/>
      <x:c r="G158" s="96" t="n"/>
      <x:c r="H158" s="96" t="n"/>
      <x:c r="I158" s="96" t="n"/>
      <x:c r="J158" s="96" t="n"/>
      <x:c r="K158" s="96" t="n"/>
      <x:c r="L158" s="97" t="n"/>
      <x:c r="M158" s="96" t="n"/>
      <x:c r="N158" s="96" t="n"/>
      <x:c r="O158" s="11" t="n"/>
      <x:c r="P158" s="10" t="n"/>
      <x:c r="Q158" s="11" t="n"/>
      <x:c r="R158" s="10" t="n"/>
      <x:c r="S158" s="10" t="n"/>
      <x:c r="T158" s="10" t="n"/>
      <x:c r="U158" s="12" t="str">
        <x:f>IF($B158="","",IF(OR(AND($G158&lt;&gt;"оригинал",$G158&lt;&gt;"копия",$G158&lt;&gt;"скан",$G158&lt;&gt;"нет"),AND($J158&lt;&gt;"да",$J158&lt;&gt;"нет")),"НЕ ПРОВЕРЕНО: наличие или обязательность",IF(AND($N158="да",OR($O158="",$M158="")),"передан без следа: эксперт или дата",IF(AND($P158="да",$Q158=""),"НЕ ПРОВЕРЕНО: дата запроса",IF($B158="","",IF(AND($J158="да",$G158="нет",$P158&lt;&gt;"да"),"дыра: обязательного документа нет, запрос не направлен",IF(AND($G158="нет",$P158="да",$R158&lt;&gt;"да"),"запрошен, не получен",IF(AND($G158="нет",$J158&lt;&gt;"да"),"отсутствует, на причину не влияет",IF(AND(OR($K158="да",$N158="да"),$M158=""),"передан без следа",IF(AND($K158="да",$L158=""),"передан без следа","в порядке"))))))))))</x:f>
      </x:c>
    </x:row>
    <x:row r="159">
      <x:c r="A159" s="95" t="str">
        <x:f>IF($B159="","",ROW()-6)</x:f>
      </x:c>
      <x:c r="B159" s="96" t="n"/>
      <x:c r="C159" s="96" t="n"/>
      <x:c r="D159" s="96" t="n"/>
      <x:c r="E159" s="97" t="n"/>
      <x:c r="F159" s="96" t="n"/>
      <x:c r="G159" s="96" t="n"/>
      <x:c r="H159" s="96" t="n"/>
      <x:c r="I159" s="96" t="n"/>
      <x:c r="J159" s="96" t="n"/>
      <x:c r="K159" s="96" t="n"/>
      <x:c r="L159" s="97" t="n"/>
      <x:c r="M159" s="96" t="n"/>
      <x:c r="N159" s="96" t="n"/>
      <x:c r="O159" s="11" t="n"/>
      <x:c r="P159" s="10" t="n"/>
      <x:c r="Q159" s="11" t="n"/>
      <x:c r="R159" s="10" t="n"/>
      <x:c r="S159" s="10" t="n"/>
      <x:c r="T159" s="10" t="n"/>
      <x:c r="U159" s="12" t="str">
        <x:f>IF($B159="","",IF(OR(AND($G159&lt;&gt;"оригинал",$G159&lt;&gt;"копия",$G159&lt;&gt;"скан",$G159&lt;&gt;"нет"),AND($J159&lt;&gt;"да",$J159&lt;&gt;"нет")),"НЕ ПРОВЕРЕНО: наличие или обязательность",IF(AND($N159="да",OR($O159="",$M159="")),"передан без следа: эксперт или дата",IF(AND($P159="да",$Q159=""),"НЕ ПРОВЕРЕНО: дата запроса",IF($B159="","",IF(AND($J159="да",$G159="нет",$P159&lt;&gt;"да"),"дыра: обязательного документа нет, запрос не направлен",IF(AND($G159="нет",$P159="да",$R159&lt;&gt;"да"),"запрошен, не получен",IF(AND($G159="нет",$J159&lt;&gt;"да"),"отсутствует, на причину не влияет",IF(AND(OR($K159="да",$N159="да"),$M159=""),"передан без следа",IF(AND($K159="да",$L159=""),"передан без следа","в порядке"))))))))))</x:f>
      </x:c>
    </x:row>
    <x:row r="160">
      <x:c r="A160" s="95" t="str">
        <x:f>IF($B160="","",ROW()-6)</x:f>
      </x:c>
      <x:c r="B160" s="96" t="n"/>
      <x:c r="C160" s="96" t="n"/>
      <x:c r="D160" s="96" t="n"/>
      <x:c r="E160" s="97" t="n"/>
      <x:c r="F160" s="96" t="n"/>
      <x:c r="G160" s="96" t="n"/>
      <x:c r="H160" s="96" t="n"/>
      <x:c r="I160" s="96" t="n"/>
      <x:c r="J160" s="96" t="n"/>
      <x:c r="K160" s="96" t="n"/>
      <x:c r="L160" s="97" t="n"/>
      <x:c r="M160" s="96" t="n"/>
      <x:c r="N160" s="96" t="n"/>
      <x:c r="O160" s="11" t="n"/>
      <x:c r="P160" s="10" t="n"/>
      <x:c r="Q160" s="11" t="n"/>
      <x:c r="R160" s="10" t="n"/>
      <x:c r="S160" s="10" t="n"/>
      <x:c r="T160" s="10" t="n"/>
      <x:c r="U160" s="12" t="str">
        <x:f>IF($B160="","",IF(OR(AND($G160&lt;&gt;"оригинал",$G160&lt;&gt;"копия",$G160&lt;&gt;"скан",$G160&lt;&gt;"нет"),AND($J160&lt;&gt;"да",$J160&lt;&gt;"нет")),"НЕ ПРОВЕРЕНО: наличие или обязательность",IF(AND($N160="да",OR($O160="",$M160="")),"передан без следа: эксперт или дата",IF(AND($P160="да",$Q160=""),"НЕ ПРОВЕРЕНО: дата запроса",IF($B160="","",IF(AND($J160="да",$G160="нет",$P160&lt;&gt;"да"),"дыра: обязательного документа нет, запрос не направлен",IF(AND($G160="нет",$P160="да",$R160&lt;&gt;"да"),"запрошен, не получен",IF(AND($G160="нет",$J160&lt;&gt;"да"),"отсутствует, на причину не влияет",IF(AND(OR($K160="да",$N160="да"),$M160=""),"передан без следа",IF(AND($K160="да",$L160=""),"передан без следа","в порядке"))))))))))</x:f>
      </x:c>
    </x:row>
    <x:row r="161">
      <x:c r="A161" s="95" t="str">
        <x:f>IF($B161="","",ROW()-6)</x:f>
      </x:c>
      <x:c r="B161" s="96" t="n"/>
      <x:c r="C161" s="96" t="n"/>
      <x:c r="D161" s="96" t="n"/>
      <x:c r="E161" s="97" t="n"/>
      <x:c r="F161" s="96" t="n"/>
      <x:c r="G161" s="96" t="n"/>
      <x:c r="H161" s="96" t="n"/>
      <x:c r="I161" s="96" t="n"/>
      <x:c r="J161" s="96" t="n"/>
      <x:c r="K161" s="96" t="n"/>
      <x:c r="L161" s="97" t="n"/>
      <x:c r="M161" s="96" t="n"/>
      <x:c r="N161" s="96" t="n"/>
      <x:c r="O161" s="11" t="n"/>
      <x:c r="P161" s="10" t="n"/>
      <x:c r="Q161" s="11" t="n"/>
      <x:c r="R161" s="10" t="n"/>
      <x:c r="S161" s="10" t="n"/>
      <x:c r="T161" s="10" t="n"/>
      <x:c r="U161" s="12" t="str">
        <x:f>IF($B161="","",IF(OR(AND($G161&lt;&gt;"оригинал",$G161&lt;&gt;"копия",$G161&lt;&gt;"скан",$G161&lt;&gt;"нет"),AND($J161&lt;&gt;"да",$J161&lt;&gt;"нет")),"НЕ ПРОВЕРЕНО: наличие или обязательность",IF(AND($N161="да",OR($O161="",$M161="")),"передан без следа: эксперт или дата",IF(AND($P161="да",$Q161=""),"НЕ ПРОВЕРЕНО: дата запроса",IF($B161="","",IF(AND($J161="да",$G161="нет",$P161&lt;&gt;"да"),"дыра: обязательного документа нет, запрос не направлен",IF(AND($G161="нет",$P161="да",$R161&lt;&gt;"да"),"запрошен, не получен",IF(AND($G161="нет",$J161&lt;&gt;"да"),"отсутствует, на причину не влияет",IF(AND(OR($K161="да",$N161="да"),$M161=""),"передан без следа",IF(AND($K161="да",$L161=""),"передан без следа","в порядке"))))))))))</x:f>
      </x:c>
    </x:row>
    <x:row r="162">
      <x:c r="A162" s="95" t="str">
        <x:f>IF($B162="","",ROW()-6)</x:f>
      </x:c>
      <x:c r="B162" s="96" t="n"/>
      <x:c r="C162" s="96" t="n"/>
      <x:c r="D162" s="96" t="n"/>
      <x:c r="E162" s="97" t="n"/>
      <x:c r="F162" s="96" t="n"/>
      <x:c r="G162" s="96" t="n"/>
      <x:c r="H162" s="96" t="n"/>
      <x:c r="I162" s="96" t="n"/>
      <x:c r="J162" s="96" t="n"/>
      <x:c r="K162" s="96" t="n"/>
      <x:c r="L162" s="97" t="n"/>
      <x:c r="M162" s="96" t="n"/>
      <x:c r="N162" s="96" t="n"/>
      <x:c r="O162" s="11" t="n"/>
      <x:c r="P162" s="10" t="n"/>
      <x:c r="Q162" s="11" t="n"/>
      <x:c r="R162" s="10" t="n"/>
      <x:c r="S162" s="10" t="n"/>
      <x:c r="T162" s="10" t="n"/>
      <x:c r="U162" s="12" t="str">
        <x:f>IF($B162="","",IF(OR(AND($G162&lt;&gt;"оригинал",$G162&lt;&gt;"копия",$G162&lt;&gt;"скан",$G162&lt;&gt;"нет"),AND($J162&lt;&gt;"да",$J162&lt;&gt;"нет")),"НЕ ПРОВЕРЕНО: наличие или обязательность",IF(AND($N162="да",OR($O162="",$M162="")),"передан без следа: эксперт или дата",IF(AND($P162="да",$Q162=""),"НЕ ПРОВЕРЕНО: дата запроса",IF($B162="","",IF(AND($J162="да",$G162="нет",$P162&lt;&gt;"да"),"дыра: обязательного документа нет, запрос не направлен",IF(AND($G162="нет",$P162="да",$R162&lt;&gt;"да"),"запрошен, не получен",IF(AND($G162="нет",$J162&lt;&gt;"да"),"отсутствует, на причину не влияет",IF(AND(OR($K162="да",$N162="да"),$M162=""),"передан без следа",IF(AND($K162="да",$L162=""),"передан без следа","в порядке"))))))))))</x:f>
      </x:c>
    </x:row>
    <x:row r="163">
      <x:c r="A163" s="95" t="str">
        <x:f>IF($B163="","",ROW()-6)</x:f>
      </x:c>
      <x:c r="B163" s="96" t="n"/>
      <x:c r="C163" s="96" t="n"/>
      <x:c r="D163" s="96" t="n"/>
      <x:c r="E163" s="97" t="n"/>
      <x:c r="F163" s="96" t="n"/>
      <x:c r="G163" s="96" t="n"/>
      <x:c r="H163" s="96" t="n"/>
      <x:c r="I163" s="96" t="n"/>
      <x:c r="J163" s="96" t="n"/>
      <x:c r="K163" s="96" t="n"/>
      <x:c r="L163" s="97" t="n"/>
      <x:c r="M163" s="96" t="n"/>
      <x:c r="N163" s="96" t="n"/>
      <x:c r="O163" s="11" t="n"/>
      <x:c r="P163" s="10" t="n"/>
      <x:c r="Q163" s="11" t="n"/>
      <x:c r="R163" s="10" t="n"/>
      <x:c r="S163" s="10" t="n"/>
      <x:c r="T163" s="10" t="n"/>
      <x:c r="U163" s="12" t="str">
        <x:f>IF($B163="","",IF(OR(AND($G163&lt;&gt;"оригинал",$G163&lt;&gt;"копия",$G163&lt;&gt;"скан",$G163&lt;&gt;"нет"),AND($J163&lt;&gt;"да",$J163&lt;&gt;"нет")),"НЕ ПРОВЕРЕНО: наличие или обязательность",IF(AND($N163="да",OR($O163="",$M163="")),"передан без следа: эксперт или дата",IF(AND($P163="да",$Q163=""),"НЕ ПРОВЕРЕНО: дата запроса",IF($B163="","",IF(AND($J163="да",$G163="нет",$P163&lt;&gt;"да"),"дыра: обязательного документа нет, запрос не направлен",IF(AND($G163="нет",$P163="да",$R163&lt;&gt;"да"),"запрошен, не получен",IF(AND($G163="нет",$J163&lt;&gt;"да"),"отсутствует, на причину не влияет",IF(AND(OR($K163="да",$N163="да"),$M163=""),"передан без следа",IF(AND($K163="да",$L163=""),"передан без следа","в порядке"))))))))))</x:f>
      </x:c>
    </x:row>
    <x:row r="164">
      <x:c r="A164" s="95" t="str">
        <x:f>IF($B164="","",ROW()-6)</x:f>
      </x:c>
      <x:c r="B164" s="96" t="n"/>
      <x:c r="C164" s="96" t="n"/>
      <x:c r="D164" s="96" t="n"/>
      <x:c r="E164" s="97" t="n"/>
      <x:c r="F164" s="96" t="n"/>
      <x:c r="G164" s="96" t="n"/>
      <x:c r="H164" s="96" t="n"/>
      <x:c r="I164" s="96" t="n"/>
      <x:c r="J164" s="96" t="n"/>
      <x:c r="K164" s="96" t="n"/>
      <x:c r="L164" s="97" t="n"/>
      <x:c r="M164" s="96" t="n"/>
      <x:c r="N164" s="96" t="n"/>
      <x:c r="O164" s="11" t="n"/>
      <x:c r="P164" s="10" t="n"/>
      <x:c r="Q164" s="11" t="n"/>
      <x:c r="R164" s="10" t="n"/>
      <x:c r="S164" s="10" t="n"/>
      <x:c r="T164" s="10" t="n"/>
      <x:c r="U164" s="12" t="str">
        <x:f>IF($B164="","",IF(OR(AND($G164&lt;&gt;"оригинал",$G164&lt;&gt;"копия",$G164&lt;&gt;"скан",$G164&lt;&gt;"нет"),AND($J164&lt;&gt;"да",$J164&lt;&gt;"нет")),"НЕ ПРОВЕРЕНО: наличие или обязательность",IF(AND($N164="да",OR($O164="",$M164="")),"передан без следа: эксперт или дата",IF(AND($P164="да",$Q164=""),"НЕ ПРОВЕРЕНО: дата запроса",IF($B164="","",IF(AND($J164="да",$G164="нет",$P164&lt;&gt;"да"),"дыра: обязательного документа нет, запрос не направлен",IF(AND($G164="нет",$P164="да",$R164&lt;&gt;"да"),"запрошен, не получен",IF(AND($G164="нет",$J164&lt;&gt;"да"),"отсутствует, на причину не влияет",IF(AND(OR($K164="да",$N164="да"),$M164=""),"передан без следа",IF(AND($K164="да",$L164=""),"передан без следа","в порядке"))))))))))</x:f>
      </x:c>
    </x:row>
    <x:row r="165">
      <x:c r="A165" s="95" t="str">
        <x:f>IF($B165="","",ROW()-6)</x:f>
      </x:c>
      <x:c r="B165" s="96" t="n"/>
      <x:c r="C165" s="96" t="n"/>
      <x:c r="D165" s="96" t="n"/>
      <x:c r="E165" s="97" t="n"/>
      <x:c r="F165" s="96" t="n"/>
      <x:c r="G165" s="96" t="n"/>
      <x:c r="H165" s="96" t="n"/>
      <x:c r="I165" s="96" t="n"/>
      <x:c r="J165" s="96" t="n"/>
      <x:c r="K165" s="96" t="n"/>
      <x:c r="L165" s="97" t="n"/>
      <x:c r="M165" s="96" t="n"/>
      <x:c r="N165" s="96" t="n"/>
      <x:c r="O165" s="11" t="n"/>
      <x:c r="P165" s="10" t="n"/>
      <x:c r="Q165" s="11" t="n"/>
      <x:c r="R165" s="10" t="n"/>
      <x:c r="S165" s="10" t="n"/>
      <x:c r="T165" s="10" t="n"/>
      <x:c r="U165" s="12" t="str">
        <x:f>IF($B165="","",IF(OR(AND($G165&lt;&gt;"оригинал",$G165&lt;&gt;"копия",$G165&lt;&gt;"скан",$G165&lt;&gt;"нет"),AND($J165&lt;&gt;"да",$J165&lt;&gt;"нет")),"НЕ ПРОВЕРЕНО: наличие или обязательность",IF(AND($N165="да",OR($O165="",$M165="")),"передан без следа: эксперт или дата",IF(AND($P165="да",$Q165=""),"НЕ ПРОВЕРЕНО: дата запроса",IF($B165="","",IF(AND($J165="да",$G165="нет",$P165&lt;&gt;"да"),"дыра: обязательного документа нет, запрос не направлен",IF(AND($G165="нет",$P165="да",$R165&lt;&gt;"да"),"запрошен, не получен",IF(AND($G165="нет",$J165&lt;&gt;"да"),"отсутствует, на причину не влияет",IF(AND(OR($K165="да",$N165="да"),$M165=""),"передан без следа",IF(AND($K165="да",$L165=""),"передан без следа","в порядке"))))))))))</x:f>
      </x:c>
    </x:row>
    <x:row r="166">
      <x:c r="A166" s="95" t="str">
        <x:f>IF($B166="","",ROW()-6)</x:f>
      </x:c>
      <x:c r="B166" s="96" t="n"/>
      <x:c r="C166" s="96" t="n"/>
      <x:c r="D166" s="96" t="n"/>
      <x:c r="E166" s="97" t="n"/>
      <x:c r="F166" s="96" t="n"/>
      <x:c r="G166" s="96" t="n"/>
      <x:c r="H166" s="96" t="n"/>
      <x:c r="I166" s="96" t="n"/>
      <x:c r="J166" s="96" t="n"/>
      <x:c r="K166" s="96" t="n"/>
      <x:c r="L166" s="97" t="n"/>
      <x:c r="M166" s="96" t="n"/>
      <x:c r="N166" s="96" t="n"/>
      <x:c r="O166" s="11" t="n"/>
      <x:c r="P166" s="10" t="n"/>
      <x:c r="Q166" s="11" t="n"/>
      <x:c r="R166" s="10" t="n"/>
      <x:c r="S166" s="10" t="n"/>
      <x:c r="T166" s="10" t="n"/>
      <x:c r="U166" s="12" t="str">
        <x:f>IF($B166="","",IF(OR(AND($G166&lt;&gt;"оригинал",$G166&lt;&gt;"копия",$G166&lt;&gt;"скан",$G166&lt;&gt;"нет"),AND($J166&lt;&gt;"да",$J166&lt;&gt;"нет")),"НЕ ПРОВЕРЕНО: наличие или обязательность",IF(AND($N166="да",OR($O166="",$M166="")),"передан без следа: эксперт или дата",IF(AND($P166="да",$Q166=""),"НЕ ПРОВЕРЕНО: дата запроса",IF($B166="","",IF(AND($J166="да",$G166="нет",$P166&lt;&gt;"да"),"дыра: обязательного документа нет, запрос не направлен",IF(AND($G166="нет",$P166="да",$R166&lt;&gt;"да"),"запрошен, не получен",IF(AND($G166="нет",$J166&lt;&gt;"да"),"отсутствует, на причину не влияет",IF(AND(OR($K166="да",$N166="да"),$M166=""),"передан без следа",IF(AND($K166="да",$L166=""),"передан без следа","в порядке"))))))))))</x:f>
      </x:c>
    </x:row>
    <x:row r="167">
      <x:c r="A167" s="95" t="str">
        <x:f>IF($B167="","",ROW()-6)</x:f>
      </x:c>
      <x:c r="B167" s="96" t="n"/>
      <x:c r="C167" s="96" t="n"/>
      <x:c r="D167" s="96" t="n"/>
      <x:c r="E167" s="97" t="n"/>
      <x:c r="F167" s="96" t="n"/>
      <x:c r="G167" s="96" t="n"/>
      <x:c r="H167" s="96" t="n"/>
      <x:c r="I167" s="96" t="n"/>
      <x:c r="J167" s="96" t="n"/>
      <x:c r="K167" s="96" t="n"/>
      <x:c r="L167" s="97" t="n"/>
      <x:c r="M167" s="96" t="n"/>
      <x:c r="N167" s="96" t="n"/>
      <x:c r="O167" s="11" t="n"/>
      <x:c r="P167" s="10" t="n"/>
      <x:c r="Q167" s="11" t="n"/>
      <x:c r="R167" s="10" t="n"/>
      <x:c r="S167" s="10" t="n"/>
      <x:c r="T167" s="10" t="n"/>
      <x:c r="U167" s="12" t="str">
        <x:f>IF($B167="","",IF(OR(AND($G167&lt;&gt;"оригинал",$G167&lt;&gt;"копия",$G167&lt;&gt;"скан",$G167&lt;&gt;"нет"),AND($J167&lt;&gt;"да",$J167&lt;&gt;"нет")),"НЕ ПРОВЕРЕНО: наличие или обязательность",IF(AND($N167="да",OR($O167="",$M167="")),"передан без следа: эксперт или дата",IF(AND($P167="да",$Q167=""),"НЕ ПРОВЕРЕНО: дата запроса",IF($B167="","",IF(AND($J167="да",$G167="нет",$P167&lt;&gt;"да"),"дыра: обязательного документа нет, запрос не направлен",IF(AND($G167="нет",$P167="да",$R167&lt;&gt;"да"),"запрошен, не получен",IF(AND($G167="нет",$J167&lt;&gt;"да"),"отсутствует, на причину не влияет",IF(AND(OR($K167="да",$N167="да"),$M167=""),"передан без следа",IF(AND($K167="да",$L167=""),"передан без следа","в порядке"))))))))))</x:f>
      </x:c>
    </x:row>
    <x:row r="168">
      <x:c r="A168" s="95" t="str">
        <x:f>IF($B168="","",ROW()-6)</x:f>
      </x:c>
      <x:c r="B168" s="96" t="n"/>
      <x:c r="C168" s="96" t="n"/>
      <x:c r="D168" s="96" t="n"/>
      <x:c r="E168" s="97" t="n"/>
      <x:c r="F168" s="96" t="n"/>
      <x:c r="G168" s="96" t="n"/>
      <x:c r="H168" s="96" t="n"/>
      <x:c r="I168" s="96" t="n"/>
      <x:c r="J168" s="96" t="n"/>
      <x:c r="K168" s="96" t="n"/>
      <x:c r="L168" s="97" t="n"/>
      <x:c r="M168" s="96" t="n"/>
      <x:c r="N168" s="96" t="n"/>
      <x:c r="O168" s="11" t="n"/>
      <x:c r="P168" s="10" t="n"/>
      <x:c r="Q168" s="11" t="n"/>
      <x:c r="R168" s="10" t="n"/>
      <x:c r="S168" s="10" t="n"/>
      <x:c r="T168" s="10" t="n"/>
      <x:c r="U168" s="12" t="str">
        <x:f>IF($B168="","",IF(OR(AND($G168&lt;&gt;"оригинал",$G168&lt;&gt;"копия",$G168&lt;&gt;"скан",$G168&lt;&gt;"нет"),AND($J168&lt;&gt;"да",$J168&lt;&gt;"нет")),"НЕ ПРОВЕРЕНО: наличие или обязательность",IF(AND($N168="да",OR($O168="",$M168="")),"передан без следа: эксперт или дата",IF(AND($P168="да",$Q168=""),"НЕ ПРОВЕРЕНО: дата запроса",IF($B168="","",IF(AND($J168="да",$G168="нет",$P168&lt;&gt;"да"),"дыра: обязательного документа нет, запрос не направлен",IF(AND($G168="нет",$P168="да",$R168&lt;&gt;"да"),"запрошен, не получен",IF(AND($G168="нет",$J168&lt;&gt;"да"),"отсутствует, на причину не влияет",IF(AND(OR($K168="да",$N168="да"),$M168=""),"передан без следа",IF(AND($K168="да",$L168=""),"передан без следа","в порядке"))))))))))</x:f>
      </x:c>
    </x:row>
    <x:row r="169">
      <x:c r="A169" s="95" t="str">
        <x:f>IF($B169="","",ROW()-6)</x:f>
      </x:c>
      <x:c r="B169" s="96" t="n"/>
      <x:c r="C169" s="96" t="n"/>
      <x:c r="D169" s="96" t="n"/>
      <x:c r="E169" s="97" t="n"/>
      <x:c r="F169" s="96" t="n"/>
      <x:c r="G169" s="96" t="n"/>
      <x:c r="H169" s="96" t="n"/>
      <x:c r="I169" s="96" t="n"/>
      <x:c r="J169" s="96" t="n"/>
      <x:c r="K169" s="96" t="n"/>
      <x:c r="L169" s="97" t="n"/>
      <x:c r="M169" s="96" t="n"/>
      <x:c r="N169" s="96" t="n"/>
      <x:c r="O169" s="11" t="n"/>
      <x:c r="P169" s="10" t="n"/>
      <x:c r="Q169" s="11" t="n"/>
      <x:c r="R169" s="10" t="n"/>
      <x:c r="S169" s="10" t="n"/>
      <x:c r="T169" s="10" t="n"/>
      <x:c r="U169" s="12" t="str">
        <x:f>IF($B169="","",IF(OR(AND($G169&lt;&gt;"оригинал",$G169&lt;&gt;"копия",$G169&lt;&gt;"скан",$G169&lt;&gt;"нет"),AND($J169&lt;&gt;"да",$J169&lt;&gt;"нет")),"НЕ ПРОВЕРЕНО: наличие или обязательность",IF(AND($N169="да",OR($O169="",$M169="")),"передан без следа: эксперт или дата",IF(AND($P169="да",$Q169=""),"НЕ ПРОВЕРЕНО: дата запроса",IF($B169="","",IF(AND($J169="да",$G169="нет",$P169&lt;&gt;"да"),"дыра: обязательного документа нет, запрос не направлен",IF(AND($G169="нет",$P169="да",$R169&lt;&gt;"да"),"запрошен, не получен",IF(AND($G169="нет",$J169&lt;&gt;"да"),"отсутствует, на причину не влияет",IF(AND(OR($K169="да",$N169="да"),$M169=""),"передан без следа",IF(AND($K169="да",$L169=""),"передан без следа","в порядке"))))))))))</x:f>
      </x:c>
    </x:row>
    <x:row r="170">
      <x:c r="A170" s="95" t="str">
        <x:f>IF($B170="","",ROW()-6)</x:f>
      </x:c>
      <x:c r="B170" s="96" t="n"/>
      <x:c r="C170" s="96" t="n"/>
      <x:c r="D170" s="96" t="n"/>
      <x:c r="E170" s="97" t="n"/>
      <x:c r="F170" s="96" t="n"/>
      <x:c r="G170" s="96" t="n"/>
      <x:c r="H170" s="96" t="n"/>
      <x:c r="I170" s="96" t="n"/>
      <x:c r="J170" s="96" t="n"/>
      <x:c r="K170" s="96" t="n"/>
      <x:c r="L170" s="97" t="n"/>
      <x:c r="M170" s="96" t="n"/>
      <x:c r="N170" s="96" t="n"/>
      <x:c r="O170" s="11" t="n"/>
      <x:c r="P170" s="10" t="n"/>
      <x:c r="Q170" s="11" t="n"/>
      <x:c r="R170" s="10" t="n"/>
      <x:c r="S170" s="10" t="n"/>
      <x:c r="T170" s="10" t="n"/>
      <x:c r="U170" s="12" t="str">
        <x:f>IF($B170="","",IF(OR(AND($G170&lt;&gt;"оригинал",$G170&lt;&gt;"копия",$G170&lt;&gt;"скан",$G170&lt;&gt;"нет"),AND($J170&lt;&gt;"да",$J170&lt;&gt;"нет")),"НЕ ПРОВЕРЕНО: наличие или обязательность",IF(AND($N170="да",OR($O170="",$M170="")),"передан без следа: эксперт или дата",IF(AND($P170="да",$Q170=""),"НЕ ПРОВЕРЕНО: дата запроса",IF($B170="","",IF(AND($J170="да",$G170="нет",$P170&lt;&gt;"да"),"дыра: обязательного документа нет, запрос не направлен",IF(AND($G170="нет",$P170="да",$R170&lt;&gt;"да"),"запрошен, не получен",IF(AND($G170="нет",$J170&lt;&gt;"да"),"отсутствует, на причину не влияет",IF(AND(OR($K170="да",$N170="да"),$M170=""),"передан без следа",IF(AND($K170="да",$L170=""),"передан без следа","в порядке"))))))))))</x:f>
      </x:c>
    </x:row>
    <x:row r="171">
      <x:c r="A171" s="95" t="str">
        <x:f>IF($B171="","",ROW()-6)</x:f>
      </x:c>
      <x:c r="B171" s="96" t="n"/>
      <x:c r="C171" s="96" t="n"/>
      <x:c r="D171" s="96" t="n"/>
      <x:c r="E171" s="97" t="n"/>
      <x:c r="F171" s="96" t="n"/>
      <x:c r="G171" s="96" t="n"/>
      <x:c r="H171" s="96" t="n"/>
      <x:c r="I171" s="96" t="n"/>
      <x:c r="J171" s="96" t="n"/>
      <x:c r="K171" s="96" t="n"/>
      <x:c r="L171" s="97" t="n"/>
      <x:c r="M171" s="96" t="n"/>
      <x:c r="N171" s="96" t="n"/>
      <x:c r="O171" s="11" t="n"/>
      <x:c r="P171" s="10" t="n"/>
      <x:c r="Q171" s="11" t="n"/>
      <x:c r="R171" s="10" t="n"/>
      <x:c r="S171" s="10" t="n"/>
      <x:c r="T171" s="10" t="n"/>
      <x:c r="U171" s="12" t="str">
        <x:f>IF($B171="","",IF(OR(AND($G171&lt;&gt;"оригинал",$G171&lt;&gt;"копия",$G171&lt;&gt;"скан",$G171&lt;&gt;"нет"),AND($J171&lt;&gt;"да",$J171&lt;&gt;"нет")),"НЕ ПРОВЕРЕНО: наличие или обязательность",IF(AND($N171="да",OR($O171="",$M171="")),"передан без следа: эксперт или дата",IF(AND($P171="да",$Q171=""),"НЕ ПРОВЕРЕНО: дата запроса",IF($B171="","",IF(AND($J171="да",$G171="нет",$P171&lt;&gt;"да"),"дыра: обязательного документа нет, запрос не направлен",IF(AND($G171="нет",$P171="да",$R171&lt;&gt;"да"),"запрошен, не получен",IF(AND($G171="нет",$J171&lt;&gt;"да"),"отсутствует, на причину не влияет",IF(AND(OR($K171="да",$N171="да"),$M171=""),"передан без следа",IF(AND($K171="да",$L171=""),"передан без следа","в порядке"))))))))))</x:f>
      </x:c>
    </x:row>
    <x:row r="172">
      <x:c r="A172" s="95" t="str">
        <x:f>IF($B172="","",ROW()-6)</x:f>
      </x:c>
      <x:c r="B172" s="96" t="n"/>
      <x:c r="C172" s="96" t="n"/>
      <x:c r="D172" s="96" t="n"/>
      <x:c r="E172" s="97" t="n"/>
      <x:c r="F172" s="96" t="n"/>
      <x:c r="G172" s="96" t="n"/>
      <x:c r="H172" s="96" t="n"/>
      <x:c r="I172" s="96" t="n"/>
      <x:c r="J172" s="96" t="n"/>
      <x:c r="K172" s="96" t="n"/>
      <x:c r="L172" s="97" t="n"/>
      <x:c r="M172" s="96" t="n"/>
      <x:c r="N172" s="96" t="n"/>
      <x:c r="O172" s="11" t="n"/>
      <x:c r="P172" s="10" t="n"/>
      <x:c r="Q172" s="11" t="n"/>
      <x:c r="R172" s="10" t="n"/>
      <x:c r="S172" s="10" t="n"/>
      <x:c r="T172" s="10" t="n"/>
      <x:c r="U172" s="12" t="str">
        <x:f>IF($B172="","",IF(OR(AND($G172&lt;&gt;"оригинал",$G172&lt;&gt;"копия",$G172&lt;&gt;"скан",$G172&lt;&gt;"нет"),AND($J172&lt;&gt;"да",$J172&lt;&gt;"нет")),"НЕ ПРОВЕРЕНО: наличие или обязательность",IF(AND($N172="да",OR($O172="",$M172="")),"передан без следа: эксперт или дата",IF(AND($P172="да",$Q172=""),"НЕ ПРОВЕРЕНО: дата запроса",IF($B172="","",IF(AND($J172="да",$G172="нет",$P172&lt;&gt;"да"),"дыра: обязательного документа нет, запрос не направлен",IF(AND($G172="нет",$P172="да",$R172&lt;&gt;"да"),"запрошен, не получен",IF(AND($G172="нет",$J172&lt;&gt;"да"),"отсутствует, на причину не влияет",IF(AND(OR($K172="да",$N172="да"),$M172=""),"передан без следа",IF(AND($K172="да",$L172=""),"передан без следа","в порядке"))))))))))</x:f>
      </x:c>
    </x:row>
    <x:row r="173">
      <x:c r="A173" s="95" t="str">
        <x:f>IF($B173="","",ROW()-6)</x:f>
      </x:c>
      <x:c r="B173" s="96" t="n"/>
      <x:c r="C173" s="96" t="n"/>
      <x:c r="D173" s="96" t="n"/>
      <x:c r="E173" s="97" t="n"/>
      <x:c r="F173" s="96" t="n"/>
      <x:c r="G173" s="96" t="n"/>
      <x:c r="H173" s="96" t="n"/>
      <x:c r="I173" s="96" t="n"/>
      <x:c r="J173" s="96" t="n"/>
      <x:c r="K173" s="96" t="n"/>
      <x:c r="L173" s="97" t="n"/>
      <x:c r="M173" s="96" t="n"/>
      <x:c r="N173" s="96" t="n"/>
      <x:c r="O173" s="11" t="n"/>
      <x:c r="P173" s="10" t="n"/>
      <x:c r="Q173" s="11" t="n"/>
      <x:c r="R173" s="10" t="n"/>
      <x:c r="S173" s="10" t="n"/>
      <x:c r="T173" s="10" t="n"/>
      <x:c r="U173" s="12" t="str">
        <x:f>IF($B173="","",IF(OR(AND($G173&lt;&gt;"оригинал",$G173&lt;&gt;"копия",$G173&lt;&gt;"скан",$G173&lt;&gt;"нет"),AND($J173&lt;&gt;"да",$J173&lt;&gt;"нет")),"НЕ ПРОВЕРЕНО: наличие или обязательность",IF(AND($N173="да",OR($O173="",$M173="")),"передан без следа: эксперт или дата",IF(AND($P173="да",$Q173=""),"НЕ ПРОВЕРЕНО: дата запроса",IF($B173="","",IF(AND($J173="да",$G173="нет",$P173&lt;&gt;"да"),"дыра: обязательного документа нет, запрос не направлен",IF(AND($G173="нет",$P173="да",$R173&lt;&gt;"да"),"запрошен, не получен",IF(AND($G173="нет",$J173&lt;&gt;"да"),"отсутствует, на причину не влияет",IF(AND(OR($K173="да",$N173="да"),$M173=""),"передан без следа",IF(AND($K173="да",$L173=""),"передан без следа","в порядке"))))))))))</x:f>
      </x:c>
    </x:row>
    <x:row r="174">
      <x:c r="A174" s="95" t="str">
        <x:f>IF($B174="","",ROW()-6)</x:f>
      </x:c>
      <x:c r="B174" s="96" t="n"/>
      <x:c r="C174" s="96" t="n"/>
      <x:c r="D174" s="96" t="n"/>
      <x:c r="E174" s="97" t="n"/>
      <x:c r="F174" s="96" t="n"/>
      <x:c r="G174" s="96" t="n"/>
      <x:c r="H174" s="96" t="n"/>
      <x:c r="I174" s="96" t="n"/>
      <x:c r="J174" s="96" t="n"/>
      <x:c r="K174" s="96" t="n"/>
      <x:c r="L174" s="97" t="n"/>
      <x:c r="M174" s="96" t="n"/>
      <x:c r="N174" s="96" t="n"/>
      <x:c r="O174" s="11" t="n"/>
      <x:c r="P174" s="10" t="n"/>
      <x:c r="Q174" s="11" t="n"/>
      <x:c r="R174" s="10" t="n"/>
      <x:c r="S174" s="10" t="n"/>
      <x:c r="T174" s="10" t="n"/>
      <x:c r="U174" s="12" t="str">
        <x:f>IF($B174="","",IF(OR(AND($G174&lt;&gt;"оригинал",$G174&lt;&gt;"копия",$G174&lt;&gt;"скан",$G174&lt;&gt;"нет"),AND($J174&lt;&gt;"да",$J174&lt;&gt;"нет")),"НЕ ПРОВЕРЕНО: наличие или обязательность",IF(AND($N174="да",OR($O174="",$M174="")),"передан без следа: эксперт или дата",IF(AND($P174="да",$Q174=""),"НЕ ПРОВЕРЕНО: дата запроса",IF($B174="","",IF(AND($J174="да",$G174="нет",$P174&lt;&gt;"да"),"дыра: обязательного документа нет, запрос не направлен",IF(AND($G174="нет",$P174="да",$R174&lt;&gt;"да"),"запрошен, не получен",IF(AND($G174="нет",$J174&lt;&gt;"да"),"отсутствует, на причину не влияет",IF(AND(OR($K174="да",$N174="да"),$M174=""),"передан без следа",IF(AND($K174="да",$L174=""),"передан без следа","в порядке"))))))))))</x:f>
      </x:c>
    </x:row>
    <x:row r="175">
      <x:c r="A175" s="95" t="str">
        <x:f>IF($B175="","",ROW()-6)</x:f>
      </x:c>
      <x:c r="B175" s="96" t="n"/>
      <x:c r="C175" s="96" t="n"/>
      <x:c r="D175" s="96" t="n"/>
      <x:c r="E175" s="97" t="n"/>
      <x:c r="F175" s="96" t="n"/>
      <x:c r="G175" s="96" t="n"/>
      <x:c r="H175" s="96" t="n"/>
      <x:c r="I175" s="96" t="n"/>
      <x:c r="J175" s="96" t="n"/>
      <x:c r="K175" s="96" t="n"/>
      <x:c r="L175" s="97" t="n"/>
      <x:c r="M175" s="96" t="n"/>
      <x:c r="N175" s="96" t="n"/>
      <x:c r="O175" s="11" t="n"/>
      <x:c r="P175" s="10" t="n"/>
      <x:c r="Q175" s="11" t="n"/>
      <x:c r="R175" s="10" t="n"/>
      <x:c r="S175" s="10" t="n"/>
      <x:c r="T175" s="10" t="n"/>
      <x:c r="U175" s="12" t="str">
        <x:f>IF($B175="","",IF(OR(AND($G175&lt;&gt;"оригинал",$G175&lt;&gt;"копия",$G175&lt;&gt;"скан",$G175&lt;&gt;"нет"),AND($J175&lt;&gt;"да",$J175&lt;&gt;"нет")),"НЕ ПРОВЕРЕНО: наличие или обязательность",IF(AND($N175="да",OR($O175="",$M175="")),"передан без следа: эксперт или дата",IF(AND($P175="да",$Q175=""),"НЕ ПРОВЕРЕНО: дата запроса",IF($B175="","",IF(AND($J175="да",$G175="нет",$P175&lt;&gt;"да"),"дыра: обязательного документа нет, запрос не направлен",IF(AND($G175="нет",$P175="да",$R175&lt;&gt;"да"),"запрошен, не получен",IF(AND($G175="нет",$J175&lt;&gt;"да"),"отсутствует, на причину не влияет",IF(AND(OR($K175="да",$N175="да"),$M175=""),"передан без следа",IF(AND($K175="да",$L175=""),"передан без следа","в порядке"))))))))))</x:f>
      </x:c>
    </x:row>
    <x:row r="176">
      <x:c r="A176" s="95" t="str">
        <x:f>IF($B176="","",ROW()-6)</x:f>
      </x:c>
      <x:c r="B176" s="96" t="n"/>
      <x:c r="C176" s="96" t="n"/>
      <x:c r="D176" s="96" t="n"/>
      <x:c r="E176" s="97" t="n"/>
      <x:c r="F176" s="96" t="n"/>
      <x:c r="G176" s="96" t="n"/>
      <x:c r="H176" s="96" t="n"/>
      <x:c r="I176" s="96" t="n"/>
      <x:c r="J176" s="96" t="n"/>
      <x:c r="K176" s="96" t="n"/>
      <x:c r="L176" s="97" t="n"/>
      <x:c r="M176" s="96" t="n"/>
      <x:c r="N176" s="96" t="n"/>
      <x:c r="O176" s="11" t="n"/>
      <x:c r="P176" s="10" t="n"/>
      <x:c r="Q176" s="11" t="n"/>
      <x:c r="R176" s="10" t="n"/>
      <x:c r="S176" s="10" t="n"/>
      <x:c r="T176" s="10" t="n"/>
      <x:c r="U176" s="12" t="str">
        <x:f>IF($B176="","",IF(OR(AND($G176&lt;&gt;"оригинал",$G176&lt;&gt;"копия",$G176&lt;&gt;"скан",$G176&lt;&gt;"нет"),AND($J176&lt;&gt;"да",$J176&lt;&gt;"нет")),"НЕ ПРОВЕРЕНО: наличие или обязательность",IF(AND($N176="да",OR($O176="",$M176="")),"передан без следа: эксперт или дата",IF(AND($P176="да",$Q176=""),"НЕ ПРОВЕРЕНО: дата запроса",IF($B176="","",IF(AND($J176="да",$G176="нет",$P176&lt;&gt;"да"),"дыра: обязательного документа нет, запрос не направлен",IF(AND($G176="нет",$P176="да",$R176&lt;&gt;"да"),"запрошен, не получен",IF(AND($G176="нет",$J176&lt;&gt;"да"),"отсутствует, на причину не влияет",IF(AND(OR($K176="да",$N176="да"),$M176=""),"передан без следа",IF(AND($K176="да",$L176=""),"передан без следа","в порядке"))))))))))</x:f>
      </x:c>
    </x:row>
    <x:row r="177">
      <x:c r="A177" s="95" t="str">
        <x:f>IF($B177="","",ROW()-6)</x:f>
      </x:c>
      <x:c r="B177" s="96" t="n"/>
      <x:c r="C177" s="96" t="n"/>
      <x:c r="D177" s="96" t="n"/>
      <x:c r="E177" s="97" t="n"/>
      <x:c r="F177" s="96" t="n"/>
      <x:c r="G177" s="96" t="n"/>
      <x:c r="H177" s="96" t="n"/>
      <x:c r="I177" s="96" t="n"/>
      <x:c r="J177" s="96" t="n"/>
      <x:c r="K177" s="96" t="n"/>
      <x:c r="L177" s="97" t="n"/>
      <x:c r="M177" s="96" t="n"/>
      <x:c r="N177" s="96" t="n"/>
      <x:c r="O177" s="11" t="n"/>
      <x:c r="P177" s="10" t="n"/>
      <x:c r="Q177" s="11" t="n"/>
      <x:c r="R177" s="10" t="n"/>
      <x:c r="S177" s="10" t="n"/>
      <x:c r="T177" s="10" t="n"/>
      <x:c r="U177" s="12" t="str">
        <x:f>IF($B177="","",IF(OR(AND($G177&lt;&gt;"оригинал",$G177&lt;&gt;"копия",$G177&lt;&gt;"скан",$G177&lt;&gt;"нет"),AND($J177&lt;&gt;"да",$J177&lt;&gt;"нет")),"НЕ ПРОВЕРЕНО: наличие или обязательность",IF(AND($N177="да",OR($O177="",$M177="")),"передан без следа: эксперт или дата",IF(AND($P177="да",$Q177=""),"НЕ ПРОВЕРЕНО: дата запроса",IF($B177="","",IF(AND($J177="да",$G177="нет",$P177&lt;&gt;"да"),"дыра: обязательного документа нет, запрос не направлен",IF(AND($G177="нет",$P177="да",$R177&lt;&gt;"да"),"запрошен, не получен",IF(AND($G177="нет",$J177&lt;&gt;"да"),"отсутствует, на причину не влияет",IF(AND(OR($K177="да",$N177="да"),$M177=""),"передан без следа",IF(AND($K177="да",$L177=""),"передан без следа","в порядке"))))))))))</x:f>
      </x:c>
    </x:row>
    <x:row r="178">
      <x:c r="A178" s="95" t="str">
        <x:f>IF($B178="","",ROW()-6)</x:f>
      </x:c>
      <x:c r="B178" s="96" t="n"/>
      <x:c r="C178" s="96" t="n"/>
      <x:c r="D178" s="96" t="n"/>
      <x:c r="E178" s="97" t="n"/>
      <x:c r="F178" s="96" t="n"/>
      <x:c r="G178" s="96" t="n"/>
      <x:c r="H178" s="96" t="n"/>
      <x:c r="I178" s="96" t="n"/>
      <x:c r="J178" s="96" t="n"/>
      <x:c r="K178" s="96" t="n"/>
      <x:c r="L178" s="97" t="n"/>
      <x:c r="M178" s="96" t="n"/>
      <x:c r="N178" s="96" t="n"/>
      <x:c r="O178" s="11" t="n"/>
      <x:c r="P178" s="10" t="n"/>
      <x:c r="Q178" s="11" t="n"/>
      <x:c r="R178" s="10" t="n"/>
      <x:c r="S178" s="10" t="n"/>
      <x:c r="T178" s="10" t="n"/>
      <x:c r="U178" s="12" t="str">
        <x:f>IF($B178="","",IF(OR(AND($G178&lt;&gt;"оригинал",$G178&lt;&gt;"копия",$G178&lt;&gt;"скан",$G178&lt;&gt;"нет"),AND($J178&lt;&gt;"да",$J178&lt;&gt;"нет")),"НЕ ПРОВЕРЕНО: наличие или обязательность",IF(AND($N178="да",OR($O178="",$M178="")),"передан без следа: эксперт или дата",IF(AND($P178="да",$Q178=""),"НЕ ПРОВЕРЕНО: дата запроса",IF($B178="","",IF(AND($J178="да",$G178="нет",$P178&lt;&gt;"да"),"дыра: обязательного документа нет, запрос не направлен",IF(AND($G178="нет",$P178="да",$R178&lt;&gt;"да"),"запрошен, не получен",IF(AND($G178="нет",$J178&lt;&gt;"да"),"отсутствует, на причину не влияет",IF(AND(OR($K178="да",$N178="да"),$M178=""),"передан без следа",IF(AND($K178="да",$L178=""),"передан без следа","в порядке"))))))))))</x:f>
      </x:c>
    </x:row>
    <x:row r="179">
      <x:c r="A179" s="95" t="str">
        <x:f>IF($B179="","",ROW()-6)</x:f>
      </x:c>
      <x:c r="B179" s="96" t="n"/>
      <x:c r="C179" s="96" t="n"/>
      <x:c r="D179" s="96" t="n"/>
      <x:c r="E179" s="97" t="n"/>
      <x:c r="F179" s="96" t="n"/>
      <x:c r="G179" s="96" t="n"/>
      <x:c r="H179" s="96" t="n"/>
      <x:c r="I179" s="96" t="n"/>
      <x:c r="J179" s="96" t="n"/>
      <x:c r="K179" s="96" t="n"/>
      <x:c r="L179" s="97" t="n"/>
      <x:c r="M179" s="96" t="n"/>
      <x:c r="N179" s="96" t="n"/>
      <x:c r="O179" s="11" t="n"/>
      <x:c r="P179" s="10" t="n"/>
      <x:c r="Q179" s="11" t="n"/>
      <x:c r="R179" s="10" t="n"/>
      <x:c r="S179" s="10" t="n"/>
      <x:c r="T179" s="10" t="n"/>
      <x:c r="U179" s="12" t="str">
        <x:f>IF($B179="","",IF(OR(AND($G179&lt;&gt;"оригинал",$G179&lt;&gt;"копия",$G179&lt;&gt;"скан",$G179&lt;&gt;"нет"),AND($J179&lt;&gt;"да",$J179&lt;&gt;"нет")),"НЕ ПРОВЕРЕНО: наличие или обязательность",IF(AND($N179="да",OR($O179="",$M179="")),"передан без следа: эксперт или дата",IF(AND($P179="да",$Q179=""),"НЕ ПРОВЕРЕНО: дата запроса",IF($B179="","",IF(AND($J179="да",$G179="нет",$P179&lt;&gt;"да"),"дыра: обязательного документа нет, запрос не направлен",IF(AND($G179="нет",$P179="да",$R179&lt;&gt;"да"),"запрошен, не получен",IF(AND($G179="нет",$J179&lt;&gt;"да"),"отсутствует, на причину не влияет",IF(AND(OR($K179="да",$N179="да"),$M179=""),"передан без следа",IF(AND($K179="да",$L179=""),"передан без следа","в порядке"))))))))))</x:f>
      </x:c>
    </x:row>
    <x:row r="180">
      <x:c r="A180" s="95" t="str">
        <x:f>IF($B180="","",ROW()-6)</x:f>
      </x:c>
      <x:c r="B180" s="96" t="n"/>
      <x:c r="C180" s="96" t="n"/>
      <x:c r="D180" s="96" t="n"/>
      <x:c r="E180" s="97" t="n"/>
      <x:c r="F180" s="96" t="n"/>
      <x:c r="G180" s="96" t="n"/>
      <x:c r="H180" s="96" t="n"/>
      <x:c r="I180" s="96" t="n"/>
      <x:c r="J180" s="96" t="n"/>
      <x:c r="K180" s="96" t="n"/>
      <x:c r="L180" s="97" t="n"/>
      <x:c r="M180" s="96" t="n"/>
      <x:c r="N180" s="96" t="n"/>
      <x:c r="O180" s="11" t="n"/>
      <x:c r="P180" s="10" t="n"/>
      <x:c r="Q180" s="11" t="n"/>
      <x:c r="R180" s="10" t="n"/>
      <x:c r="S180" s="10" t="n"/>
      <x:c r="T180" s="10" t="n"/>
      <x:c r="U180" s="12" t="str">
        <x:f>IF($B180="","",IF(OR(AND($G180&lt;&gt;"оригинал",$G180&lt;&gt;"копия",$G180&lt;&gt;"скан",$G180&lt;&gt;"нет"),AND($J180&lt;&gt;"да",$J180&lt;&gt;"нет")),"НЕ ПРОВЕРЕНО: наличие или обязательность",IF(AND($N180="да",OR($O180="",$M180="")),"передан без следа: эксперт или дата",IF(AND($P180="да",$Q180=""),"НЕ ПРОВЕРЕНО: дата запроса",IF($B180="","",IF(AND($J180="да",$G180="нет",$P180&lt;&gt;"да"),"дыра: обязательного документа нет, запрос не направлен",IF(AND($G180="нет",$P180="да",$R180&lt;&gt;"да"),"запрошен, не получен",IF(AND($G180="нет",$J180&lt;&gt;"да"),"отсутствует, на причину не влияет",IF(AND(OR($K180="да",$N180="да"),$M180=""),"передан без следа",IF(AND($K180="да",$L180=""),"передан без следа","в порядке"))))))))))</x:f>
      </x:c>
    </x:row>
    <x:row r="181">
      <x:c r="A181" s="95" t="str">
        <x:f>IF($B181="","",ROW()-6)</x:f>
      </x:c>
      <x:c r="B181" s="96" t="n"/>
      <x:c r="C181" s="96" t="n"/>
      <x:c r="D181" s="96" t="n"/>
      <x:c r="E181" s="97" t="n"/>
      <x:c r="F181" s="96" t="n"/>
      <x:c r="G181" s="96" t="n"/>
      <x:c r="H181" s="96" t="n"/>
      <x:c r="I181" s="96" t="n"/>
      <x:c r="J181" s="96" t="n"/>
      <x:c r="K181" s="96" t="n"/>
      <x:c r="L181" s="97" t="n"/>
      <x:c r="M181" s="96" t="n"/>
      <x:c r="N181" s="96" t="n"/>
      <x:c r="O181" s="11" t="n"/>
      <x:c r="P181" s="10" t="n"/>
      <x:c r="Q181" s="11" t="n"/>
      <x:c r="R181" s="10" t="n"/>
      <x:c r="S181" s="10" t="n"/>
      <x:c r="T181" s="10" t="n"/>
      <x:c r="U181" s="12" t="str">
        <x:f>IF($B181="","",IF(OR(AND($G181&lt;&gt;"оригинал",$G181&lt;&gt;"копия",$G181&lt;&gt;"скан",$G181&lt;&gt;"нет"),AND($J181&lt;&gt;"да",$J181&lt;&gt;"нет")),"НЕ ПРОВЕРЕНО: наличие или обязательность",IF(AND($N181="да",OR($O181="",$M181="")),"передан без следа: эксперт или дата",IF(AND($P181="да",$Q181=""),"НЕ ПРОВЕРЕНО: дата запроса",IF($B181="","",IF(AND($J181="да",$G181="нет",$P181&lt;&gt;"да"),"дыра: обязательного документа нет, запрос не направлен",IF(AND($G181="нет",$P181="да",$R181&lt;&gt;"да"),"запрошен, не получен",IF(AND($G181="нет",$J181&lt;&gt;"да"),"отсутствует, на причину не влияет",IF(AND(OR($K181="да",$N181="да"),$M181=""),"передан без следа",IF(AND($K181="да",$L181=""),"передан без следа","в порядке"))))))))))</x:f>
      </x:c>
    </x:row>
    <x:row r="182">
      <x:c r="A182" s="95" t="str">
        <x:f>IF($B182="","",ROW()-6)</x:f>
      </x:c>
      <x:c r="B182" s="96" t="n"/>
      <x:c r="C182" s="96" t="n"/>
      <x:c r="D182" s="96" t="n"/>
      <x:c r="E182" s="97" t="n"/>
      <x:c r="F182" s="96" t="n"/>
      <x:c r="G182" s="96" t="n"/>
      <x:c r="H182" s="96" t="n"/>
      <x:c r="I182" s="96" t="n"/>
      <x:c r="J182" s="96" t="n"/>
      <x:c r="K182" s="96" t="n"/>
      <x:c r="L182" s="97" t="n"/>
      <x:c r="M182" s="96" t="n"/>
      <x:c r="N182" s="96" t="n"/>
      <x:c r="O182" s="11" t="n"/>
      <x:c r="P182" s="10" t="n"/>
      <x:c r="Q182" s="11" t="n"/>
      <x:c r="R182" s="10" t="n"/>
      <x:c r="S182" s="10" t="n"/>
      <x:c r="T182" s="10" t="n"/>
      <x:c r="U182" s="12" t="str">
        <x:f>IF($B182="","",IF(OR(AND($G182&lt;&gt;"оригинал",$G182&lt;&gt;"копия",$G182&lt;&gt;"скан",$G182&lt;&gt;"нет"),AND($J182&lt;&gt;"да",$J182&lt;&gt;"нет")),"НЕ ПРОВЕРЕНО: наличие или обязательность",IF(AND($N182="да",OR($O182="",$M182="")),"передан без следа: эксперт или дата",IF(AND($P182="да",$Q182=""),"НЕ ПРОВЕРЕНО: дата запроса",IF($B182="","",IF(AND($J182="да",$G182="нет",$P182&lt;&gt;"да"),"дыра: обязательного документа нет, запрос не направлен",IF(AND($G182="нет",$P182="да",$R182&lt;&gt;"да"),"запрошен, не получен",IF(AND($G182="нет",$J182&lt;&gt;"да"),"отсутствует, на причину не влияет",IF(AND(OR($K182="да",$N182="да"),$M182=""),"передан без следа",IF(AND($K182="да",$L182=""),"передан без следа","в порядке"))))))))))</x:f>
      </x:c>
    </x:row>
    <x:row r="183">
      <x:c r="A183" s="95" t="str">
        <x:f>IF($B183="","",ROW()-6)</x:f>
      </x:c>
      <x:c r="B183" s="96" t="n"/>
      <x:c r="C183" s="96" t="n"/>
      <x:c r="D183" s="96" t="n"/>
      <x:c r="E183" s="97" t="n"/>
      <x:c r="F183" s="96" t="n"/>
      <x:c r="G183" s="96" t="n"/>
      <x:c r="H183" s="96" t="n"/>
      <x:c r="I183" s="96" t="n"/>
      <x:c r="J183" s="96" t="n"/>
      <x:c r="K183" s="96" t="n"/>
      <x:c r="L183" s="97" t="n"/>
      <x:c r="M183" s="96" t="n"/>
      <x:c r="N183" s="96" t="n"/>
      <x:c r="O183" s="11" t="n"/>
      <x:c r="P183" s="10" t="n"/>
      <x:c r="Q183" s="11" t="n"/>
      <x:c r="R183" s="10" t="n"/>
      <x:c r="S183" s="10" t="n"/>
      <x:c r="T183" s="10" t="n"/>
      <x:c r="U183" s="12" t="str">
        <x:f>IF($B183="","",IF(OR(AND($G183&lt;&gt;"оригинал",$G183&lt;&gt;"копия",$G183&lt;&gt;"скан",$G183&lt;&gt;"нет"),AND($J183&lt;&gt;"да",$J183&lt;&gt;"нет")),"НЕ ПРОВЕРЕНО: наличие или обязательность",IF(AND($N183="да",OR($O183="",$M183="")),"передан без следа: эксперт или дата",IF(AND($P183="да",$Q183=""),"НЕ ПРОВЕРЕНО: дата запроса",IF($B183="","",IF(AND($J183="да",$G183="нет",$P183&lt;&gt;"да"),"дыра: обязательного документа нет, запрос не направлен",IF(AND($G183="нет",$P183="да",$R183&lt;&gt;"да"),"запрошен, не получен",IF(AND($G183="нет",$J183&lt;&gt;"да"),"отсутствует, на причину не влияет",IF(AND(OR($K183="да",$N183="да"),$M183=""),"передан без следа",IF(AND($K183="да",$L183=""),"передан без следа","в порядке"))))))))))</x:f>
      </x:c>
    </x:row>
    <x:row r="184">
      <x:c r="A184" s="95" t="str">
        <x:f>IF($B184="","",ROW()-6)</x:f>
      </x:c>
      <x:c r="B184" s="96" t="n"/>
      <x:c r="C184" s="96" t="n"/>
      <x:c r="D184" s="96" t="n"/>
      <x:c r="E184" s="97" t="n"/>
      <x:c r="F184" s="96" t="n"/>
      <x:c r="G184" s="96" t="n"/>
      <x:c r="H184" s="96" t="n"/>
      <x:c r="I184" s="96" t="n"/>
      <x:c r="J184" s="96" t="n"/>
      <x:c r="K184" s="96" t="n"/>
      <x:c r="L184" s="97" t="n"/>
      <x:c r="M184" s="96" t="n"/>
      <x:c r="N184" s="96" t="n"/>
      <x:c r="O184" s="11" t="n"/>
      <x:c r="P184" s="10" t="n"/>
      <x:c r="Q184" s="11" t="n"/>
      <x:c r="R184" s="10" t="n"/>
      <x:c r="S184" s="10" t="n"/>
      <x:c r="T184" s="10" t="n"/>
      <x:c r="U184" s="12" t="str">
        <x:f>IF($B184="","",IF(OR(AND($G184&lt;&gt;"оригинал",$G184&lt;&gt;"копия",$G184&lt;&gt;"скан",$G184&lt;&gt;"нет"),AND($J184&lt;&gt;"да",$J184&lt;&gt;"нет")),"НЕ ПРОВЕРЕНО: наличие или обязательность",IF(AND($N184="да",OR($O184="",$M184="")),"передан без следа: эксперт или дата",IF(AND($P184="да",$Q184=""),"НЕ ПРОВЕРЕНО: дата запроса",IF($B184="","",IF(AND($J184="да",$G184="нет",$P184&lt;&gt;"да"),"дыра: обязательного документа нет, запрос не направлен",IF(AND($G184="нет",$P184="да",$R184&lt;&gt;"да"),"запрошен, не получен",IF(AND($G184="нет",$J184&lt;&gt;"да"),"отсутствует, на причину не влияет",IF(AND(OR($K184="да",$N184="да"),$M184=""),"передан без следа",IF(AND($K184="да",$L184=""),"передан без следа","в порядке"))))))))))</x:f>
      </x:c>
    </x:row>
    <x:row r="185">
      <x:c r="A185" s="95" t="str">
        <x:f>IF($B185="","",ROW()-6)</x:f>
      </x:c>
      <x:c r="B185" s="96" t="n"/>
      <x:c r="C185" s="96" t="n"/>
      <x:c r="D185" s="96" t="n"/>
      <x:c r="E185" s="97" t="n"/>
      <x:c r="F185" s="96" t="n"/>
      <x:c r="G185" s="96" t="n"/>
      <x:c r="H185" s="96" t="n"/>
      <x:c r="I185" s="96" t="n"/>
      <x:c r="J185" s="96" t="n"/>
      <x:c r="K185" s="96" t="n"/>
      <x:c r="L185" s="97" t="n"/>
      <x:c r="M185" s="96" t="n"/>
      <x:c r="N185" s="96" t="n"/>
      <x:c r="O185" s="11" t="n"/>
      <x:c r="P185" s="10" t="n"/>
      <x:c r="Q185" s="11" t="n"/>
      <x:c r="R185" s="10" t="n"/>
      <x:c r="S185" s="10" t="n"/>
      <x:c r="T185" s="10" t="n"/>
      <x:c r="U185" s="12" t="str">
        <x:f>IF($B185="","",IF(OR(AND($G185&lt;&gt;"оригинал",$G185&lt;&gt;"копия",$G185&lt;&gt;"скан",$G185&lt;&gt;"нет"),AND($J185&lt;&gt;"да",$J185&lt;&gt;"нет")),"НЕ ПРОВЕРЕНО: наличие или обязательность",IF(AND($N185="да",OR($O185="",$M185="")),"передан без следа: эксперт или дата",IF(AND($P185="да",$Q185=""),"НЕ ПРОВЕРЕНО: дата запроса",IF($B185="","",IF(AND($J185="да",$G185="нет",$P185&lt;&gt;"да"),"дыра: обязательного документа нет, запрос не направлен",IF(AND($G185="нет",$P185="да",$R185&lt;&gt;"да"),"запрошен, не получен",IF(AND($G185="нет",$J185&lt;&gt;"да"),"отсутствует, на причину не влияет",IF(AND(OR($K185="да",$N185="да"),$M185=""),"передан без следа",IF(AND($K185="да",$L185=""),"передан без следа","в порядке"))))))))))</x:f>
      </x:c>
    </x:row>
    <x:row r="186">
      <x:c r="A186" s="95" t="str">
        <x:f>IF($B186="","",ROW()-6)</x:f>
      </x:c>
      <x:c r="B186" s="96" t="n"/>
      <x:c r="C186" s="96" t="n"/>
      <x:c r="D186" s="96" t="n"/>
      <x:c r="E186" s="97" t="n"/>
      <x:c r="F186" s="96" t="n"/>
      <x:c r="G186" s="96" t="n"/>
      <x:c r="H186" s="96" t="n"/>
      <x:c r="I186" s="96" t="n"/>
      <x:c r="J186" s="96" t="n"/>
      <x:c r="K186" s="96" t="n"/>
      <x:c r="L186" s="97" t="n"/>
      <x:c r="M186" s="96" t="n"/>
      <x:c r="N186" s="96" t="n"/>
      <x:c r="O186" s="11" t="n"/>
      <x:c r="P186" s="10" t="n"/>
      <x:c r="Q186" s="11" t="n"/>
      <x:c r="R186" s="10" t="n"/>
      <x:c r="S186" s="10" t="n"/>
      <x:c r="T186" s="10" t="n"/>
      <x:c r="U186" s="12" t="str">
        <x:f>IF($B186="","",IF(OR(AND($G186&lt;&gt;"оригинал",$G186&lt;&gt;"копия",$G186&lt;&gt;"скан",$G186&lt;&gt;"нет"),AND($J186&lt;&gt;"да",$J186&lt;&gt;"нет")),"НЕ ПРОВЕРЕНО: наличие или обязательность",IF(AND($N186="да",OR($O186="",$M186="")),"передан без следа: эксперт или дата",IF(AND($P186="да",$Q186=""),"НЕ ПРОВЕРЕНО: дата запроса",IF($B186="","",IF(AND($J186="да",$G186="нет",$P186&lt;&gt;"да"),"дыра: обязательного документа нет, запрос не направлен",IF(AND($G186="нет",$P186="да",$R186&lt;&gt;"да"),"запрошен, не получен",IF(AND($G186="нет",$J186&lt;&gt;"да"),"отсутствует, на причину не влияет",IF(AND(OR($K186="да",$N186="да"),$M186=""),"передан без следа",IF(AND($K186="да",$L186=""),"передан без следа","в порядке"))))))))))</x:f>
      </x:c>
    </x:row>
    <x:row r="187">
      <x:c r="A187" s="95" t="str">
        <x:f>IF($B187="","",ROW()-6)</x:f>
      </x:c>
      <x:c r="B187" s="96" t="n"/>
      <x:c r="C187" s="96" t="n"/>
      <x:c r="D187" s="96" t="n"/>
      <x:c r="E187" s="97" t="n"/>
      <x:c r="F187" s="96" t="n"/>
      <x:c r="G187" s="96" t="n"/>
      <x:c r="H187" s="96" t="n"/>
      <x:c r="I187" s="96" t="n"/>
      <x:c r="J187" s="96" t="n"/>
      <x:c r="K187" s="96" t="n"/>
      <x:c r="L187" s="97" t="n"/>
      <x:c r="M187" s="96" t="n"/>
      <x:c r="N187" s="96" t="n"/>
      <x:c r="O187" s="11" t="n"/>
      <x:c r="P187" s="10" t="n"/>
      <x:c r="Q187" s="11" t="n"/>
      <x:c r="R187" s="10" t="n"/>
      <x:c r="S187" s="10" t="n"/>
      <x:c r="T187" s="10" t="n"/>
      <x:c r="U187" s="12" t="str">
        <x:f>IF($B187="","",IF(OR(AND($G187&lt;&gt;"оригинал",$G187&lt;&gt;"копия",$G187&lt;&gt;"скан",$G187&lt;&gt;"нет"),AND($J187&lt;&gt;"да",$J187&lt;&gt;"нет")),"НЕ ПРОВЕРЕНО: наличие или обязательность",IF(AND($N187="да",OR($O187="",$M187="")),"передан без следа: эксперт или дата",IF(AND($P187="да",$Q187=""),"НЕ ПРОВЕРЕНО: дата запроса",IF($B187="","",IF(AND($J187="да",$G187="нет",$P187&lt;&gt;"да"),"дыра: обязательного документа нет, запрос не направлен",IF(AND($G187="нет",$P187="да",$R187&lt;&gt;"да"),"запрошен, не получен",IF(AND($G187="нет",$J187&lt;&gt;"да"),"отсутствует, на причину не влияет",IF(AND(OR($K187="да",$N187="да"),$M187=""),"передан без следа",IF(AND($K187="да",$L187=""),"передан без следа","в порядке"))))))))))</x:f>
      </x:c>
    </x:row>
    <x:row r="188">
      <x:c r="A188" s="95" t="str">
        <x:f>IF($B188="","",ROW()-6)</x:f>
      </x:c>
      <x:c r="B188" s="96" t="n"/>
      <x:c r="C188" s="96" t="n"/>
      <x:c r="D188" s="96" t="n"/>
      <x:c r="E188" s="97" t="n"/>
      <x:c r="F188" s="96" t="n"/>
      <x:c r="G188" s="96" t="n"/>
      <x:c r="H188" s="96" t="n"/>
      <x:c r="I188" s="96" t="n"/>
      <x:c r="J188" s="96" t="n"/>
      <x:c r="K188" s="96" t="n"/>
      <x:c r="L188" s="97" t="n"/>
      <x:c r="M188" s="96" t="n"/>
      <x:c r="N188" s="96" t="n"/>
      <x:c r="O188" s="11" t="n"/>
      <x:c r="P188" s="10" t="n"/>
      <x:c r="Q188" s="11" t="n"/>
      <x:c r="R188" s="10" t="n"/>
      <x:c r="S188" s="10" t="n"/>
      <x:c r="T188" s="10" t="n"/>
      <x:c r="U188" s="12" t="str">
        <x:f>IF($B188="","",IF(OR(AND($G188&lt;&gt;"оригинал",$G188&lt;&gt;"копия",$G188&lt;&gt;"скан",$G188&lt;&gt;"нет"),AND($J188&lt;&gt;"да",$J188&lt;&gt;"нет")),"НЕ ПРОВЕРЕНО: наличие или обязательность",IF(AND($N188="да",OR($O188="",$M188="")),"передан без следа: эксперт или дата",IF(AND($P188="да",$Q188=""),"НЕ ПРОВЕРЕНО: дата запроса",IF($B188="","",IF(AND($J188="да",$G188="нет",$P188&lt;&gt;"да"),"дыра: обязательного документа нет, запрос не направлен",IF(AND($G188="нет",$P188="да",$R188&lt;&gt;"да"),"запрошен, не получен",IF(AND($G188="нет",$J188&lt;&gt;"да"),"отсутствует, на причину не влияет",IF(AND(OR($K188="да",$N188="да"),$M188=""),"передан без следа",IF(AND($K188="да",$L188=""),"передан без следа","в порядке"))))))))))</x:f>
      </x:c>
    </x:row>
    <x:row r="189">
      <x:c r="A189" s="95" t="str">
        <x:f>IF($B189="","",ROW()-6)</x:f>
      </x:c>
      <x:c r="B189" s="96" t="n"/>
      <x:c r="C189" s="96" t="n"/>
      <x:c r="D189" s="96" t="n"/>
      <x:c r="E189" s="97" t="n"/>
      <x:c r="F189" s="96" t="n"/>
      <x:c r="G189" s="96" t="n"/>
      <x:c r="H189" s="96" t="n"/>
      <x:c r="I189" s="96" t="n"/>
      <x:c r="J189" s="96" t="n"/>
      <x:c r="K189" s="96" t="n"/>
      <x:c r="L189" s="97" t="n"/>
      <x:c r="M189" s="96" t="n"/>
      <x:c r="N189" s="96" t="n"/>
      <x:c r="O189" s="11" t="n"/>
      <x:c r="P189" s="10" t="n"/>
      <x:c r="Q189" s="11" t="n"/>
      <x:c r="R189" s="10" t="n"/>
      <x:c r="S189" s="10" t="n"/>
      <x:c r="T189" s="10" t="n"/>
      <x:c r="U189" s="12" t="str">
        <x:f>IF($B189="","",IF(OR(AND($G189&lt;&gt;"оригинал",$G189&lt;&gt;"копия",$G189&lt;&gt;"скан",$G189&lt;&gt;"нет"),AND($J189&lt;&gt;"да",$J189&lt;&gt;"нет")),"НЕ ПРОВЕРЕНО: наличие или обязательность",IF(AND($N189="да",OR($O189="",$M189="")),"передан без следа: эксперт или дата",IF(AND($P189="да",$Q189=""),"НЕ ПРОВЕРЕНО: дата запроса",IF($B189="","",IF(AND($J189="да",$G189="нет",$P189&lt;&gt;"да"),"дыра: обязательного документа нет, запрос не направлен",IF(AND($G189="нет",$P189="да",$R189&lt;&gt;"да"),"запрошен, не получен",IF(AND($G189="нет",$J189&lt;&gt;"да"),"отсутствует, на причину не влияет",IF(AND(OR($K189="да",$N189="да"),$M189=""),"передан без следа",IF(AND($K189="да",$L189=""),"передан без следа","в порядке"))))))))))</x:f>
      </x:c>
    </x:row>
    <x:row r="190">
      <x:c r="A190" s="95" t="str">
        <x:f>IF($B190="","",ROW()-6)</x:f>
      </x:c>
      <x:c r="B190" s="96" t="n"/>
      <x:c r="C190" s="96" t="n"/>
      <x:c r="D190" s="96" t="n"/>
      <x:c r="E190" s="97" t="n"/>
      <x:c r="F190" s="96" t="n"/>
      <x:c r="G190" s="96" t="n"/>
      <x:c r="H190" s="96" t="n"/>
      <x:c r="I190" s="96" t="n"/>
      <x:c r="J190" s="96" t="n"/>
      <x:c r="K190" s="96" t="n"/>
      <x:c r="L190" s="97" t="n"/>
      <x:c r="M190" s="96" t="n"/>
      <x:c r="N190" s="96" t="n"/>
      <x:c r="O190" s="11" t="n"/>
      <x:c r="P190" s="10" t="n"/>
      <x:c r="Q190" s="11" t="n"/>
      <x:c r="R190" s="10" t="n"/>
      <x:c r="S190" s="10" t="n"/>
      <x:c r="T190" s="10" t="n"/>
      <x:c r="U190" s="12" t="str">
        <x:f>IF($B190="","",IF(OR(AND($G190&lt;&gt;"оригинал",$G190&lt;&gt;"копия",$G190&lt;&gt;"скан",$G190&lt;&gt;"нет"),AND($J190&lt;&gt;"да",$J190&lt;&gt;"нет")),"НЕ ПРОВЕРЕНО: наличие или обязательность",IF(AND($N190="да",OR($O190="",$M190="")),"передан без следа: эксперт или дата",IF(AND($P190="да",$Q190=""),"НЕ ПРОВЕРЕНО: дата запроса",IF($B190="","",IF(AND($J190="да",$G190="нет",$P190&lt;&gt;"да"),"дыра: обязательного документа нет, запрос не направлен",IF(AND($G190="нет",$P190="да",$R190&lt;&gt;"да"),"запрошен, не получен",IF(AND($G190="нет",$J190&lt;&gt;"да"),"отсутствует, на причину не влияет",IF(AND(OR($K190="да",$N190="да"),$M190=""),"передан без следа",IF(AND($K190="да",$L190=""),"передан без следа","в порядке"))))))))))</x:f>
      </x:c>
    </x:row>
    <x:row r="191">
      <x:c r="A191" s="95" t="str">
        <x:f>IF($B191="","",ROW()-6)</x:f>
      </x:c>
      <x:c r="B191" s="96" t="n"/>
      <x:c r="C191" s="96" t="n"/>
      <x:c r="D191" s="96" t="n"/>
      <x:c r="E191" s="97" t="n"/>
      <x:c r="F191" s="96" t="n"/>
      <x:c r="G191" s="96" t="n"/>
      <x:c r="H191" s="96" t="n"/>
      <x:c r="I191" s="96" t="n"/>
      <x:c r="J191" s="96" t="n"/>
      <x:c r="K191" s="96" t="n"/>
      <x:c r="L191" s="97" t="n"/>
      <x:c r="M191" s="96" t="n"/>
      <x:c r="N191" s="96" t="n"/>
      <x:c r="O191" s="11" t="n"/>
      <x:c r="P191" s="10" t="n"/>
      <x:c r="Q191" s="11" t="n"/>
      <x:c r="R191" s="10" t="n"/>
      <x:c r="S191" s="10" t="n"/>
      <x:c r="T191" s="10" t="n"/>
      <x:c r="U191" s="12" t="str">
        <x:f>IF($B191="","",IF(OR(AND($G191&lt;&gt;"оригинал",$G191&lt;&gt;"копия",$G191&lt;&gt;"скан",$G191&lt;&gt;"нет"),AND($J191&lt;&gt;"да",$J191&lt;&gt;"нет")),"НЕ ПРОВЕРЕНО: наличие или обязательность",IF(AND($N191="да",OR($O191="",$M191="")),"передан без следа: эксперт или дата",IF(AND($P191="да",$Q191=""),"НЕ ПРОВЕРЕНО: дата запроса",IF($B191="","",IF(AND($J191="да",$G191="нет",$P191&lt;&gt;"да"),"дыра: обязательного документа нет, запрос не направлен",IF(AND($G191="нет",$P191="да",$R191&lt;&gt;"да"),"запрошен, не получен",IF(AND($G191="нет",$J191&lt;&gt;"да"),"отсутствует, на причину не влияет",IF(AND(OR($K191="да",$N191="да"),$M191=""),"передан без следа",IF(AND($K191="да",$L191=""),"передан без следа","в порядке"))))))))))</x:f>
      </x:c>
    </x:row>
    <x:row r="192">
      <x:c r="A192" s="95" t="str">
        <x:f>IF($B192="","",ROW()-6)</x:f>
      </x:c>
      <x:c r="B192" s="96" t="n"/>
      <x:c r="C192" s="96" t="n"/>
      <x:c r="D192" s="96" t="n"/>
      <x:c r="E192" s="97" t="n"/>
      <x:c r="F192" s="96" t="n"/>
      <x:c r="G192" s="96" t="n"/>
      <x:c r="H192" s="96" t="n"/>
      <x:c r="I192" s="96" t="n"/>
      <x:c r="J192" s="96" t="n"/>
      <x:c r="K192" s="96" t="n"/>
      <x:c r="L192" s="97" t="n"/>
      <x:c r="M192" s="96" t="n"/>
      <x:c r="N192" s="96" t="n"/>
      <x:c r="O192" s="11" t="n"/>
      <x:c r="P192" s="10" t="n"/>
      <x:c r="Q192" s="11" t="n"/>
      <x:c r="R192" s="10" t="n"/>
      <x:c r="S192" s="10" t="n"/>
      <x:c r="T192" s="10" t="n"/>
      <x:c r="U192" s="12" t="str">
        <x:f>IF($B192="","",IF(OR(AND($G192&lt;&gt;"оригинал",$G192&lt;&gt;"копия",$G192&lt;&gt;"скан",$G192&lt;&gt;"нет"),AND($J192&lt;&gt;"да",$J192&lt;&gt;"нет")),"НЕ ПРОВЕРЕНО: наличие или обязательность",IF(AND($N192="да",OR($O192="",$M192="")),"передан без следа: эксперт или дата",IF(AND($P192="да",$Q192=""),"НЕ ПРОВЕРЕНО: дата запроса",IF($B192="","",IF(AND($J192="да",$G192="нет",$P192&lt;&gt;"да"),"дыра: обязательного документа нет, запрос не направлен",IF(AND($G192="нет",$P192="да",$R192&lt;&gt;"да"),"запрошен, не получен",IF(AND($G192="нет",$J192&lt;&gt;"да"),"отсутствует, на причину не влияет",IF(AND(OR($K192="да",$N192="да"),$M192=""),"передан без следа",IF(AND($K192="да",$L192=""),"передан без следа","в порядке"))))))))))</x:f>
      </x:c>
    </x:row>
    <x:row r="193">
      <x:c r="A193" s="95" t="str">
        <x:f>IF($B193="","",ROW()-6)</x:f>
      </x:c>
      <x:c r="B193" s="96" t="n"/>
      <x:c r="C193" s="96" t="n"/>
      <x:c r="D193" s="96" t="n"/>
      <x:c r="E193" s="97" t="n"/>
      <x:c r="F193" s="96" t="n"/>
      <x:c r="G193" s="96" t="n"/>
      <x:c r="H193" s="96" t="n"/>
      <x:c r="I193" s="96" t="n"/>
      <x:c r="J193" s="96" t="n"/>
      <x:c r="K193" s="96" t="n"/>
      <x:c r="L193" s="97" t="n"/>
      <x:c r="M193" s="96" t="n"/>
      <x:c r="N193" s="96" t="n"/>
      <x:c r="O193" s="11" t="n"/>
      <x:c r="P193" s="10" t="n"/>
      <x:c r="Q193" s="11" t="n"/>
      <x:c r="R193" s="10" t="n"/>
      <x:c r="S193" s="10" t="n"/>
      <x:c r="T193" s="10" t="n"/>
      <x:c r="U193" s="12" t="str">
        <x:f>IF($B193="","",IF(OR(AND($G193&lt;&gt;"оригинал",$G193&lt;&gt;"копия",$G193&lt;&gt;"скан",$G193&lt;&gt;"нет"),AND($J193&lt;&gt;"да",$J193&lt;&gt;"нет")),"НЕ ПРОВЕРЕНО: наличие или обязательность",IF(AND($N193="да",OR($O193="",$M193="")),"передан без следа: эксперт или дата",IF(AND($P193="да",$Q193=""),"НЕ ПРОВЕРЕНО: дата запроса",IF($B193="","",IF(AND($J193="да",$G193="нет",$P193&lt;&gt;"да"),"дыра: обязательного документа нет, запрос не направлен",IF(AND($G193="нет",$P193="да",$R193&lt;&gt;"да"),"запрошен, не получен",IF(AND($G193="нет",$J193&lt;&gt;"да"),"отсутствует, на причину не влияет",IF(AND(OR($K193="да",$N193="да"),$M193=""),"передан без следа",IF(AND($K193="да",$L193=""),"передан без следа","в порядке"))))))))))</x:f>
      </x:c>
    </x:row>
    <x:row r="194">
      <x:c r="A194" s="95" t="str">
        <x:f>IF($B194="","",ROW()-6)</x:f>
      </x:c>
      <x:c r="B194" s="96" t="n"/>
      <x:c r="C194" s="96" t="n"/>
      <x:c r="D194" s="96" t="n"/>
      <x:c r="E194" s="97" t="n"/>
      <x:c r="F194" s="96" t="n"/>
      <x:c r="G194" s="96" t="n"/>
      <x:c r="H194" s="96" t="n"/>
      <x:c r="I194" s="96" t="n"/>
      <x:c r="J194" s="96" t="n"/>
      <x:c r="K194" s="96" t="n"/>
      <x:c r="L194" s="97" t="n"/>
      <x:c r="M194" s="96" t="n"/>
      <x:c r="N194" s="96" t="n"/>
      <x:c r="O194" s="11" t="n"/>
      <x:c r="P194" s="10" t="n"/>
      <x:c r="Q194" s="11" t="n"/>
      <x:c r="R194" s="10" t="n"/>
      <x:c r="S194" s="10" t="n"/>
      <x:c r="T194" s="10" t="n"/>
      <x:c r="U194" s="12" t="str">
        <x:f>IF($B194="","",IF(OR(AND($G194&lt;&gt;"оригинал",$G194&lt;&gt;"копия",$G194&lt;&gt;"скан",$G194&lt;&gt;"нет"),AND($J194&lt;&gt;"да",$J194&lt;&gt;"нет")),"НЕ ПРОВЕРЕНО: наличие или обязательность",IF(AND($N194="да",OR($O194="",$M194="")),"передан без следа: эксперт или дата",IF(AND($P194="да",$Q194=""),"НЕ ПРОВЕРЕНО: дата запроса",IF($B194="","",IF(AND($J194="да",$G194="нет",$P194&lt;&gt;"да"),"дыра: обязательного документа нет, запрос не направлен",IF(AND($G194="нет",$P194="да",$R194&lt;&gt;"да"),"запрошен, не получен",IF(AND($G194="нет",$J194&lt;&gt;"да"),"отсутствует, на причину не влияет",IF(AND(OR($K194="да",$N194="да"),$M194=""),"передан без следа",IF(AND($K194="да",$L194=""),"передан без следа","в порядке"))))))))))</x:f>
      </x:c>
    </x:row>
    <x:row r="195">
      <x:c r="A195" s="95" t="str">
        <x:f>IF($B195="","",ROW()-6)</x:f>
      </x:c>
      <x:c r="B195" s="96" t="n"/>
      <x:c r="C195" s="96" t="n"/>
      <x:c r="D195" s="96" t="n"/>
      <x:c r="E195" s="97" t="n"/>
      <x:c r="F195" s="96" t="n"/>
      <x:c r="G195" s="96" t="n"/>
      <x:c r="H195" s="96" t="n"/>
      <x:c r="I195" s="96" t="n"/>
      <x:c r="J195" s="96" t="n"/>
      <x:c r="K195" s="96" t="n"/>
      <x:c r="L195" s="97" t="n"/>
      <x:c r="M195" s="96" t="n"/>
      <x:c r="N195" s="96" t="n"/>
      <x:c r="O195" s="11" t="n"/>
      <x:c r="P195" s="10" t="n"/>
      <x:c r="Q195" s="11" t="n"/>
      <x:c r="R195" s="10" t="n"/>
      <x:c r="S195" s="10" t="n"/>
      <x:c r="T195" s="10" t="n"/>
      <x:c r="U195" s="12" t="str">
        <x:f>IF($B195="","",IF(OR(AND($G195&lt;&gt;"оригинал",$G195&lt;&gt;"копия",$G195&lt;&gt;"скан",$G195&lt;&gt;"нет"),AND($J195&lt;&gt;"да",$J195&lt;&gt;"нет")),"НЕ ПРОВЕРЕНО: наличие или обязательность",IF(AND($N195="да",OR($O195="",$M195="")),"передан без следа: эксперт или дата",IF(AND($P195="да",$Q195=""),"НЕ ПРОВЕРЕНО: дата запроса",IF($B195="","",IF(AND($J195="да",$G195="нет",$P195&lt;&gt;"да"),"дыра: обязательного документа нет, запрос не направлен",IF(AND($G195="нет",$P195="да",$R195&lt;&gt;"да"),"запрошен, не получен",IF(AND($G195="нет",$J195&lt;&gt;"да"),"отсутствует, на причину не влияет",IF(AND(OR($K195="да",$N195="да"),$M195=""),"передан без следа",IF(AND($K195="да",$L195=""),"передан без следа","в порядке"))))))))))</x:f>
      </x:c>
    </x:row>
    <x:row r="196">
      <x:c r="A196" s="95" t="str">
        <x:f>IF($B196="","",ROW()-6)</x:f>
      </x:c>
      <x:c r="B196" s="96" t="n"/>
      <x:c r="C196" s="96" t="n"/>
      <x:c r="D196" s="96" t="n"/>
      <x:c r="E196" s="97" t="n"/>
      <x:c r="F196" s="96" t="n"/>
      <x:c r="G196" s="96" t="n"/>
      <x:c r="H196" s="96" t="n"/>
      <x:c r="I196" s="96" t="n"/>
      <x:c r="J196" s="96" t="n"/>
      <x:c r="K196" s="96" t="n"/>
      <x:c r="L196" s="97" t="n"/>
      <x:c r="M196" s="96" t="n"/>
      <x:c r="N196" s="96" t="n"/>
      <x:c r="O196" s="11" t="n"/>
      <x:c r="P196" s="10" t="n"/>
      <x:c r="Q196" s="11" t="n"/>
      <x:c r="R196" s="10" t="n"/>
      <x:c r="S196" s="10" t="n"/>
      <x:c r="T196" s="10" t="n"/>
      <x:c r="U196" s="12" t="str">
        <x:f>IF($B196="","",IF(OR(AND($G196&lt;&gt;"оригинал",$G196&lt;&gt;"копия",$G196&lt;&gt;"скан",$G196&lt;&gt;"нет"),AND($J196&lt;&gt;"да",$J196&lt;&gt;"нет")),"НЕ ПРОВЕРЕНО: наличие или обязательность",IF(AND($N196="да",OR($O196="",$M196="")),"передан без следа: эксперт или дата",IF(AND($P196="да",$Q196=""),"НЕ ПРОВЕРЕНО: дата запроса",IF($B196="","",IF(AND($J196="да",$G196="нет",$P196&lt;&gt;"да"),"дыра: обязательного документа нет, запрос не направлен",IF(AND($G196="нет",$P196="да",$R196&lt;&gt;"да"),"запрошен, не получен",IF(AND($G196="нет",$J196&lt;&gt;"да"),"отсутствует, на причину не влияет",IF(AND(OR($K196="да",$N196="да"),$M196=""),"передан без следа",IF(AND($K196="да",$L196=""),"передан без следа","в порядке"))))))))))</x:f>
      </x:c>
    </x:row>
    <x:row r="197">
      <x:c r="A197" s="95" t="str">
        <x:f>IF($B197="","",ROW()-6)</x:f>
      </x:c>
      <x:c r="B197" s="96" t="n"/>
      <x:c r="C197" s="96" t="n"/>
      <x:c r="D197" s="96" t="n"/>
      <x:c r="E197" s="97" t="n"/>
      <x:c r="F197" s="96" t="n"/>
      <x:c r="G197" s="96" t="n"/>
      <x:c r="H197" s="96" t="n"/>
      <x:c r="I197" s="96" t="n"/>
      <x:c r="J197" s="96" t="n"/>
      <x:c r="K197" s="96" t="n"/>
      <x:c r="L197" s="97" t="n"/>
      <x:c r="M197" s="96" t="n"/>
      <x:c r="N197" s="96" t="n"/>
      <x:c r="O197" s="11" t="n"/>
      <x:c r="P197" s="10" t="n"/>
      <x:c r="Q197" s="11" t="n"/>
      <x:c r="R197" s="10" t="n"/>
      <x:c r="S197" s="10" t="n"/>
      <x:c r="T197" s="10" t="n"/>
      <x:c r="U197" s="12" t="str">
        <x:f>IF($B197="","",IF(OR(AND($G197&lt;&gt;"оригинал",$G197&lt;&gt;"копия",$G197&lt;&gt;"скан",$G197&lt;&gt;"нет"),AND($J197&lt;&gt;"да",$J197&lt;&gt;"нет")),"НЕ ПРОВЕРЕНО: наличие или обязательность",IF(AND($N197="да",OR($O197="",$M197="")),"передан без следа: эксперт или дата",IF(AND($P197="да",$Q197=""),"НЕ ПРОВЕРЕНО: дата запроса",IF($B197="","",IF(AND($J197="да",$G197="нет",$P197&lt;&gt;"да"),"дыра: обязательного документа нет, запрос не направлен",IF(AND($G197="нет",$P197="да",$R197&lt;&gt;"да"),"запрошен, не получен",IF(AND($G197="нет",$J197&lt;&gt;"да"),"отсутствует, на причину не влияет",IF(AND(OR($K197="да",$N197="да"),$M197=""),"передан без следа",IF(AND($K197="да",$L197=""),"передан без следа","в порядке"))))))))))</x:f>
      </x:c>
    </x:row>
    <x:row r="198">
      <x:c r="A198" s="95" t="str">
        <x:f>IF($B198="","",ROW()-6)</x:f>
      </x:c>
      <x:c r="B198" s="96" t="n"/>
      <x:c r="C198" s="96" t="n"/>
      <x:c r="D198" s="96" t="n"/>
      <x:c r="E198" s="97" t="n"/>
      <x:c r="F198" s="96" t="n"/>
      <x:c r="G198" s="96" t="n"/>
      <x:c r="H198" s="96" t="n"/>
      <x:c r="I198" s="96" t="n"/>
      <x:c r="J198" s="96" t="n"/>
      <x:c r="K198" s="96" t="n"/>
      <x:c r="L198" s="97" t="n"/>
      <x:c r="M198" s="96" t="n"/>
      <x:c r="N198" s="96" t="n"/>
      <x:c r="O198" s="11" t="n"/>
      <x:c r="P198" s="10" t="n"/>
      <x:c r="Q198" s="11" t="n"/>
      <x:c r="R198" s="10" t="n"/>
      <x:c r="S198" s="10" t="n"/>
      <x:c r="T198" s="10" t="n"/>
      <x:c r="U198" s="12" t="str">
        <x:f>IF($B198="","",IF(OR(AND($G198&lt;&gt;"оригинал",$G198&lt;&gt;"копия",$G198&lt;&gt;"скан",$G198&lt;&gt;"нет"),AND($J198&lt;&gt;"да",$J198&lt;&gt;"нет")),"НЕ ПРОВЕРЕНО: наличие или обязательность",IF(AND($N198="да",OR($O198="",$M198="")),"передан без следа: эксперт или дата",IF(AND($P198="да",$Q198=""),"НЕ ПРОВЕРЕНО: дата запроса",IF($B198="","",IF(AND($J198="да",$G198="нет",$P198&lt;&gt;"да"),"дыра: обязательного документа нет, запрос не направлен",IF(AND($G198="нет",$P198="да",$R198&lt;&gt;"да"),"запрошен, не получен",IF(AND($G198="нет",$J198&lt;&gt;"да"),"отсутствует, на причину не влияет",IF(AND(OR($K198="да",$N198="да"),$M198=""),"передан без следа",IF(AND($K198="да",$L198=""),"передан без следа","в порядке"))))))))))</x:f>
      </x:c>
    </x:row>
    <x:row r="199">
      <x:c r="A199" s="95" t="str">
        <x:f>IF($B199="","",ROW()-6)</x:f>
      </x:c>
      <x:c r="B199" s="96" t="n"/>
      <x:c r="C199" s="96" t="n"/>
      <x:c r="D199" s="96" t="n"/>
      <x:c r="E199" s="97" t="n"/>
      <x:c r="F199" s="96" t="n"/>
      <x:c r="G199" s="96" t="n"/>
      <x:c r="H199" s="96" t="n"/>
      <x:c r="I199" s="96" t="n"/>
      <x:c r="J199" s="96" t="n"/>
      <x:c r="K199" s="96" t="n"/>
      <x:c r="L199" s="97" t="n"/>
      <x:c r="M199" s="96" t="n"/>
      <x:c r="N199" s="96" t="n"/>
      <x:c r="O199" s="11" t="n"/>
      <x:c r="P199" s="10" t="n"/>
      <x:c r="Q199" s="11" t="n"/>
      <x:c r="R199" s="10" t="n"/>
      <x:c r="S199" s="10" t="n"/>
      <x:c r="T199" s="10" t="n"/>
      <x:c r="U199" s="12" t="str">
        <x:f>IF($B199="","",IF(OR(AND($G199&lt;&gt;"оригинал",$G199&lt;&gt;"копия",$G199&lt;&gt;"скан",$G199&lt;&gt;"нет"),AND($J199&lt;&gt;"да",$J199&lt;&gt;"нет")),"НЕ ПРОВЕРЕНО: наличие или обязательность",IF(AND($N199="да",OR($O199="",$M199="")),"передан без следа: эксперт или дата",IF(AND($P199="да",$Q199=""),"НЕ ПРОВЕРЕНО: дата запроса",IF($B199="","",IF(AND($J199="да",$G199="нет",$P199&lt;&gt;"да"),"дыра: обязательного документа нет, запрос не направлен",IF(AND($G199="нет",$P199="да",$R199&lt;&gt;"да"),"запрошен, не получен",IF(AND($G199="нет",$J199&lt;&gt;"да"),"отсутствует, на причину не влияет",IF(AND(OR($K199="да",$N199="да"),$M199=""),"передан без следа",IF(AND($K199="да",$L199=""),"передан без следа","в порядке"))))))))))</x:f>
      </x:c>
    </x:row>
    <x:row r="200">
      <x:c r="A200" s="95" t="str">
        <x:f>IF($B200="","",ROW()-6)</x:f>
      </x:c>
      <x:c r="B200" s="96" t="n"/>
      <x:c r="C200" s="96" t="n"/>
      <x:c r="D200" s="96" t="n"/>
      <x:c r="E200" s="97" t="n"/>
      <x:c r="F200" s="96" t="n"/>
      <x:c r="G200" s="96" t="n"/>
      <x:c r="H200" s="96" t="n"/>
      <x:c r="I200" s="96" t="n"/>
      <x:c r="J200" s="96" t="n"/>
      <x:c r="K200" s="96" t="n"/>
      <x:c r="L200" s="97" t="n"/>
      <x:c r="M200" s="96" t="n"/>
      <x:c r="N200" s="96" t="n"/>
      <x:c r="O200" s="11" t="n"/>
      <x:c r="P200" s="10" t="n"/>
      <x:c r="Q200" s="11" t="n"/>
      <x:c r="R200" s="10" t="n"/>
      <x:c r="S200" s="10" t="n"/>
      <x:c r="T200" s="10" t="n"/>
      <x:c r="U200" s="12" t="str">
        <x:f>IF($B200="","",IF(OR(AND($G200&lt;&gt;"оригинал",$G200&lt;&gt;"копия",$G200&lt;&gt;"скан",$G200&lt;&gt;"нет"),AND($J200&lt;&gt;"да",$J200&lt;&gt;"нет")),"НЕ ПРОВЕРЕНО: наличие или обязательность",IF(AND($N200="да",OR($O200="",$M200="")),"передан без следа: эксперт или дата",IF(AND($P200="да",$Q200=""),"НЕ ПРОВЕРЕНО: дата запроса",IF($B200="","",IF(AND($J200="да",$G200="нет",$P200&lt;&gt;"да"),"дыра: обязательного документа нет, запрос не направлен",IF(AND($G200="нет",$P200="да",$R200&lt;&gt;"да"),"запрошен, не получен",IF(AND($G200="нет",$J200&lt;&gt;"да"),"отсутствует, на причину не влияет",IF(AND(OR($K200="да",$N200="да"),$M200=""),"передан без следа",IF(AND($K200="да",$L200=""),"передан без следа","в порядке"))))))))))</x:f>
      </x:c>
    </x:row>
    <x:row r="201">
      <x:c r="A201" s="95" t="str">
        <x:f>IF($B201="","",ROW()-6)</x:f>
      </x:c>
      <x:c r="B201" s="96" t="n"/>
      <x:c r="C201" s="96" t="n"/>
      <x:c r="D201" s="96" t="n"/>
      <x:c r="E201" s="97" t="n"/>
      <x:c r="F201" s="96" t="n"/>
      <x:c r="G201" s="96" t="n"/>
      <x:c r="H201" s="96" t="n"/>
      <x:c r="I201" s="96" t="n"/>
      <x:c r="J201" s="96" t="n"/>
      <x:c r="K201" s="96" t="n"/>
      <x:c r="L201" s="97" t="n"/>
      <x:c r="M201" s="96" t="n"/>
      <x:c r="N201" s="96" t="n"/>
      <x:c r="O201" s="11" t="n"/>
      <x:c r="P201" s="10" t="n"/>
      <x:c r="Q201" s="11" t="n"/>
      <x:c r="R201" s="10" t="n"/>
      <x:c r="S201" s="10" t="n"/>
      <x:c r="T201" s="10" t="n"/>
      <x:c r="U201" s="12" t="str">
        <x:f>IF($B201="","",IF(OR(AND($G201&lt;&gt;"оригинал",$G201&lt;&gt;"копия",$G201&lt;&gt;"скан",$G201&lt;&gt;"нет"),AND($J201&lt;&gt;"да",$J201&lt;&gt;"нет")),"НЕ ПРОВЕРЕНО: наличие или обязательность",IF(AND($N201="да",OR($O201="",$M201="")),"передан без следа: эксперт или дата",IF(AND($P201="да",$Q201=""),"НЕ ПРОВЕРЕНО: дата запроса",IF($B201="","",IF(AND($J201="да",$G201="нет",$P201&lt;&gt;"да"),"дыра: обязательного документа нет, запрос не направлен",IF(AND($G201="нет",$P201="да",$R201&lt;&gt;"да"),"запрошен, не получен",IF(AND($G201="нет",$J201&lt;&gt;"да"),"отсутствует, на причину не влияет",IF(AND(OR($K201="да",$N201="да"),$M201=""),"передан без следа",IF(AND($K201="да",$L201=""),"передан без следа","в порядке"))))))))))</x:f>
      </x:c>
    </x:row>
    <x:row r="202">
      <x:c r="A202" s="95" t="str">
        <x:f>IF($B202="","",ROW()-6)</x:f>
      </x:c>
      <x:c r="B202" s="96" t="n"/>
      <x:c r="C202" s="96" t="n"/>
      <x:c r="D202" s="96" t="n"/>
      <x:c r="E202" s="97" t="n"/>
      <x:c r="F202" s="96" t="n"/>
      <x:c r="G202" s="96" t="n"/>
      <x:c r="H202" s="96" t="n"/>
      <x:c r="I202" s="96" t="n"/>
      <x:c r="J202" s="96" t="n"/>
      <x:c r="K202" s="96" t="n"/>
      <x:c r="L202" s="97" t="n"/>
      <x:c r="M202" s="96" t="n"/>
      <x:c r="N202" s="96" t="n"/>
      <x:c r="O202" s="11" t="n"/>
      <x:c r="P202" s="10" t="n"/>
      <x:c r="Q202" s="11" t="n"/>
      <x:c r="R202" s="10" t="n"/>
      <x:c r="S202" s="10" t="n"/>
      <x:c r="T202" s="10" t="n"/>
      <x:c r="U202" s="12" t="str">
        <x:f>IF($B202="","",IF(OR(AND($G202&lt;&gt;"оригинал",$G202&lt;&gt;"копия",$G202&lt;&gt;"скан",$G202&lt;&gt;"нет"),AND($J202&lt;&gt;"да",$J202&lt;&gt;"нет")),"НЕ ПРОВЕРЕНО: наличие или обязательность",IF(AND($N202="да",OR($O202="",$M202="")),"передан без следа: эксперт или дата",IF(AND($P202="да",$Q202=""),"НЕ ПРОВЕРЕНО: дата запроса",IF($B202="","",IF(AND($J202="да",$G202="нет",$P202&lt;&gt;"да"),"дыра: обязательного документа нет, запрос не направлен",IF(AND($G202="нет",$P202="да",$R202&lt;&gt;"да"),"запрошен, не получен",IF(AND($G202="нет",$J202&lt;&gt;"да"),"отсутствует, на причину не влияет",IF(AND(OR($K202="да",$N202="да"),$M202=""),"передан без следа",IF(AND($K202="да",$L202=""),"передан без следа","в порядке"))))))))))</x:f>
      </x:c>
    </x:row>
    <x:row r="203">
      <x:c r="A203" s="95" t="str">
        <x:f>IF($B203="","",ROW()-6)</x:f>
      </x:c>
      <x:c r="B203" s="96" t="n"/>
      <x:c r="C203" s="96" t="n"/>
      <x:c r="D203" s="96" t="n"/>
      <x:c r="E203" s="97" t="n"/>
      <x:c r="F203" s="96" t="n"/>
      <x:c r="G203" s="96" t="n"/>
      <x:c r="H203" s="96" t="n"/>
      <x:c r="I203" s="96" t="n"/>
      <x:c r="J203" s="96" t="n"/>
      <x:c r="K203" s="96" t="n"/>
      <x:c r="L203" s="97" t="n"/>
      <x:c r="M203" s="96" t="n"/>
      <x:c r="N203" s="96" t="n"/>
      <x:c r="O203" s="11" t="n"/>
      <x:c r="P203" s="10" t="n"/>
      <x:c r="Q203" s="11" t="n"/>
      <x:c r="R203" s="10" t="n"/>
      <x:c r="S203" s="10" t="n"/>
      <x:c r="T203" s="10" t="n"/>
      <x:c r="U203" s="12" t="str">
        <x:f>IF($B203="","",IF(OR(AND($G203&lt;&gt;"оригинал",$G203&lt;&gt;"копия",$G203&lt;&gt;"скан",$G203&lt;&gt;"нет"),AND($J203&lt;&gt;"да",$J203&lt;&gt;"нет")),"НЕ ПРОВЕРЕНО: наличие или обязательность",IF(AND($N203="да",OR($O203="",$M203="")),"передан без следа: эксперт или дата",IF(AND($P203="да",$Q203=""),"НЕ ПРОВЕРЕНО: дата запроса",IF($B203="","",IF(AND($J203="да",$G203="нет",$P203&lt;&gt;"да"),"дыра: обязательного документа нет, запрос не направлен",IF(AND($G203="нет",$P203="да",$R203&lt;&gt;"да"),"запрошен, не получен",IF(AND($G203="нет",$J203&lt;&gt;"да"),"отсутствует, на причину не влияет",IF(AND(OR($K203="да",$N203="да"),$M203=""),"передан без следа",IF(AND($K203="да",$L203=""),"передан без следа","в порядке"))))))))))</x:f>
      </x:c>
    </x:row>
    <x:row r="204">
      <x:c r="A204" s="95" t="str">
        <x:f>IF($B204="","",ROW()-6)</x:f>
      </x:c>
      <x:c r="B204" s="96" t="n"/>
      <x:c r="C204" s="96" t="n"/>
      <x:c r="D204" s="96" t="n"/>
      <x:c r="E204" s="97" t="n"/>
      <x:c r="F204" s="96" t="n"/>
      <x:c r="G204" s="96" t="n"/>
      <x:c r="H204" s="96" t="n"/>
      <x:c r="I204" s="96" t="n"/>
      <x:c r="J204" s="96" t="n"/>
      <x:c r="K204" s="96" t="n"/>
      <x:c r="L204" s="97" t="n"/>
      <x:c r="M204" s="96" t="n"/>
      <x:c r="N204" s="96" t="n"/>
      <x:c r="O204" s="11" t="n"/>
      <x:c r="P204" s="10" t="n"/>
      <x:c r="Q204" s="11" t="n"/>
      <x:c r="R204" s="10" t="n"/>
      <x:c r="S204" s="10" t="n"/>
      <x:c r="T204" s="10" t="n"/>
      <x:c r="U204" s="12" t="str">
        <x:f>IF($B204="","",IF(OR(AND($G204&lt;&gt;"оригинал",$G204&lt;&gt;"копия",$G204&lt;&gt;"скан",$G204&lt;&gt;"нет"),AND($J204&lt;&gt;"да",$J204&lt;&gt;"нет")),"НЕ ПРОВЕРЕНО: наличие или обязательность",IF(AND($N204="да",OR($O204="",$M204="")),"передан без следа: эксперт или дата",IF(AND($P204="да",$Q204=""),"НЕ ПРОВЕРЕНО: дата запроса",IF($B204="","",IF(AND($J204="да",$G204="нет",$P204&lt;&gt;"да"),"дыра: обязательного документа нет, запрос не направлен",IF(AND($G204="нет",$P204="да",$R204&lt;&gt;"да"),"запрошен, не получен",IF(AND($G204="нет",$J204&lt;&gt;"да"),"отсутствует, на причину не влияет",IF(AND(OR($K204="да",$N204="да"),$M204=""),"передан без следа",IF(AND($K204="да",$L204=""),"передан без следа","в порядке"))))))))))</x:f>
      </x:c>
    </x:row>
    <x:row r="205">
      <x:c r="A205" s="95" t="str">
        <x:f>IF($B205="","",ROW()-6)</x:f>
      </x:c>
      <x:c r="B205" s="96" t="n"/>
      <x:c r="C205" s="96" t="n"/>
      <x:c r="D205" s="96" t="n"/>
      <x:c r="E205" s="97" t="n"/>
      <x:c r="F205" s="96" t="n"/>
      <x:c r="G205" s="96" t="n"/>
      <x:c r="H205" s="96" t="n"/>
      <x:c r="I205" s="96" t="n"/>
      <x:c r="J205" s="96" t="n"/>
      <x:c r="K205" s="96" t="n"/>
      <x:c r="L205" s="97" t="n"/>
      <x:c r="M205" s="96" t="n"/>
      <x:c r="N205" s="96" t="n"/>
      <x:c r="O205" s="11" t="n"/>
      <x:c r="P205" s="10" t="n"/>
      <x:c r="Q205" s="11" t="n"/>
      <x:c r="R205" s="10" t="n"/>
      <x:c r="S205" s="10" t="n"/>
      <x:c r="T205" s="10" t="n"/>
      <x:c r="U205" s="12" t="str">
        <x:f>IF($B205="","",IF(OR(AND($G205&lt;&gt;"оригинал",$G205&lt;&gt;"копия",$G205&lt;&gt;"скан",$G205&lt;&gt;"нет"),AND($J205&lt;&gt;"да",$J205&lt;&gt;"нет")),"НЕ ПРОВЕРЕНО: наличие или обязательность",IF(AND($N205="да",OR($O205="",$M205="")),"передан без следа: эксперт или дата",IF(AND($P205="да",$Q205=""),"НЕ ПРОВЕРЕНО: дата запроса",IF($B205="","",IF(AND($J205="да",$G205="нет",$P205&lt;&gt;"да"),"дыра: обязательного документа нет, запрос не направлен",IF(AND($G205="нет",$P205="да",$R205&lt;&gt;"да"),"запрошен, не получен",IF(AND($G205="нет",$J205&lt;&gt;"да"),"отсутствует, на причину не влияет",IF(AND(OR($K205="да",$N205="да"),$M205=""),"передан без следа",IF(AND($K205="да",$L205=""),"передан без следа","в порядке"))))))))))</x:f>
      </x:c>
    </x:row>
    <x:row r="206">
      <x:c r="A206" s="95" t="str">
        <x:f>IF($B206="","",ROW()-6)</x:f>
      </x:c>
      <x:c r="B206" s="96" t="n"/>
      <x:c r="C206" s="96" t="n"/>
      <x:c r="D206" s="96" t="n"/>
      <x:c r="E206" s="97" t="n"/>
      <x:c r="F206" s="96" t="n"/>
      <x:c r="G206" s="96" t="n"/>
      <x:c r="H206" s="96" t="n"/>
      <x:c r="I206" s="96" t="n"/>
      <x:c r="J206" s="96" t="n"/>
      <x:c r="K206" s="96" t="n"/>
      <x:c r="L206" s="97" t="n"/>
      <x:c r="M206" s="96" t="n"/>
      <x:c r="N206" s="96" t="n"/>
      <x:c r="O206" s="11" t="n"/>
      <x:c r="P206" s="10" t="n"/>
      <x:c r="Q206" s="11" t="n"/>
      <x:c r="R206" s="10" t="n"/>
      <x:c r="S206" s="10" t="n"/>
      <x:c r="T206" s="10" t="n"/>
      <x:c r="U206" s="12" t="str">
        <x:f>IF($B206="","",IF(OR(AND($G206&lt;&gt;"оригинал",$G206&lt;&gt;"копия",$G206&lt;&gt;"скан",$G206&lt;&gt;"нет"),AND($J206&lt;&gt;"да",$J206&lt;&gt;"нет")),"НЕ ПРОВЕРЕНО: наличие или обязательность",IF(AND($N206="да",OR($O206="",$M206="")),"передан без следа: эксперт или дата",IF(AND($P206="да",$Q206=""),"НЕ ПРОВЕРЕНО: дата запроса",IF($B206="","",IF(AND($J206="да",$G206="нет",$P206&lt;&gt;"да"),"дыра: обязательного документа нет, запрос не направлен",IF(AND($G206="нет",$P206="да",$R206&lt;&gt;"да"),"запрошен, не получен",IF(AND($G206="нет",$J206&lt;&gt;"да"),"отсутствует, на причину не влияет",IF(AND(OR($K206="да",$N206="да"),$M206=""),"передан без следа",IF(AND($K206="да",$L206=""),"передан без следа","в порядке"))))))))))</x:f>
      </x:c>
    </x:row>
    <x:row r="207">
      <x:c r="A207" s="58"/>
      <x:c r="B207" s="58"/>
      <x:c r="C207" s="58"/>
      <x:c r="D207" s="58"/>
      <x:c r="E207" s="58"/>
      <x:c r="F207" s="58"/>
      <x:c r="G207" s="58"/>
      <x:c r="H207" s="58"/>
      <x:c r="I207" s="58"/>
      <x:c r="J207" s="58"/>
      <x:c r="K207" s="58"/>
      <x:c r="L207" s="58"/>
      <x:c r="M207" s="58"/>
      <x:c r="N207" s="58"/>
    </x:row>
    <x:row r="208" ht="46" customHeight="1">
      <x:c r="A208" s="49" t="inlineStr">
        <x:is>
          <x:t xml:space="preserve">Красная строка — обязательный документ отсутствует и не запрошен либо документ передан оппоненту или эксперту без следа передачи. Жёлтая — запрос направлен, ответа нет дольше порога, заданного на листе «Спорная зона». Передача без описи вложения, ЭДО или письма следа не оставляет: «передал без следа» = «не передал».</x:t>
        </x:is>
      </x:c>
      <x:c r="B208" s="58"/>
      <x:c r="C208" s="58"/>
      <x:c r="D208" s="58"/>
      <x:c r="E208" s="58"/>
      <x:c r="F208" s="58"/>
      <x:c r="G208" s="58"/>
      <x:c r="H208" s="58"/>
      <x:c r="I208" s="58"/>
      <x:c r="J208" s="58"/>
      <x:c r="K208" s="58"/>
      <x:c r="L208" s="58"/>
      <x:c r="M208" s="58"/>
      <x:c r="N208" s="58"/>
    </x:row>
  </x:sheetData>
  <x:mergeCells>
    <x:mergeCell ref="A208:U208"/>
    <x:mergeCell ref="A4:U4"/>
    <x:mergeCell ref="A2:U2"/>
    <x:mergeCell ref="A3:U3"/>
  </x:mergeCells>
  <x:conditionalFormatting sqref="A7:U206">
    <x:cfRule type="expression" dxfId="0" priority="1" stopIfTrue="1">
      <x:formula>AND($B7&lt;&gt;"",$J7="да",$G7="нет",$P7&lt;&gt;"да")</x:formula>
    </x:cfRule>
    <x:cfRule type="expression" dxfId="0" priority="2" stopIfTrue="1">
      <x:formula>AND($B7&lt;&gt;"",OR($K7="да",$N7="да"),$M7="")</x:formula>
    </x:cfRule>
    <x:cfRule type="expression" dxfId="1" priority="3" stopIfTrue="1">
      <x:formula>AND($B7&lt;&gt;"",$P7="да",$R7&lt;&gt;"да",$Q7&lt;&gt;"",LEN('Спорная зона'!$B$14)&gt;0,TODAY()-$Q7&gt;'Спорная зона'!$B$14)</x:formula>
    </x:cfRule>
  </x:conditionalFormatting>
  <x:dataValidations count="4">
    <x:dataValidation type="list" allowBlank="1" showDropDown="0" showInputMessage="0" showErrorMessage="0" error="Выберите вид документа из справочника листа «Виды»" sqref="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x:formula1>'Виды'!$A$3:$A$22</x:formula1>
    </x:dataValidation>
    <x:dataValidation type="list" allowBlank="1" showDropDown="0" showInputMessage="0" showErrorMessage="0" error="Выберите: оригинал / копия / скан / нет" sqref="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x:formula1>'Виды'!$C$3:$C$6</x:formula1>
    </x:dataValidation>
    <x:dataValidation type="list" allowBlank="1" showDropDown="0" showInputMessage="0" showErrorMessage="0" error="Выберите значение из справочника листа «Виды»" sqref="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x:formula1>'Виды'!$G$3:$G$10</x:formula1>
    </x:dataValidation>
    <x:dataValidation type="list" allowBlank="1" showDropDown="0" showInputMessage="0" showErrorMessage="0" error="Введите «да» или «нет»" sqref="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N200 N201 N202 N203 N204 N205 N20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P105 P106 P107 P108 P109 P110 P111 P112 P113 P114 P115 P116 P117 P118 P119 P120 P121 P122 P123 P124 P125 P126 P127 P128 P129 P130 P131 P132 P133 P134 P135 P136 P137 P138 P139 P140 P141 P142 P143 P144 P145 P146 P147 P148 P149 P150 P151 P152 P153 P154 P155 P156 P157 P158 P159 P160 P161 P162 P163 P164 P165 P166 P167 P168 P169 P170 P171 P172 P173 P174 P175 P176 P177 P178 P179 P180 P181 P182 P183 P184 P185 P186 P187 P188 P189 P190 P191 P192 P193 P194 P195 P196 P197 P198 P199 P200 P201 P202 P203 P204 P205 P206 R7 R8 R9 R10 R11 R12 R13 R14 R15 R16 R17 R18 R19 R20 R21 R22 R23 R24 R25 R26 R27 R28 R29 R30 R31 R32 R33 R34 R35 R36 R37 R38 R39 R40 R41 R42 R43 R44 R45 R46 R47 R48 R49 R50 R51 R52 R53 R54 R55 R56 R57 R58 R59 R60 R61 R62 R63 R64 R65 R66 R67 R68 R69 R70 R71 R72 R73 R74 R75 R76 R77 R78 R79 R80 R81 R82 R83 R84 R85 R86 R87 R88 R89 R90 R91 R92 R93 R94 R95 R96 R97 R98 R99 R100 R101 R102 R103 R104 R105 R106 R107 R108 R109 R110 R111 R112 R113 R114 R115 R116 R117 R118 R119 R120 R121 R122 R123 R124 R125 R126 R127 R128 R129 R130 R131 R132 R133 R134 R135 R136 R137 R138 R139 R140 R141 R142 R143 R144 R145 R146 R147 R148 R149 R150 R151 R152 R153 R154 R155 R156 R157 R158 R159 R160 R161 R162 R163 R164 R165 R166 R167 R168 R169 R170 R171 R172 R173 R174 R175 R176 R177 R178 R179 R180 R181 R182 R183 R184 R185 R186 R187 R188 R189 R190 R191 R192 R193 R194 R195 R196 R197 R198 R199 R200 R201 R202 R203 R204 R205 R206">
      <x:formula1>"да,нет"</x:formula1>
    </x:dataValidation>
  </x:dataValidations>
  <x:pageMargins left="0.3" right="0.3" top="0.4" bottom="0.4" header="0.2" footer="0.2"/>
  <x:pageSetup paperSize="8" orientation="landscape" fitToWidth="1" fitToHeight="0"/>
  <x:headerFooter>
    <x:oddHeader>&amp;LОпись — группы граф; сверяйте № документа</x:oddHeader>
    <x:oddFooter>&amp;LПравила статусов и пояснения — в книге под таблицей&amp;C&amp;P / &amp;N</x:oddFooter>
  </x:headerFooter>
  <x:legacyDrawing xmlns:r="http://schemas.openxmlformats.org/officeDocument/2006/relationships" r:id="R21dcfc93f2914ab1"/>
</x:worksheet>
</file>

<file path=xl/worksheets/sheet3.xml><?xml version="1.0" encoding="utf-8"?>
<x:worksheet xmlns:x="http://schemas.openxmlformats.org/spreadsheetml/2006/main">
  <x:sheetPr>
    <x:pageSetUpPr fitToPage="1"/>
  </x:sheetPr>
  <x:sheetFormatPr baseColWidth="8" defaultRowHeight="15"/>
  <x:cols>
    <x:col min="1" max="1" width="24" customWidth="1"/>
    <x:col min="2" max="2" width="42" customWidth="1"/>
    <x:col min="3" max="3" width="56" customWidth="1"/>
    <x:col min="4" max="4" width="14" customWidth="1"/>
    <x:col min="5" max="5" width="17" customWidth="1"/>
    <x:col min="6" max="6" width="26" customWidth="1"/>
  </x:cols>
  <x:sheetData>
    <x:row r="1" ht="31" customHeight="1">
      <x:c r="A1" s="76" t="inlineStr">
        <x:is>
          <x:t xml:space="preserve">Обязательный минимум по ведущему виду работ</x:t>
        </x:is>
      </x:c>
      <x:c r="B1" s="76"/>
      <x:c r="C1" s="76"/>
      <x:c r="D1" s="76"/>
      <x:c r="E1" s="76"/>
      <x:c r="F1" s="76"/>
      <x:c r="G1" s="76"/>
      <x:c r="H1" s="76"/>
      <x:c r="I1" s="76"/>
      <x:c r="J1" s="76"/>
    </x:row>
    <x:row r="2">
      <x:c r="A2" s="88" t="inlineStr">
        <x:is>
          <x:t xml:space="preserve">Что эксперт спрашивает по каждому виду работ и есть ли это у вас. Строки заданы в файле, наличие считается по листу «Опись». Строка по невыбранному виду работ даёт «не применяется» и в счётчик дыр не идёт.</x:t>
        </x:is>
      </x:c>
      <x:c r="B2" s="58"/>
      <x:c r="C2" s="58"/>
      <x:c r="D2" s="58"/>
      <x:c r="E2" s="58"/>
      <x:c r="F2" s="58"/>
      <x:c r="G2" s="58"/>
      <x:c r="H2" s="58"/>
      <x:c r="I2" s="58"/>
      <x:c r="J2" s="58"/>
    </x:row>
    <x:row r="3">
      <x:c r="A3" s="58"/>
      <x:c r="B3" s="58"/>
      <x:c r="C3" s="58"/>
      <x:c r="D3" s="58"/>
      <x:c r="E3" s="58"/>
      <x:c r="F3" s="58"/>
      <x:c r="G3" s="58"/>
      <x:c r="H3" s="58"/>
      <x:c r="I3" s="58"/>
      <x:c r="J3" s="58"/>
    </x:row>
    <x:row r="4" ht="35" customHeight="1">
      <x:c r="A4" s="99" t="inlineStr">
        <x:is>
          <x:t xml:space="preserve">Вид работ</x:t>
        </x:is>
      </x:c>
      <x:c r="B4" s="99" t="inlineStr">
        <x:is>
          <x:t xml:space="preserve">Документ</x:t>
        </x:is>
      </x:c>
      <x:c r="C4" s="99" t="inlineStr">
        <x:is>
          <x:t xml:space="preserve">Зачем нужен</x:t>
        </x:is>
      </x:c>
      <x:c r="D4" s="99" t="inlineStr">
        <x:is>
          <x:t xml:space="preserve">Строк в описи</x:t>
        </x:is>
      </x:c>
      <x:c r="E4" s="99" t="inlineStr">
        <x:is>
          <x:t xml:space="preserve">Из них в наличии</x:t>
        </x:is>
      </x:c>
      <x:c r="F4" s="99" t="inlineStr">
        <x:is>
          <x:t xml:space="preserve">Вывод</x:t>
        </x:is>
      </x:c>
      <x:c r="G4" s="110"/>
      <x:c r="H4" s="110"/>
      <x:c r="I4" s="110"/>
      <x:c r="J4" s="110"/>
    </x:row>
    <x:row r="5">
      <x:c r="A5" s="101" t="inlineStr">
        <x:is>
          <x:t xml:space="preserve">общий</x:t>
        </x:is>
      </x:c>
      <x:c r="B5" s="101" t="inlineStr">
        <x:is>
          <x:t xml:space="preserve">договор и приложения</x:t>
        </x:is>
      </x:c>
      <x:c r="C5" s="101" t="inlineStr">
        <x:is>
          <x:t xml:space="preserve">предмет, объём и границы ваших обязательств по зоне</x:t>
        </x:is>
      </x:c>
      <x:c r="D5" s="101" t="n">
        <x:f>COUNTIF('Опись'!$B$7:$B$206,$B5)</x:f>
        <x:v>0</x:v>
      </x:c>
      <x:c r="E5" s="101" t="n">
        <x:f>SUMPRODUCT(('Опись'!$B$7:$B$206=$B5)*(('Опись'!$G$7:$G$206="оригинал")+('Опись'!$G$7:$G$206="копия")+('Опись'!$G$7:$G$206="скан")))</x:f>
        <x:v>0</x:v>
      </x:c>
      <x:c r="F5" s="101" t="str">
        <x:f>IF(OR($A5="общий",$A5='Спорная зона'!$B$13),IF($E5=0,"дыра: документа нет","есть"),"не применяется")</x:f>
        <x:v>дыра: документа нет</x:v>
      </x:c>
      <x:c r="G5" s="58"/>
      <x:c r="H5" s="58"/>
      <x:c r="I5" s="58"/>
      <x:c r="J5" s="58"/>
    </x:row>
    <x:row r="6">
      <x:c r="A6" s="101" t="inlineStr">
        <x:is>
          <x:t xml:space="preserve">общий</x:t>
        </x:is>
      </x:c>
      <x:c r="B6" s="101" t="inlineStr">
        <x:is>
          <x:t xml:space="preserve">проектная и рабочая документация</x:t>
        </x:is>
      </x:c>
      <x:c r="C6" s="101" t="inlineStr">
        <x:is>
          <x:t xml:space="preserve">с чем эксперт сравнивает фактическое состояние</x:t>
        </x:is>
      </x:c>
      <x:c r="D6" s="101" t="n">
        <x:f>COUNTIF('Опись'!$B$7:$B$206,$B6)</x:f>
        <x:v>0</x:v>
      </x:c>
      <x:c r="E6" s="101" t="n">
        <x:f>SUMPRODUCT(('Опись'!$B$7:$B$206=$B6)*(('Опись'!$G$7:$G$206="оригинал")+('Опись'!$G$7:$G$206="копия")+('Опись'!$G$7:$G$206="скан")))</x:f>
        <x:v>0</x:v>
      </x:c>
      <x:c r="F6" s="101" t="str">
        <x:f>IF(OR($A6="общий",$A6='Спорная зона'!$B$13),IF($E6=0,"дыра: документа нет","есть"),"не применяется")</x:f>
        <x:v>дыра: документа нет</x:v>
      </x:c>
      <x:c r="G6" s="58"/>
      <x:c r="H6" s="58"/>
      <x:c r="I6" s="58"/>
      <x:c r="J6" s="58"/>
    </x:row>
    <x:row r="7">
      <x:c r="A7" s="101" t="inlineStr">
        <x:is>
          <x:t xml:space="preserve">общий</x:t>
        </x:is>
      </x:c>
      <x:c r="B7" s="101" t="inlineStr">
        <x:is>
          <x:t xml:space="preserve">акт передачи фронта работ</x:t>
        </x:is>
      </x:c>
      <x:c r="C7" s="101" t="inlineStr">
        <x:is>
          <x:t xml:space="preserve">состояние зоны и оснований на момент начала ваших работ</x:t>
        </x:is>
      </x:c>
      <x:c r="D7" s="101" t="n">
        <x:f>COUNTIF('Опись'!$B$7:$B$206,$B7)</x:f>
        <x:v>0</x:v>
      </x:c>
      <x:c r="E7" s="101" t="n">
        <x:f>SUMPRODUCT(('Опись'!$B$7:$B$206=$B7)*(('Опись'!$G$7:$G$206="оригинал")+('Опись'!$G$7:$G$206="копия")+('Опись'!$G$7:$G$206="скан")))</x:f>
        <x:v>0</x:v>
      </x:c>
      <x:c r="F7" s="101" t="str">
        <x:f>IF(OR($A7="общий",$A7='Спорная зона'!$B$13),IF($E7=0,"дыра: документа нет","есть"),"не применяется")</x:f>
        <x:v>дыра: документа нет</x:v>
      </x:c>
      <x:c r="G7" s="58"/>
      <x:c r="H7" s="58"/>
      <x:c r="I7" s="58"/>
      <x:c r="J7" s="58"/>
    </x:row>
    <x:row r="8">
      <x:c r="A8" s="101" t="inlineStr">
        <x:is>
          <x:t xml:space="preserve">общий</x:t>
        </x:is>
      </x:c>
      <x:c r="B8" s="101" t="inlineStr">
        <x:is>
          <x:t xml:space="preserve">акт разграничения ответственности</x:t>
        </x:is>
      </x:c>
      <x:c r="C8" s="101" t="inlineStr">
        <x:is>
          <x:t xml:space="preserve">кто отвечает за смежные конструкции и системы</x:t>
        </x:is>
      </x:c>
      <x:c r="D8" s="101" t="n">
        <x:f>COUNTIF('Опись'!$B$7:$B$206,$B8)</x:f>
        <x:v>0</x:v>
      </x:c>
      <x:c r="E8" s="101" t="n">
        <x:f>SUMPRODUCT(('Опись'!$B$7:$B$206=$B8)*(('Опись'!$G$7:$G$206="оригинал")+('Опись'!$G$7:$G$206="копия")+('Опись'!$G$7:$G$206="скан")))</x:f>
        <x:v>0</x:v>
      </x:c>
      <x:c r="F8" s="101" t="str">
        <x:f>IF(OR($A8="общий",$A8='Спорная зона'!$B$13),IF($E8=0,"дыра: документа нет","есть"),"не применяется")</x:f>
        <x:v>дыра: документа нет</x:v>
      </x:c>
      <x:c r="G8" s="58"/>
      <x:c r="H8" s="58"/>
      <x:c r="I8" s="58"/>
      <x:c r="J8" s="58"/>
    </x:row>
    <x:row r="9">
      <x:c r="A9" s="101" t="inlineStr">
        <x:is>
          <x:t xml:space="preserve">общий</x:t>
        </x:is>
      </x:c>
      <x:c r="B9" s="101" t="inlineStr">
        <x:is>
          <x:t xml:space="preserve">акт освидетельствования скрытых работ</x:t>
        </x:is>
      </x:c>
      <x:c r="C9" s="101" t="inlineStr">
        <x:is>
          <x:t xml:space="preserve">что скрыто последующими работами и в каком виде принято</x:t>
        </x:is>
      </x:c>
      <x:c r="D9" s="101" t="n">
        <x:f>COUNTIF('Опись'!$B$7:$B$206,$B9)</x:f>
        <x:v>0</x:v>
      </x:c>
      <x:c r="E9" s="101" t="n">
        <x:f>SUMPRODUCT(('Опись'!$B$7:$B$206=$B9)*(('Опись'!$G$7:$G$206="оригинал")+('Опись'!$G$7:$G$206="копия")+('Опись'!$G$7:$G$206="скан")))</x:f>
        <x:v>0</x:v>
      </x:c>
      <x:c r="F9" s="101" t="str">
        <x:f>IF(OR($A9="общий",$A9='Спорная зона'!$B$13),IF($E9=0,"дыра: документа нет","есть"),"не применяется")</x:f>
        <x:v>дыра: документа нет</x:v>
      </x:c>
      <x:c r="G9" s="58"/>
      <x:c r="H9" s="58"/>
      <x:c r="I9" s="58"/>
      <x:c r="J9" s="58"/>
    </x:row>
    <x:row r="10">
      <x:c r="A10" s="101" t="inlineStr">
        <x:is>
          <x:t xml:space="preserve">общий</x:t>
        </x:is>
      </x:c>
      <x:c r="B10" s="101" t="inlineStr">
        <x:is>
          <x:t xml:space="preserve">исполнительная схема</x:t>
        </x:is>
      </x:c>
      <x:c r="C10" s="101" t="inlineStr">
        <x:is>
          <x:t xml:space="preserve">фактическое положение конструкций и отклонения</x:t>
        </x:is>
      </x:c>
      <x:c r="D10" s="101" t="n">
        <x:f>COUNTIF('Опись'!$B$7:$B$206,$B10)</x:f>
        <x:v>0</x:v>
      </x:c>
      <x:c r="E10" s="101" t="n">
        <x:f>SUMPRODUCT(('Опись'!$B$7:$B$206=$B10)*(('Опись'!$G$7:$G$206="оригинал")+('Опись'!$G$7:$G$206="копия")+('Опись'!$G$7:$G$206="скан")))</x:f>
        <x:v>0</x:v>
      </x:c>
      <x:c r="F10" s="101" t="str">
        <x:f>IF(OR($A10="общий",$A10='Спорная зона'!$B$13),IF($E10=0,"дыра: документа нет","есть"),"не применяется")</x:f>
        <x:v>дыра: документа нет</x:v>
      </x:c>
      <x:c r="G10" s="58"/>
      <x:c r="H10" s="58"/>
      <x:c r="I10" s="58"/>
      <x:c r="J10" s="58"/>
    </x:row>
    <x:row r="11">
      <x:c r="A11" s="101" t="inlineStr">
        <x:is>
          <x:t xml:space="preserve">общий</x:t>
        </x:is>
      </x:c>
      <x:c r="B11" s="101" t="inlineStr">
        <x:is>
          <x:t xml:space="preserve">общий журнал работ</x:t>
        </x:is>
      </x:c>
      <x:c r="C11" s="101" t="inlineStr">
        <x:is>
          <x:t xml:space="preserve">последовательность и даты работ, условия производства</x:t>
        </x:is>
      </x:c>
      <x:c r="D11" s="101" t="n">
        <x:f>COUNTIF('Опись'!$B$7:$B$206,$B11)</x:f>
        <x:v>0</x:v>
      </x:c>
      <x:c r="E11" s="101" t="n">
        <x:f>SUMPRODUCT(('Опись'!$B$7:$B$206=$B11)*(('Опись'!$G$7:$G$206="оригинал")+('Опись'!$G$7:$G$206="копия")+('Опись'!$G$7:$G$206="скан")))</x:f>
        <x:v>0</x:v>
      </x:c>
      <x:c r="F11" s="101" t="str">
        <x:f>IF(OR($A11="общий",$A11='Спорная зона'!$B$13),IF($E11=0,"дыра: документа нет","есть"),"не применяется")</x:f>
        <x:v>дыра: документа нет</x:v>
      </x:c>
      <x:c r="G11" s="58"/>
      <x:c r="H11" s="58"/>
      <x:c r="I11" s="58"/>
      <x:c r="J11" s="58"/>
    </x:row>
    <x:row r="12">
      <x:c r="A12" s="101" t="inlineStr">
        <x:is>
          <x:t xml:space="preserve">общий</x:t>
        </x:is>
      </x:c>
      <x:c r="B12" s="101" t="inlineStr">
        <x:is>
          <x:t xml:space="preserve">паспорт, сертификат, протокол испытаний</x:t>
        </x:is>
      </x:c>
      <x:c r="C12" s="101" t="inlineStr">
        <x:is>
          <x:t xml:space="preserve">какие материалы применены и их характеристики</x:t>
        </x:is>
      </x:c>
      <x:c r="D12" s="101" t="n">
        <x:f>COUNTIF('Опись'!$B$7:$B$206,$B12)</x:f>
        <x:v>0</x:v>
      </x:c>
      <x:c r="E12" s="101" t="n">
        <x:f>SUMPRODUCT(('Опись'!$B$7:$B$206=$B12)*(('Опись'!$G$7:$G$206="оригинал")+('Опись'!$G$7:$G$206="копия")+('Опись'!$G$7:$G$206="скан")))</x:f>
        <x:v>0</x:v>
      </x:c>
      <x:c r="F12" s="101" t="str">
        <x:f>IF(OR($A12="общий",$A12='Спорная зона'!$B$13),IF($E12=0,"дыра: документа нет","есть"),"не применяется")</x:f>
        <x:v>дыра: документа нет</x:v>
      </x:c>
      <x:c r="G12" s="58"/>
      <x:c r="H12" s="58"/>
      <x:c r="I12" s="58"/>
      <x:c r="J12" s="58"/>
    </x:row>
    <x:row r="13">
      <x:c r="A13" s="101" t="inlineStr">
        <x:is>
          <x:t xml:space="preserve">общий</x:t>
        </x:is>
      </x:c>
      <x:c r="B13" s="101" t="inlineStr">
        <x:is>
          <x:t xml:space="preserve">акт допуска смежной организации</x:t>
        </x:is>
      </x:c>
      <x:c r="C13" s="101" t="inlineStr">
        <x:is>
          <x:t xml:space="preserve">кто и когда работал в зоне после вас</x:t>
        </x:is>
      </x:c>
      <x:c r="D13" s="101" t="n">
        <x:f>COUNTIF('Опись'!$B$7:$B$206,$B13)</x:f>
        <x:v>0</x:v>
      </x:c>
      <x:c r="E13" s="101" t="n">
        <x:f>SUMPRODUCT(('Опись'!$B$7:$B$206=$B13)*(('Опись'!$G$7:$G$206="оригинал")+('Опись'!$G$7:$G$206="копия")+('Опись'!$G$7:$G$206="скан")))</x:f>
        <x:v>0</x:v>
      </x:c>
      <x:c r="F13" s="101" t="str">
        <x:f>IF(OR($A13="общий",$A13='Спорная зона'!$B$13),IF($E13=0,"дыра: документа нет","есть"),"не применяется")</x:f>
        <x:v>дыра: документа нет</x:v>
      </x:c>
      <x:c r="G13" s="58"/>
      <x:c r="H13" s="58"/>
      <x:c r="I13" s="58"/>
      <x:c r="J13" s="58"/>
    </x:row>
    <x:row r="14">
      <x:c r="A14" s="101" t="inlineStr">
        <x:is>
          <x:t xml:space="preserve">общий</x:t>
        </x:is>
      </x:c>
      <x:c r="B14" s="101" t="inlineStr">
        <x:is>
          <x:t xml:space="preserve">фотофиксация</x:t>
        </x:is>
      </x:c>
      <x:c r="C14" s="101" t="inlineStr">
        <x:is>
          <x:t xml:space="preserve">состояние зоны на дату сдачи и на дату обнаружения дефекта</x:t>
        </x:is>
      </x:c>
      <x:c r="D14" s="101" t="n">
        <x:f>COUNTIF('Опись'!$B$7:$B$206,$B14)</x:f>
        <x:v>0</x:v>
      </x:c>
      <x:c r="E14" s="101" t="n">
        <x:f>SUMPRODUCT(('Опись'!$B$7:$B$206=$B14)*(('Опись'!$G$7:$G$206="оригинал")+('Опись'!$G$7:$G$206="копия")+('Опись'!$G$7:$G$206="скан")))</x:f>
        <x:v>0</x:v>
      </x:c>
      <x:c r="F14" s="101" t="str">
        <x:f>IF(OR($A14="общий",$A14='Спорная зона'!$B$13),IF($E14=0,"дыра: документа нет","есть"),"не применяется")</x:f>
        <x:v>дыра: документа нет</x:v>
      </x:c>
      <x:c r="G14" s="58"/>
      <x:c r="H14" s="58"/>
      <x:c r="I14" s="58"/>
      <x:c r="J14" s="58"/>
    </x:row>
    <x:row r="15">
      <x:c r="A15" s="101" t="inlineStr">
        <x:is>
          <x:t xml:space="preserve">общий</x:t>
        </x:is>
      </x:c>
      <x:c r="B15" s="101" t="inlineStr">
        <x:is>
          <x:t xml:space="preserve">акт осмотра или дефектный акт</x:t>
        </x:is>
      </x:c>
      <x:c r="C15" s="101" t="inlineStr">
        <x:is>
          <x:t xml:space="preserve">как дефект зафиксирован и кем</x:t>
        </x:is>
      </x:c>
      <x:c r="D15" s="101" t="n">
        <x:f>COUNTIF('Опись'!$B$7:$B$206,$B15)</x:f>
        <x:v>0</x:v>
      </x:c>
      <x:c r="E15" s="101" t="n">
        <x:f>SUMPRODUCT(('Опись'!$B$7:$B$206=$B15)*(('Опись'!$G$7:$G$206="оригинал")+('Опись'!$G$7:$G$206="копия")+('Опись'!$G$7:$G$206="скан")))</x:f>
        <x:v>0</x:v>
      </x:c>
      <x:c r="F15" s="101" t="str">
        <x:f>IF(OR($A15="общий",$A15='Спорная зона'!$B$13),IF($E15=0,"дыра: документа нет","есть"),"не применяется")</x:f>
        <x:v>дыра: документа нет</x:v>
      </x:c>
      <x:c r="G15" s="58"/>
      <x:c r="H15" s="58"/>
      <x:c r="I15" s="58"/>
      <x:c r="J15" s="58"/>
    </x:row>
    <x:row r="16">
      <x:c r="A16" s="101" t="inlineStr">
        <x:is>
          <x:t xml:space="preserve">общий</x:t>
        </x:is>
      </x:c>
      <x:c r="B16" s="101" t="inlineStr">
        <x:is>
          <x:t xml:space="preserve">претензия и ответ на неё</x:t>
        </x:is>
      </x:c>
      <x:c r="C16" s="101" t="inlineStr">
        <x:is>
          <x:t xml:space="preserve">что заявлено оппонентом и что вы ответили в срок</x:t>
        </x:is>
      </x:c>
      <x:c r="D16" s="101" t="n">
        <x:f>COUNTIF('Опись'!$B$7:$B$206,$B16)</x:f>
        <x:v>0</x:v>
      </x:c>
      <x:c r="E16" s="101" t="n">
        <x:f>SUMPRODUCT(('Опись'!$B$7:$B$206=$B16)*(('Опись'!$G$7:$G$206="оригинал")+('Опись'!$G$7:$G$206="копия")+('Опись'!$G$7:$G$206="скан")))</x:f>
        <x:v>0</x:v>
      </x:c>
      <x:c r="F16" s="101" t="str">
        <x:f>IF(OR($A16="общий",$A16='Спорная зона'!$B$13),IF($E16=0,"дыра: документа нет","есть"),"не применяется")</x:f>
        <x:v>дыра: документа нет</x:v>
      </x:c>
      <x:c r="G16" s="58"/>
      <x:c r="H16" s="58"/>
      <x:c r="I16" s="58"/>
      <x:c r="J16" s="58"/>
    </x:row>
    <x:row r="17">
      <x:c r="A17" s="101" t="inlineStr">
        <x:is>
          <x:t xml:space="preserve">общий</x:t>
        </x:is>
      </x:c>
      <x:c r="B17" s="101" t="inlineStr">
        <x:is>
          <x:t xml:space="preserve">переписка</x:t>
        </x:is>
      </x:c>
      <x:c r="C17" s="101" t="inlineStr">
        <x:is>
          <x:t xml:space="preserve">ход спора, вызовы на осмотр, запросы документов</x:t>
        </x:is>
      </x:c>
      <x:c r="D17" s="101" t="n">
        <x:f>COUNTIF('Опись'!$B$7:$B$206,$B17)</x:f>
        <x:v>0</x:v>
      </x:c>
      <x:c r="E17" s="101" t="n">
        <x:f>SUMPRODUCT(('Опись'!$B$7:$B$206=$B17)*(('Опись'!$G$7:$G$206="оригинал")+('Опись'!$G$7:$G$206="копия")+('Опись'!$G$7:$G$206="скан")))</x:f>
        <x:v>0</x:v>
      </x:c>
      <x:c r="F17" s="101" t="str">
        <x:f>IF(OR($A17="общий",$A17='Спорная зона'!$B$13),IF($E17=0,"дыра: документа нет","есть"),"не применяется")</x:f>
        <x:v>дыра: документа нет</x:v>
      </x:c>
      <x:c r="G17" s="58"/>
      <x:c r="H17" s="58"/>
      <x:c r="I17" s="58"/>
      <x:c r="J17" s="58"/>
    </x:row>
    <x:row r="18">
      <x:c r="A18" s="101" t="inlineStr">
        <x:is>
          <x:t xml:space="preserve">общий</x:t>
        </x:is>
      </x:c>
      <x:c r="B18" s="101" t="inlineStr">
        <x:is>
          <x:t xml:space="preserve">инструкция по эксплуатации с отметкой о передаче</x:t>
        </x:is>
      </x:c>
      <x:c r="C18" s="101" t="inlineStr">
        <x:is>
          <x:t xml:space="preserve">передан ли режим эксплуатации и кому</x:t>
        </x:is>
      </x:c>
      <x:c r="D18" s="101" t="n">
        <x:f>COUNTIF('Опись'!$B$7:$B$206,$B18)</x:f>
        <x:v>0</x:v>
      </x:c>
      <x:c r="E18" s="101" t="n">
        <x:f>SUMPRODUCT(('Опись'!$B$7:$B$206=$B18)*(('Опись'!$G$7:$G$206="оригинал")+('Опись'!$G$7:$G$206="копия")+('Опись'!$G$7:$G$206="скан")))</x:f>
        <x:v>0</x:v>
      </x:c>
      <x:c r="F18" s="101" t="str">
        <x:f>IF(OR($A18="общий",$A18='Спорная зона'!$B$13),IF($E18=0,"дыра: документа нет","есть"),"не применяется")</x:f>
        <x:v>дыра: документа нет</x:v>
      </x:c>
      <x:c r="G18" s="58"/>
      <x:c r="H18" s="58"/>
      <x:c r="I18" s="58"/>
      <x:c r="J18" s="58"/>
    </x:row>
    <x:row r="19">
      <x:c r="A19" s="101" t="inlineStr">
        <x:is>
          <x:t xml:space="preserve">бетон и монолит</x:t>
        </x:is>
      </x:c>
      <x:c r="B19" s="101" t="inlineStr">
        <x:is>
          <x:t xml:space="preserve">специальный журнал работ</x:t>
        </x:is>
      </x:c>
      <x:c r="C19" s="101" t="inlineStr">
        <x:is>
          <x:t xml:space="preserve">журнал бетонных работ: даты, захватки, условия выдерживания</x:t>
        </x:is>
      </x:c>
      <x:c r="D19" s="101" t="n">
        <x:f>COUNTIF('Опись'!$B$7:$B$206,$B19)</x:f>
        <x:v>0</x:v>
      </x:c>
      <x:c r="E19" s="101" t="n">
        <x:f>SUMPRODUCT(('Опись'!$B$7:$B$206=$B19)*(('Опись'!$G$7:$G$206="оригинал")+('Опись'!$G$7:$G$206="копия")+('Опись'!$G$7:$G$206="скан")))</x:f>
        <x:v>0</x:v>
      </x:c>
      <x:c r="F19" s="101" t="str">
        <x:f>IF(OR($A19="общий",$A19='Спорная зона'!$B$13),IF($E19=0,"дыра: документа нет","есть"),"не применяется")</x:f>
        <x:v>не применяется</x:v>
      </x:c>
      <x:c r="G19" s="58"/>
      <x:c r="H19" s="58"/>
      <x:c r="I19" s="58"/>
      <x:c r="J19" s="58"/>
    </x:row>
    <x:row r="20">
      <x:c r="A20" s="101" t="inlineStr">
        <x:is>
          <x:t xml:space="preserve">бетон и монолит</x:t>
        </x:is>
      </x:c>
      <x:c r="B20" s="101" t="inlineStr">
        <x:is>
          <x:t xml:space="preserve">паспорт, сертификат, протокол испытаний</x:t>
        </x:is>
      </x:c>
      <x:c r="C20" s="101" t="inlineStr">
        <x:is>
          <x:t xml:space="preserve">протоколы испытаний контрольных образцов и документы о смеси</x:t>
        </x:is>
      </x:c>
      <x:c r="D20" s="101" t="n">
        <x:f>COUNTIF('Опись'!$B$7:$B$206,$B20)</x:f>
        <x:v>0</x:v>
      </x:c>
      <x:c r="E20" s="101" t="n">
        <x:f>SUMPRODUCT(('Опись'!$B$7:$B$206=$B20)*(('Опись'!$G$7:$G$206="оригинал")+('Опись'!$G$7:$G$206="копия")+('Опись'!$G$7:$G$206="скан")))</x:f>
        <x:v>0</x:v>
      </x:c>
      <x:c r="F20" s="101" t="str">
        <x:f>IF(OR($A20="общий",$A20='Спорная зона'!$B$13),IF($E20=0,"дыра: документа нет","есть"),"не применяется")</x:f>
        <x:v>не применяется</x:v>
      </x:c>
      <x:c r="G20" s="58"/>
      <x:c r="H20" s="58"/>
      <x:c r="I20" s="58"/>
      <x:c r="J20" s="58"/>
    </x:row>
    <x:row r="21">
      <x:c r="A21" s="101" t="inlineStr">
        <x:is>
          <x:t xml:space="preserve">бетон и монолит</x:t>
        </x:is>
      </x:c>
      <x:c r="B21" s="101" t="inlineStr">
        <x:is>
          <x:t xml:space="preserve">журнал входного контроля</x:t>
        </x:is>
      </x:c>
      <x:c r="C21" s="101" t="inlineStr">
        <x:is>
          <x:t xml:space="preserve">приёмка смеси и арматуры, режим выдерживания</x:t>
        </x:is>
      </x:c>
      <x:c r="D21" s="101" t="n">
        <x:f>COUNTIF('Опись'!$B$7:$B$206,$B21)</x:f>
        <x:v>0</x:v>
      </x:c>
      <x:c r="E21" s="101" t="n">
        <x:f>SUMPRODUCT(('Опись'!$B$7:$B$206=$B21)*(('Опись'!$G$7:$G$206="оригинал")+('Опись'!$G$7:$G$206="копия")+('Опись'!$G$7:$G$206="скан")))</x:f>
        <x:v>0</x:v>
      </x:c>
      <x:c r="F21" s="101" t="str">
        <x:f>IF(OR($A21="общий",$A21='Спорная зона'!$B$13),IF($E21=0,"дыра: документа нет","есть"),"не применяется")</x:f>
        <x:v>не применяется</x:v>
      </x:c>
      <x:c r="G21" s="58"/>
      <x:c r="H21" s="58"/>
      <x:c r="I21" s="58"/>
      <x:c r="J21" s="58"/>
    </x:row>
    <x:row r="22">
      <x:c r="A22" s="101" t="inlineStr">
        <x:is>
          <x:t xml:space="preserve">кладка</x:t>
        </x:is>
      </x:c>
      <x:c r="B22" s="101" t="inlineStr">
        <x:is>
          <x:t xml:space="preserve">специальный журнал работ</x:t>
        </x:is>
      </x:c>
      <x:c r="C22" s="101" t="inlineStr">
        <x:is>
          <x:t xml:space="preserve">журнал работ по кладке: захватки, армирование, перевязка</x:t>
        </x:is>
      </x:c>
      <x:c r="D22" s="101" t="n">
        <x:f>COUNTIF('Опись'!$B$7:$B$206,$B22)</x:f>
        <x:v>0</x:v>
      </x:c>
      <x:c r="E22" s="101" t="n">
        <x:f>SUMPRODUCT(('Опись'!$B$7:$B$206=$B22)*(('Опись'!$G$7:$G$206="оригинал")+('Опись'!$G$7:$G$206="копия")+('Опись'!$G$7:$G$206="скан")))</x:f>
        <x:v>0</x:v>
      </x:c>
      <x:c r="F22" s="101" t="str">
        <x:f>IF(OR($A22="общий",$A22='Спорная зона'!$B$13),IF($E22=0,"дыра: документа нет","есть"),"не применяется")</x:f>
        <x:v>не применяется</x:v>
      </x:c>
      <x:c r="G22" s="58"/>
      <x:c r="H22" s="58"/>
      <x:c r="I22" s="58"/>
      <x:c r="J22" s="58"/>
    </x:row>
    <x:row r="23">
      <x:c r="A23" s="101" t="inlineStr">
        <x:is>
          <x:t xml:space="preserve">кладка</x:t>
        </x:is>
      </x:c>
      <x:c r="B23" s="101" t="inlineStr">
        <x:is>
          <x:t xml:space="preserve">журнал входного контроля</x:t>
        </x:is>
      </x:c>
      <x:c r="C23" s="101" t="inlineStr">
        <x:is>
          <x:t xml:space="preserve">изделия и раствор: вид, марка, прочность</x:t>
        </x:is>
      </x:c>
      <x:c r="D23" s="101" t="n">
        <x:f>COUNTIF('Опись'!$B$7:$B$206,$B23)</x:f>
        <x:v>0</x:v>
      </x:c>
      <x:c r="E23" s="101" t="n">
        <x:f>SUMPRODUCT(('Опись'!$B$7:$B$206=$B23)*(('Опись'!$G$7:$G$206="оригинал")+('Опись'!$G$7:$G$206="копия")+('Опись'!$G$7:$G$206="скан")))</x:f>
        <x:v>0</x:v>
      </x:c>
      <x:c r="F23" s="101" t="str">
        <x:f>IF(OR($A23="общий",$A23='Спорная зона'!$B$13),IF($E23=0,"дыра: документа нет","есть"),"не применяется")</x:f>
        <x:v>не применяется</x:v>
      </x:c>
      <x:c r="G23" s="58"/>
      <x:c r="H23" s="58"/>
      <x:c r="I23" s="58"/>
      <x:c r="J23" s="58"/>
    </x:row>
    <x:row r="24">
      <x:c r="A24" s="101" t="inlineStr">
        <x:is>
          <x:t xml:space="preserve">отделка</x:t>
        </x:is>
      </x:c>
      <x:c r="B24" s="101" t="inlineStr">
        <x:is>
          <x:t xml:space="preserve">акт приёмки выполненных работ</x:t>
        </x:is>
      </x:c>
      <x:c r="C24" s="101" t="inlineStr">
        <x:is>
          <x:t xml:space="preserve">акты приёмки оснований под отделку</x:t>
        </x:is>
      </x:c>
      <x:c r="D24" s="101" t="n">
        <x:f>COUNTIF('Опись'!$B$7:$B$206,$B24)</x:f>
        <x:v>0</x:v>
      </x:c>
      <x:c r="E24" s="101" t="n">
        <x:f>SUMPRODUCT(('Опись'!$B$7:$B$206=$B24)*(('Опись'!$G$7:$G$206="оригинал")+('Опись'!$G$7:$G$206="копия")+('Опись'!$G$7:$G$206="скан")))</x:f>
        <x:v>0</x:v>
      </x:c>
      <x:c r="F24" s="101" t="str">
        <x:f>IF(OR($A24="общий",$A24='Спорная зона'!$B$13),IF($E24=0,"дыра: документа нет","есть"),"не применяется")</x:f>
        <x:v>не применяется</x:v>
      </x:c>
      <x:c r="G24" s="58"/>
      <x:c r="H24" s="58"/>
      <x:c r="I24" s="58"/>
      <x:c r="J24" s="58"/>
    </x:row>
    <x:row r="25">
      <x:c r="A25" s="101" t="inlineStr">
        <x:is>
          <x:t xml:space="preserve">отделка</x:t>
        </x:is>
      </x:c>
      <x:c r="B25" s="101" t="inlineStr">
        <x:is>
          <x:t xml:space="preserve">журнал входного контроля</x:t>
        </x:is>
      </x:c>
      <x:c r="C25" s="101" t="inlineStr">
        <x:is>
          <x:t xml:space="preserve">влажность и температурный режим помещений на момент работ</x:t>
        </x:is>
      </x:c>
      <x:c r="D25" s="101" t="n">
        <x:f>COUNTIF('Опись'!$B$7:$B$206,$B25)</x:f>
        <x:v>0</x:v>
      </x:c>
      <x:c r="E25" s="101" t="n">
        <x:f>SUMPRODUCT(('Опись'!$B$7:$B$206=$B25)*(('Опись'!$G$7:$G$206="оригинал")+('Опись'!$G$7:$G$206="копия")+('Опись'!$G$7:$G$206="скан")))</x:f>
        <x:v>0</x:v>
      </x:c>
      <x:c r="F25" s="101" t="str">
        <x:f>IF(OR($A25="общий",$A25='Спорная зона'!$B$13),IF($E25=0,"дыра: документа нет","есть"),"не применяется")</x:f>
        <x:v>не применяется</x:v>
      </x:c>
      <x:c r="G25" s="58"/>
      <x:c r="H25" s="58"/>
      <x:c r="I25" s="58"/>
      <x:c r="J25" s="58"/>
    </x:row>
    <x:row r="26">
      <x:c r="A26" s="101" t="inlineStr">
        <x:is>
          <x:t xml:space="preserve">отделка</x:t>
        </x:is>
      </x:c>
      <x:c r="B26" s="101" t="inlineStr">
        <x:is>
          <x:t xml:space="preserve">паспорт, сертификат, протокол испытаний</x:t>
        </x:is>
      </x:c>
      <x:c r="C26" s="101" t="inlineStr">
        <x:is>
          <x:t xml:space="preserve">материал и область его применения по данным изготовителя</x:t>
        </x:is>
      </x:c>
      <x:c r="D26" s="101" t="n">
        <x:f>COUNTIF('Опись'!$B$7:$B$206,$B26)</x:f>
        <x:v>0</x:v>
      </x:c>
      <x:c r="E26" s="101" t="n">
        <x:f>SUMPRODUCT(('Опись'!$B$7:$B$206=$B26)*(('Опись'!$G$7:$G$206="оригинал")+('Опись'!$G$7:$G$206="копия")+('Опись'!$G$7:$G$206="скан")))</x:f>
        <x:v>0</x:v>
      </x:c>
      <x:c r="F26" s="101" t="str">
        <x:f>IF(OR($A26="общий",$A26='Спорная зона'!$B$13),IF($E26=0,"дыра: документа нет","есть"),"не применяется")</x:f>
        <x:v>не применяется</x:v>
      </x:c>
      <x:c r="G26" s="58"/>
      <x:c r="H26" s="58"/>
      <x:c r="I26" s="58"/>
      <x:c r="J26" s="58"/>
    </x:row>
    <x:row r="27">
      <x:c r="A27" s="101" t="inlineStr">
        <x:is>
          <x:t xml:space="preserve">кровля и гидроизоляция</x:t>
        </x:is>
      </x:c>
      <x:c r="B27" s="101" t="inlineStr">
        <x:is>
          <x:t xml:space="preserve">акт освидетельствования скрытых работ</x:t>
        </x:is>
      </x:c>
      <x:c r="C27" s="101" t="inlineStr">
        <x:is>
          <x:t xml:space="preserve">освидетельствование по слоям кровельного пирога</x:t>
        </x:is>
      </x:c>
      <x:c r="D27" s="101" t="n">
        <x:f>COUNTIF('Опись'!$B$7:$B$206,$B27)</x:f>
        <x:v>0</x:v>
      </x:c>
      <x:c r="E27" s="101" t="n">
        <x:f>SUMPRODUCT(('Опись'!$B$7:$B$206=$B27)*(('Опись'!$G$7:$G$206="оригинал")+('Опись'!$G$7:$G$206="копия")+('Опись'!$G$7:$G$206="скан")))</x:f>
        <x:v>0</x:v>
      </x:c>
      <x:c r="F27" s="101" t="str">
        <x:f>IF(OR($A27="общий",$A27='Спорная зона'!$B$13),IF($E27=0,"дыра: документа нет","есть"),"не применяется")</x:f>
        <x:v>не применяется</x:v>
      </x:c>
      <x:c r="G27" s="58"/>
      <x:c r="H27" s="58"/>
      <x:c r="I27" s="58"/>
      <x:c r="J27" s="58"/>
    </x:row>
    <x:row r="28">
      <x:c r="A28" s="101" t="inlineStr">
        <x:is>
          <x:t xml:space="preserve">кровля и гидроизоляция</x:t>
        </x:is>
      </x:c>
      <x:c r="B28" s="101" t="inlineStr">
        <x:is>
          <x:t xml:space="preserve">исполнительная схема</x:t>
        </x:is>
      </x:c>
      <x:c r="C28" s="101" t="inlineStr">
        <x:is>
          <x:t xml:space="preserve">схема уклонов и водоотвода</x:t>
        </x:is>
      </x:c>
      <x:c r="D28" s="101" t="n">
        <x:f>COUNTIF('Опись'!$B$7:$B$206,$B28)</x:f>
        <x:v>0</x:v>
      </x:c>
      <x:c r="E28" s="101" t="n">
        <x:f>SUMPRODUCT(('Опись'!$B$7:$B$206=$B28)*(('Опись'!$G$7:$G$206="оригинал")+('Опись'!$G$7:$G$206="копия")+('Опись'!$G$7:$G$206="скан")))</x:f>
        <x:v>0</x:v>
      </x:c>
      <x:c r="F28" s="101" t="str">
        <x:f>IF(OR($A28="общий",$A28='Спорная зона'!$B$13),IF($E28=0,"дыра: документа нет","есть"),"не применяется")</x:f>
        <x:v>не применяется</x:v>
      </x:c>
      <x:c r="G28" s="58"/>
      <x:c r="H28" s="58"/>
      <x:c r="I28" s="58"/>
      <x:c r="J28" s="58"/>
    </x:row>
    <x:row r="29">
      <x:c r="A29" s="101" t="inlineStr">
        <x:is>
          <x:t xml:space="preserve">кровля и гидроизоляция</x:t>
        </x:is>
      </x:c>
      <x:c r="B29" s="101" t="inlineStr">
        <x:is>
          <x:t xml:space="preserve">акт допуска смежной организации</x:t>
        </x:is>
      </x:c>
      <x:c r="C29" s="101" t="inlineStr">
        <x:is>
          <x:t xml:space="preserve">последующие проходки и установка оборудования на кровле</x:t>
        </x:is>
      </x:c>
      <x:c r="D29" s="101" t="n">
        <x:f>COUNTIF('Опись'!$B$7:$B$206,$B29)</x:f>
        <x:v>0</x:v>
      </x:c>
      <x:c r="E29" s="101" t="n">
        <x:f>SUMPRODUCT(('Опись'!$B$7:$B$206=$B29)*(('Опись'!$G$7:$G$206="оригинал")+('Опись'!$G$7:$G$206="копия")+('Опись'!$G$7:$G$206="скан")))</x:f>
        <x:v>0</x:v>
      </x:c>
      <x:c r="F29" s="101" t="str">
        <x:f>IF(OR($A29="общий",$A29='Спорная зона'!$B$13),IF($E29=0,"дыра: документа нет","есть"),"не применяется")</x:f>
        <x:v>не применяется</x:v>
      </x:c>
      <x:c r="G29" s="58"/>
      <x:c r="H29" s="58"/>
      <x:c r="I29" s="58"/>
      <x:c r="J29" s="58"/>
    </x:row>
    <x:row r="30">
      <x:c r="A30" s="101" t="inlineStr">
        <x:is>
          <x:t xml:space="preserve">инженерные системы</x:t>
        </x:is>
      </x:c>
      <x:c r="B30" s="101" t="inlineStr">
        <x:is>
          <x:t xml:space="preserve">паспорт, сертификат, протокол испытаний</x:t>
        </x:is>
      </x:c>
      <x:c r="C30" s="101" t="inlineStr">
        <x:is>
          <x:t xml:space="preserve">акты испытаний и промывки, паспорта оборудования</x:t>
        </x:is>
      </x:c>
      <x:c r="D30" s="101" t="n">
        <x:f>COUNTIF('Опись'!$B$7:$B$206,$B30)</x:f>
        <x:v>0</x:v>
      </x:c>
      <x:c r="E30" s="101" t="n">
        <x:f>SUMPRODUCT(('Опись'!$B$7:$B$206=$B30)*(('Опись'!$G$7:$G$206="оригинал")+('Опись'!$G$7:$G$206="копия")+('Опись'!$G$7:$G$206="скан")))</x:f>
        <x:v>0</x:v>
      </x:c>
      <x:c r="F30" s="101" t="str">
        <x:f>IF(OR($A30="общий",$A30='Спорная зона'!$B$13),IF($E30=0,"дыра: документа нет","есть"),"не применяется")</x:f>
        <x:v>не применяется</x:v>
      </x:c>
      <x:c r="G30" s="58"/>
      <x:c r="H30" s="58"/>
      <x:c r="I30" s="58"/>
      <x:c r="J30" s="58"/>
    </x:row>
    <x:row r="31">
      <x:c r="A31" s="101" t="inlineStr">
        <x:is>
          <x:t xml:space="preserve">инженерные системы</x:t>
        </x:is>
      </x:c>
      <x:c r="B31" s="101" t="inlineStr">
        <x:is>
          <x:t xml:space="preserve">специальный журнал работ</x:t>
        </x:is>
      </x:c>
      <x:c r="C31" s="101" t="inlineStr">
        <x:is>
          <x:t xml:space="preserve">протоколы пусконаладки и монтажные записи</x:t>
        </x:is>
      </x:c>
      <x:c r="D31" s="101" t="n">
        <x:f>COUNTIF('Опись'!$B$7:$B$206,$B31)</x:f>
        <x:v>0</x:v>
      </x:c>
      <x:c r="E31" s="101" t="n">
        <x:f>SUMPRODUCT(('Опись'!$B$7:$B$206=$B31)*(('Опись'!$G$7:$G$206="оригинал")+('Опись'!$G$7:$G$206="копия")+('Опись'!$G$7:$G$206="скан")))</x:f>
        <x:v>0</x:v>
      </x:c>
      <x:c r="F31" s="101" t="str">
        <x:f>IF(OR($A31="общий",$A31='Спорная зона'!$B$13),IF($E31=0,"дыра: документа нет","есть"),"не применяется")</x:f>
        <x:v>не применяется</x:v>
      </x:c>
      <x:c r="G31" s="58"/>
      <x:c r="H31" s="58"/>
      <x:c r="I31" s="58"/>
      <x:c r="J31" s="58"/>
    </x:row>
    <x:row r="32">
      <x:c r="A32" s="101" t="inlineStr">
        <x:is>
          <x:t xml:space="preserve">инженерные системы</x:t>
        </x:is>
      </x:c>
      <x:c r="B32" s="101" t="inlineStr">
        <x:is>
          <x:t xml:space="preserve">журнал эксплуатационного обслуживания</x:t>
        </x:is>
      </x:c>
      <x:c r="C32" s="101" t="inlineStr">
        <x:is>
          <x:t xml:space="preserve">регламентное обслуживание после передачи системы</x:t>
        </x:is>
      </x:c>
      <x:c r="D32" s="101" t="n">
        <x:f>COUNTIF('Опись'!$B$7:$B$206,$B32)</x:f>
        <x:v>0</x:v>
      </x:c>
      <x:c r="E32" s="101" t="n">
        <x:f>SUMPRODUCT(('Опись'!$B$7:$B$206=$B32)*(('Опись'!$G$7:$G$206="оригинал")+('Опись'!$G$7:$G$206="копия")+('Опись'!$G$7:$G$206="скан")))</x:f>
        <x:v>0</x:v>
      </x:c>
      <x:c r="F32" s="101" t="str">
        <x:f>IF(OR($A32="общий",$A32='Спорная зона'!$B$13),IF($E32=0,"дыра: документа нет","есть"),"не применяется")</x:f>
        <x:v>не применяется</x:v>
      </x:c>
      <x:c r="G32" s="58"/>
      <x:c r="H32" s="58"/>
      <x:c r="I32" s="58"/>
      <x:c r="J32" s="58"/>
    </x:row>
    <x:row r="33">
      <x:c r="A33" s="101" t="inlineStr">
        <x:is>
          <x:t xml:space="preserve">иное</x:t>
        </x:is>
      </x:c>
      <x:c r="B33" s="101" t="inlineStr">
        <x:is>
          <x:t xml:space="preserve">заключение или акт обследования</x:t>
        </x:is>
      </x:c>
      <x:c r="C33" s="101" t="inlineStr">
        <x:is>
          <x:t xml:space="preserve">чужое заключение и перечень исходных данных его составителя</x:t>
        </x:is>
      </x:c>
      <x:c r="D33" s="101" t="n">
        <x:f>COUNTIF('Опись'!$B$7:$B$206,$B33)</x:f>
        <x:v>0</x:v>
      </x:c>
      <x:c r="E33" s="101" t="n">
        <x:f>SUMPRODUCT(('Опись'!$B$7:$B$206=$B33)*(('Опись'!$G$7:$G$206="оригинал")+('Опись'!$G$7:$G$206="копия")+('Опись'!$G$7:$G$206="скан")))</x:f>
        <x:v>0</x:v>
      </x:c>
      <x:c r="F33" s="101" t="str">
        <x:f>IF(OR($A33="общий",$A33='Спорная зона'!$B$13),IF($E33=0,"дыра: документа нет","есть"),"не применяется")</x:f>
        <x:v>не применяется</x:v>
      </x:c>
      <x:c r="G33" s="58"/>
      <x:c r="H33" s="58"/>
      <x:c r="I33" s="58"/>
      <x:c r="J33" s="58"/>
    </x:row>
    <x:row r="34">
      <x:c r="A34" s="58"/>
      <x:c r="B34" s="58"/>
      <x:c r="C34" s="58"/>
      <x:c r="D34" s="58"/>
      <x:c r="E34" s="58"/>
      <x:c r="F34" s="58"/>
      <x:c r="G34" s="58"/>
      <x:c r="H34" s="58"/>
      <x:c r="I34" s="58"/>
      <x:c r="J34" s="58"/>
    </x:row>
    <x:row r="35">
      <x:c r="A35" s="58"/>
      <x:c r="B35" s="58"/>
      <x:c r="C35" s="58"/>
      <x:c r="D35" s="58"/>
      <x:c r="E35" s="58"/>
      <x:c r="F35" s="58"/>
      <x:c r="G35" s="58"/>
      <x:c r="H35" s="58"/>
      <x:c r="I35" s="58"/>
      <x:c r="J35" s="58"/>
    </x:row>
    <x:row r="36">
      <x:c r="A36" s="58"/>
      <x:c r="B36" s="58"/>
      <x:c r="C36" s="58"/>
      <x:c r="D36" s="58"/>
      <x:c r="E36" s="58"/>
      <x:c r="F36" s="58"/>
      <x:c r="G36" s="58"/>
      <x:c r="H36" s="58"/>
      <x:c r="I36" s="58"/>
      <x:c r="J36" s="58"/>
    </x:row>
    <x:row r="37">
      <x:c r="A37" s="58"/>
      <x:c r="B37" s="58"/>
      <x:c r="C37" s="58"/>
      <x:c r="D37" s="58"/>
      <x:c r="E37" s="58"/>
      <x:c r="F37" s="58"/>
      <x:c r="G37" s="58"/>
      <x:c r="H37" s="58"/>
      <x:c r="I37" s="58"/>
      <x:c r="J37" s="58"/>
    </x:row>
    <x:row r="38">
      <x:c r="A38" s="58"/>
      <x:c r="B38" s="58"/>
      <x:c r="C38" s="58"/>
      <x:c r="D38" s="58"/>
      <x:c r="E38" s="58"/>
      <x:c r="F38" s="58"/>
      <x:c r="G38" s="58"/>
      <x:c r="H38" s="58"/>
      <x:c r="I38" s="58"/>
      <x:c r="J38" s="58"/>
    </x:row>
    <x:row r="39">
      <x:c r="A39" s="58"/>
      <x:c r="B39" s="58"/>
      <x:c r="C39" s="58"/>
      <x:c r="D39" s="58"/>
      <x:c r="E39" s="58"/>
      <x:c r="F39" s="58"/>
      <x:c r="G39" s="58"/>
      <x:c r="H39" s="58"/>
      <x:c r="I39" s="58"/>
      <x:c r="J39" s="58"/>
    </x:row>
    <x:row r="40">
      <x:c r="A40" s="58"/>
      <x:c r="B40" s="58"/>
      <x:c r="C40" s="58"/>
      <x:c r="D40" s="58"/>
      <x:c r="E40" s="58"/>
      <x:c r="F40" s="58"/>
      <x:c r="G40" s="58"/>
      <x:c r="H40" s="58"/>
      <x:c r="I40" s="58"/>
      <x:c r="J40" s="58"/>
    </x:row>
    <x:row r="41">
      <x:c r="A41" s="58"/>
      <x:c r="B41" s="58"/>
      <x:c r="C41" s="58"/>
      <x:c r="D41" s="58"/>
      <x:c r="E41" s="58"/>
      <x:c r="F41" s="58"/>
      <x:c r="G41" s="58"/>
      <x:c r="H41" s="58"/>
      <x:c r="I41" s="58"/>
      <x:c r="J41" s="58"/>
    </x:row>
    <x:row r="42">
      <x:c r="A42" s="58"/>
      <x:c r="B42" s="58"/>
      <x:c r="C42" s="58"/>
      <x:c r="D42" s="58"/>
      <x:c r="E42" s="58"/>
      <x:c r="F42" s="58"/>
      <x:c r="G42" s="58"/>
      <x:c r="H42" s="58"/>
      <x:c r="I42" s="58"/>
      <x:c r="J42" s="58"/>
    </x:row>
    <x:row r="43">
      <x:c r="A43" s="58"/>
      <x:c r="B43" s="58"/>
      <x:c r="C43" s="58"/>
      <x:c r="D43" s="58"/>
      <x:c r="E43" s="58"/>
      <x:c r="F43" s="58"/>
      <x:c r="G43" s="58"/>
      <x:c r="H43" s="58"/>
      <x:c r="I43" s="58"/>
      <x:c r="J43" s="58"/>
    </x:row>
    <x:row r="44">
      <x:c r="A44" s="58"/>
      <x:c r="B44" s="58"/>
      <x:c r="C44" s="58"/>
      <x:c r="D44" s="58"/>
      <x:c r="E44" s="58"/>
      <x:c r="F44" s="58"/>
      <x:c r="G44" s="58"/>
      <x:c r="H44" s="58"/>
      <x:c r="I44" s="58"/>
      <x:c r="J44" s="58"/>
    </x:row>
    <x:row r="45">
      <x:c r="A45" s="58"/>
      <x:c r="B45" s="58"/>
      <x:c r="C45" s="58"/>
      <x:c r="D45" s="58"/>
      <x:c r="E45" s="58"/>
      <x:c r="F45" s="58"/>
      <x:c r="G45" s="58"/>
      <x:c r="H45" s="58"/>
      <x:c r="I45" s="58"/>
      <x:c r="J45" s="58"/>
    </x:row>
    <x:row r="46">
      <x:c r="A46" s="58"/>
      <x:c r="B46" s="58"/>
      <x:c r="C46" s="58"/>
      <x:c r="D46" s="58"/>
      <x:c r="E46" s="58"/>
      <x:c r="F46" s="58"/>
      <x:c r="G46" s="58"/>
      <x:c r="H46" s="58"/>
      <x:c r="I46" s="58"/>
      <x:c r="J46" s="58"/>
    </x:row>
    <x:row r="47">
      <x:c r="A47" s="58"/>
      <x:c r="B47" s="58"/>
      <x:c r="C47" s="58"/>
      <x:c r="D47" s="58"/>
      <x:c r="E47" s="58"/>
      <x:c r="F47" s="58"/>
      <x:c r="G47" s="58"/>
      <x:c r="H47" s="58"/>
      <x:c r="I47" s="58"/>
      <x:c r="J47" s="58"/>
    </x:row>
    <x:row r="48">
      <x:c r="A48" s="58"/>
      <x:c r="B48" s="58"/>
      <x:c r="C48" s="58"/>
      <x:c r="D48" s="58"/>
      <x:c r="E48" s="58"/>
      <x:c r="F48" s="58"/>
      <x:c r="G48" s="58"/>
      <x:c r="H48" s="58"/>
      <x:c r="I48" s="58"/>
      <x:c r="J48" s="58"/>
    </x:row>
    <x:row r="49">
      <x:c r="A49" s="58"/>
      <x:c r="B49" s="58"/>
      <x:c r="C49" s="58"/>
      <x:c r="D49" s="58"/>
      <x:c r="E49" s="58"/>
      <x:c r="F49" s="58"/>
      <x:c r="G49" s="58"/>
      <x:c r="H49" s="58"/>
      <x:c r="I49" s="58"/>
      <x:c r="J49" s="58"/>
    </x:row>
    <x:row r="50">
      <x:c r="A50" s="58"/>
      <x:c r="B50" s="58"/>
      <x:c r="C50" s="58"/>
      <x:c r="D50" s="58"/>
      <x:c r="E50" s="58"/>
      <x:c r="F50" s="58"/>
      <x:c r="G50" s="58"/>
      <x:c r="H50" s="58"/>
      <x:c r="I50" s="58"/>
      <x:c r="J50" s="58"/>
    </x:row>
    <x:row r="51">
      <x:c r="A51" s="58"/>
      <x:c r="B51" s="58"/>
      <x:c r="C51" s="58"/>
      <x:c r="D51" s="58"/>
      <x:c r="E51" s="58"/>
      <x:c r="F51" s="58"/>
      <x:c r="G51" s="58"/>
      <x:c r="H51" s="58"/>
      <x:c r="I51" s="58"/>
      <x:c r="J51" s="58"/>
    </x:row>
    <x:row r="52">
      <x:c r="A52" s="58"/>
      <x:c r="B52" s="58"/>
      <x:c r="C52" s="58"/>
      <x:c r="D52" s="58"/>
      <x:c r="E52" s="58"/>
      <x:c r="F52" s="58"/>
      <x:c r="G52" s="58"/>
      <x:c r="H52" s="58"/>
      <x:c r="I52" s="58"/>
      <x:c r="J52" s="58"/>
    </x:row>
    <x:row r="53">
      <x:c r="A53" s="58"/>
      <x:c r="B53" s="58"/>
      <x:c r="C53" s="58"/>
      <x:c r="D53" s="58"/>
      <x:c r="E53" s="58"/>
      <x:c r="F53" s="58"/>
      <x:c r="G53" s="58"/>
      <x:c r="H53" s="58"/>
      <x:c r="I53" s="58"/>
      <x:c r="J53" s="58"/>
    </x:row>
    <x:row r="54">
      <x:c r="A54" s="58"/>
      <x:c r="B54" s="58"/>
      <x:c r="C54" s="58"/>
      <x:c r="D54" s="58"/>
      <x:c r="E54" s="58"/>
      <x:c r="F54" s="58"/>
      <x:c r="G54" s="58"/>
      <x:c r="H54" s="58"/>
      <x:c r="I54" s="58"/>
      <x:c r="J54" s="58"/>
    </x:row>
    <x:row r="55">
      <x:c r="A55" s="58"/>
      <x:c r="B55" s="58"/>
      <x:c r="C55" s="58"/>
      <x:c r="D55" s="58"/>
      <x:c r="E55" s="58"/>
      <x:c r="F55" s="58"/>
      <x:c r="G55" s="58"/>
      <x:c r="H55" s="58"/>
      <x:c r="I55" s="58"/>
      <x:c r="J55" s="58"/>
    </x:row>
    <x:row r="56">
      <x:c r="A56" s="58"/>
      <x:c r="B56" s="58"/>
      <x:c r="C56" s="58"/>
      <x:c r="D56" s="58"/>
      <x:c r="E56" s="58"/>
      <x:c r="F56" s="58"/>
      <x:c r="G56" s="58"/>
      <x:c r="H56" s="58"/>
      <x:c r="I56" s="58"/>
      <x:c r="J56" s="58"/>
    </x:row>
    <x:row r="57">
      <x:c r="A57" s="58"/>
      <x:c r="B57" s="58"/>
      <x:c r="C57" s="58"/>
      <x:c r="D57" s="58"/>
      <x:c r="E57" s="58"/>
      <x:c r="F57" s="58"/>
      <x:c r="G57" s="58"/>
      <x:c r="H57" s="58"/>
      <x:c r="I57" s="58"/>
      <x:c r="J57" s="58"/>
    </x:row>
    <x:row r="58">
      <x:c r="A58" s="58"/>
      <x:c r="B58" s="58"/>
      <x:c r="C58" s="58"/>
      <x:c r="D58" s="58"/>
      <x:c r="E58" s="58"/>
      <x:c r="F58" s="58"/>
      <x:c r="G58" s="58"/>
      <x:c r="H58" s="58"/>
      <x:c r="I58" s="58"/>
      <x:c r="J58" s="58"/>
    </x:row>
    <x:row r="59">
      <x:c r="A59" s="58"/>
      <x:c r="B59" s="58"/>
      <x:c r="C59" s="58"/>
      <x:c r="D59" s="58"/>
      <x:c r="E59" s="58"/>
      <x:c r="F59" s="58"/>
      <x:c r="G59" s="58"/>
      <x:c r="H59" s="58"/>
      <x:c r="I59" s="58"/>
      <x:c r="J59" s="58"/>
    </x:row>
    <x:row r="60">
      <x:c r="A60" s="58"/>
      <x:c r="B60" s="58"/>
      <x:c r="C60" s="58"/>
      <x:c r="D60" s="58"/>
      <x:c r="E60" s="58"/>
      <x:c r="F60" s="58"/>
      <x:c r="G60" s="58"/>
      <x:c r="H60" s="58"/>
      <x:c r="I60" s="58"/>
      <x:c r="J60" s="58"/>
    </x:row>
    <x:row r="61">
      <x:c r="A61" s="58"/>
      <x:c r="B61" s="58"/>
      <x:c r="C61" s="58"/>
      <x:c r="D61" s="58"/>
      <x:c r="E61" s="58"/>
      <x:c r="F61" s="58"/>
      <x:c r="G61" s="58"/>
      <x:c r="H61" s="58"/>
      <x:c r="I61" s="58"/>
      <x:c r="J61" s="58"/>
    </x:row>
    <x:row r="62" ht="46" customHeight="1">
      <x:c r="A62" s="49" t="inlineStr">
        <x:is>
          <x:t xml:space="preserve">Перечень типовой. Состав документов по вашему объекту определяется договором и требованиями, действующими на дату заполнения; сверяете вы. «Дыра: документа нет» означает, что в описи нет ни одной строки этого вида документа в наличии, — а не то, что документа не существует: заведите строку или направьте запрос другой стороне.</x:t>
        </x:is>
      </x:c>
      <x:c r="B62" s="58"/>
      <x:c r="C62" s="58"/>
      <x:c r="D62" s="58"/>
      <x:c r="E62" s="58"/>
      <x:c r="F62" s="58"/>
      <x:c r="G62" s="58"/>
      <x:c r="H62" s="58"/>
      <x:c r="I62" s="58"/>
      <x:c r="J62" s="58"/>
    </x:row>
    <x:row r="63">
      <x:c r="A63" s="58"/>
      <x:c r="B63" s="58"/>
      <x:c r="C63" s="58"/>
      <x:c r="D63" s="58"/>
      <x:c r="E63" s="58"/>
      <x:c r="F63" s="58"/>
      <x:c r="G63" s="58"/>
      <x:c r="H63" s="58"/>
      <x:c r="I63" s="58"/>
      <x:c r="J63" s="58"/>
    </x:row>
    <x:row r="64">
      <x:c r="A64" s="58"/>
      <x:c r="B64" s="58"/>
      <x:c r="C64" s="58"/>
      <x:c r="D64" s="58"/>
      <x:c r="E64" s="58"/>
      <x:c r="F64" s="58"/>
      <x:c r="G64" s="58"/>
      <x:c r="H64" s="58"/>
      <x:c r="I64" s="58"/>
      <x:c r="J64" s="58"/>
    </x:row>
    <x:row r="65">
      <x:c r="A65" s="58"/>
      <x:c r="B65" s="58"/>
      <x:c r="C65" s="58"/>
      <x:c r="D65" s="58"/>
      <x:c r="E65" s="58"/>
      <x:c r="F65" s="58"/>
      <x:c r="G65" s="58"/>
      <x:c r="H65" s="58"/>
      <x:c r="I65" s="58"/>
      <x:c r="J65" s="58"/>
    </x:row>
  </x:sheetData>
  <x:mergeCells>
    <x:mergeCell ref="A2:F2"/>
    <x:mergeCell ref="A62:F62"/>
  </x:mergeCells>
  <x:pageMargins left="0.3" right="0.3" top="0.4" bottom="0.4" header="0.2" footer="0.2"/>
  <x:pageSetup paperSize="9" orientation="landscape" fitToWidth="1" fitToHeight="0"/>
</x:worksheet>
</file>

<file path=xl/worksheets/sheet4.xml><?xml version="1.0" encoding="utf-8"?>
<x:worksheet xmlns:x="http://schemas.openxmlformats.org/spreadsheetml/2006/main">
  <x:sheetPr>
    <x:pageSetUpPr fitToPage="1"/>
  </x:sheetPr>
  <x:sheetFormatPr baseColWidth="8" defaultRowHeight="15"/>
  <x:cols>
    <x:col min="1" max="1" width="46" customWidth="1"/>
    <x:col min="2" max="2" width="22" customWidth="1"/>
    <x:col min="3" max="3" width="4" customWidth="1"/>
    <x:col min="4" max="4" width="60" customWidth="1"/>
  </x:cols>
  <x:sheetData>
    <x:row r="1" ht="31" customHeight="1">
      <x:c r="A1" s="76" t="str">
        <x:v>Сводка: недостающие доказательства</x:v>
      </x:c>
      <x:c r="B1" s="76"/>
      <x:c r="C1" s="76"/>
      <x:c r="D1" s="76"/>
      <x:c r="E1" s="76"/>
      <x:c r="F1" s="76"/>
      <x:c r="G1" s="76"/>
      <x:c r="H1" s="58"/>
      <x:c r="I1" s="58"/>
    </x:row>
    <x:row r="2">
      <x:c r="A2" s="88" t="inlineStr">
        <x:is>
          <x:t xml:space="preserve">Считается по листам «Опись» и «Обязательный минимум». Вводимое поле одно — порог ожидания ответа, и он живёт на листе «Спорная зона».</x:t>
        </x:is>
      </x:c>
      <x:c r="B2" s="58"/>
      <x:c r="C2" s="58"/>
      <x:c r="D2" s="58"/>
      <x:c r="E2" s="58"/>
      <x:c r="F2" s="58"/>
      <x:c r="G2" s="58"/>
      <x:c r="H2" s="58"/>
      <x:c r="I2" s="58"/>
    </x:row>
    <x:row r="3">
      <x:c r="A3" s="58"/>
      <x:c r="B3" s="58"/>
      <x:c r="C3" s="58"/>
      <x:c r="D3" s="58"/>
      <x:c r="E3" s="58"/>
      <x:c r="F3" s="58"/>
      <x:c r="G3" s="58"/>
      <x:c r="H3" s="58"/>
      <x:c r="I3" s="58"/>
    </x:row>
    <x:row r="4">
      <x:c r="A4" s="59" t="inlineStr">
        <x:is>
          <x:t xml:space="preserve">Всего строк в описи</x:t>
        </x:is>
      </x:c>
      <x:c r="B4" s="117" t="n">
        <x:f>SUMPRODUCT(('Опись'!$B$7:$B$206&lt;&gt;"")*1)</x:f>
        <x:v>0</x:v>
      </x:c>
      <x:c r="C4" s="58"/>
      <x:c r="D4" s="49" t="inlineStr">
        <x:is>
          <x:t xml:space="preserve">Объём собранного</x:t>
        </x:is>
      </x:c>
      <x:c r="E4" s="58"/>
      <x:c r="F4" s="58"/>
      <x:c r="G4" s="58"/>
      <x:c r="H4" s="58"/>
      <x:c r="I4" s="58"/>
    </x:row>
    <x:row r="5">
      <x:c r="A5" s="59" t="inlineStr">
        <x:is>
          <x:t xml:space="preserve">Обязательных для причины</x:t>
        </x:is>
      </x:c>
      <x:c r="B5" s="117" t="n">
        <x:f>COUNTIF('Опись'!$J$7:$J$206,"да")</x:f>
        <x:v>0</x:v>
      </x:c>
      <x:c r="C5" s="58"/>
      <x:c r="D5" s="49" t="inlineStr">
        <x:is>
          <x:t xml:space="preserve">Строки, отмеченные «обязателен для причины»</x:t>
        </x:is>
      </x:c>
      <x:c r="E5" s="58"/>
      <x:c r="F5" s="58"/>
      <x:c r="G5" s="58"/>
      <x:c r="H5" s="58"/>
      <x:c r="I5" s="58"/>
    </x:row>
    <x:row r="6">
      <x:c r="A6" s="59" t="inlineStr">
        <x:is>
          <x:t xml:space="preserve">Дыр: обязательных и отсутствующих</x:t>
        </x:is>
      </x:c>
      <x:c r="B6" s="117" t="n">
        <x:f>SUMPRODUCT(('Опись'!$J$7:$J$206="да")*('Опись'!$G$7:$G$206="нет"))</x:f>
        <x:v>0</x:v>
      </x:c>
      <x:c r="C6" s="58"/>
      <x:c r="D6" s="49" t="inlineStr">
        <x:is>
          <x:t xml:space="preserve">Целевое значение — ноль</x:t>
        </x:is>
      </x:c>
      <x:c r="E6" s="58"/>
      <x:c r="F6" s="58"/>
      <x:c r="G6" s="58"/>
      <x:c r="H6" s="58"/>
      <x:c r="I6" s="58"/>
    </x:row>
    <x:row r="7">
      <x:c r="A7" s="59" t="inlineStr">
        <x:is>
          <x:t xml:space="preserve">Из них запрос не направлен</x:t>
        </x:is>
      </x:c>
      <x:c r="B7" s="117" t="n">
        <x:f>SUMPRODUCT(('Опись'!$J$7:$J$206="да")*('Опись'!$G$7:$G$206="нет")*('Опись'!$P$7:$P$206&lt;&gt;"да"))</x:f>
        <x:v>0</x:v>
      </x:c>
      <x:c r="C7" s="58"/>
      <x:c r="D7" s="49" t="inlineStr">
        <x:is>
          <x:t xml:space="preserve">То, что можно закрыть сегодня письмом</x:t>
        </x:is>
      </x:c>
      <x:c r="E7" s="58"/>
      <x:c r="F7" s="58"/>
      <x:c r="G7" s="58"/>
      <x:c r="H7" s="58"/>
      <x:c r="I7" s="58"/>
    </x:row>
    <x:row r="8">
      <x:c r="A8" s="59" t="inlineStr">
        <x:is>
          <x:t xml:space="preserve">Запрошено и не получено</x:t>
        </x:is>
      </x:c>
      <x:c r="B8" s="117" t="n">
        <x:f>SUMPRODUCT(('Опись'!$P$7:$P$206="да")*('Опись'!$R$7:$R$206&lt;&gt;"да"))</x:f>
        <x:v>0</x:v>
      </x:c>
      <x:c r="C8" s="58"/>
      <x:c r="D8" s="49" t="inlineStr">
        <x:is>
          <x:t xml:space="preserve">Ждёте ответа другой стороны; после порога строки желтеют</x:t>
        </x:is>
      </x:c>
      <x:c r="E8" s="58"/>
      <x:c r="F8" s="58"/>
      <x:c r="G8" s="58"/>
      <x:c r="H8" s="58"/>
      <x:c r="I8" s="58"/>
    </x:row>
    <x:row r="9">
      <x:c r="A9" s="59" t="inlineStr">
        <x:is>
          <x:t xml:space="preserve">Передано без следа</x:t>
        </x:is>
      </x:c>
      <x:c r="B9" s="117" t="n">
        <x:f>SUMPRODUCT(((('Опись'!$K$7:$K$206="да")+('Опись'!$N$7:$N$206="да"))&gt;0)*('Опись'!$M$7:$M$206=""))</x:f>
        <x:v>0</x:v>
      </x:c>
      <x:c r="C9" s="58"/>
      <x:c r="D9" s="49" t="inlineStr">
        <x:is>
          <x:t xml:space="preserve">«Передал без следа» = «не передал»</x:t>
        </x:is>
      </x:c>
      <x:c r="E9" s="58"/>
      <x:c r="F9" s="58"/>
      <x:c r="G9" s="58"/>
      <x:c r="H9" s="58"/>
      <x:c r="I9" s="58"/>
    </x:row>
    <x:row r="10">
      <x:c r="A10" s="59" t="inlineStr">
        <x:is>
          <x:t xml:space="preserve">Обязательных, не переданных эксперту</x:t>
        </x:is>
      </x:c>
      <x:c r="B10" s="117" t="n">
        <x:f>SUMPRODUCT(('Опись'!$J$7:$J$206="да")*('Опись'!$G$7:$G$206&lt;&gt;"нет")*('Опись'!$G$7:$G$206&lt;&gt;"")*('Опись'!$N$7:$N$206&lt;&gt;"да"))</x:f>
        <x:v>0</x:v>
      </x:c>
      <x:c r="C10" s="58"/>
      <x:c r="D10" s="49" t="inlineStr">
        <x:is>
          <x:t xml:space="preserve">Документ есть, но к эксперту не попал</x:t>
        </x:is>
      </x:c>
      <x:c r="E10" s="58"/>
      <x:c r="F10" s="58"/>
      <x:c r="G10" s="58"/>
      <x:c r="H10" s="58"/>
      <x:c r="I10" s="58"/>
    </x:row>
    <x:row r="11">
      <x:c r="A11" s="59" t="inlineStr">
        <x:is>
          <x:t xml:space="preserve">Доля обязательных, обеспеченных документом</x:t>
        </x:is>
      </x:c>
      <x:c r="B11" s="117" t="str">
        <x:f>IFERROR(ROUND(SUMPRODUCT(('Опись'!$J$7:$J$206="да")*('Опись'!$G$7:$G$206&lt;&gt;"нет")*('Опись'!$G$7:$G$206&lt;&gt;""))/COUNTIF('Опись'!$J$7:$J$206,"да"),2),"")</x:f>
      </x:c>
      <x:c r="C11" s="58"/>
      <x:c r="D11" s="49" t="inlineStr">
        <x:is>
          <x:t xml:space="preserve">Пусто, пока обязательных строк нет</x:t>
        </x:is>
      </x:c>
      <x:c r="E11" s="58"/>
      <x:c r="F11" s="58"/>
      <x:c r="G11" s="58"/>
      <x:c r="H11" s="58"/>
      <x:c r="I11" s="58"/>
    </x:row>
    <x:row r="12">
      <x:c r="A12" s="59" t="inlineStr">
        <x:is>
          <x:t xml:space="preserve">Первая дыра</x:t>
        </x:is>
      </x:c>
      <x:c r="B12" s="117" t="str">
        <x:f>IFERROR(INDEX('Опись'!$C$7:$C$206,MATCH(1,INDEX(('Опись'!$J$7:$J$206="да")*('Опись'!$G$7:$G$206="нет"),0),0)),"дыр нет")</x:f>
        <x:v>дыр нет</x:v>
      </x:c>
      <x:c r="C12" s="58"/>
      <x:c r="D12" s="49" t="inlineStr">
        <x:is>
          <x:t xml:space="preserve">С чего начинать</x:t>
        </x:is>
      </x:c>
      <x:c r="E12" s="58"/>
      <x:c r="F12" s="58"/>
      <x:c r="G12" s="58"/>
      <x:c r="H12" s="58"/>
      <x:c r="I12" s="58"/>
    </x:row>
    <x:row r="13">
      <x:c r="A13" s="59" t="inlineStr">
        <x:is>
          <x:t xml:space="preserve">Блоков минимума не закрыто</x:t>
        </x:is>
      </x:c>
      <x:c r="B13" s="117" t="n">
        <x:f>COUNTIF('Обязательный минимум'!$F$5:$F$60,"дыра: документа нет")</x:f>
        <x:v>14</x:v>
      </x:c>
      <x:c r="C13" s="58"/>
      <x:c r="D13" s="49" t="inlineStr">
        <x:is>
          <x:t xml:space="preserve">По выбранному ведущему виду работ</x:t>
        </x:is>
      </x:c>
      <x:c r="E13" s="58"/>
      <x:c r="F13" s="58"/>
      <x:c r="G13" s="58"/>
      <x:c r="H13" s="58"/>
      <x:c r="I13" s="58"/>
    </x:row>
    <x:row r="14">
      <x:c r="A14" s="58"/>
      <x:c r="B14" s="58"/>
      <x:c r="C14" s="58"/>
      <x:c r="D14" s="58"/>
      <x:c r="E14" s="58"/>
      <x:c r="F14" s="58"/>
      <x:c r="G14" s="58"/>
      <x:c r="H14" s="58"/>
      <x:c r="I14" s="58"/>
    </x:row>
    <x:row r="15" ht="46" customHeight="1">
      <x:c r="A15" s="118" t="str">
        <x:f>IF($B$4=0,"НЕТ ДАННЫХ: заполните опись и обязательный минимум",IF(COUNTIF('Опись'!$U$7:$U$206,"НЕ ПРОВЕРЕНО*")&gt;0,"НЕ ПРОВЕРЕНО: устраните неизвестные сведения",IF(OR($B$6&gt;0,$B$13&gt;0),"Есть незакрытые обязательные документы или блоки минимума. Закройте дыры или направьте запрос.",IF(OR($B$8&gt;0,$B$9&gt;0,$B$10&gt;0,COUNTIF('Опись'!$U$7:$U$206,"передан без следа*")&gt;0),"Проверьте запросы, получение и передачу эксперту","По внесённым сведениям минимум закрыт; сверить состав и доказательства передачи"))))</x:f>
        <x:v>НЕТ ДАННЫХ: заполните опись и обязательный минимум</x:v>
      </x:c>
      <x:c r="B15" s="58"/>
      <x:c r="C15" s="58"/>
      <x:c r="D15" s="58"/>
      <x:c r="E15" s="58"/>
      <x:c r="F15" s="58"/>
      <x:c r="G15" s="58"/>
      <x:c r="H15" s="58"/>
      <x:c r="I15" s="58"/>
    </x:row>
    <x:row r="16">
      <x:c r="A16" s="58"/>
      <x:c r="B16" s="58"/>
      <x:c r="C16" s="58"/>
      <x:c r="D16" s="58"/>
      <x:c r="E16" s="58"/>
      <x:c r="F16" s="58"/>
      <x:c r="G16" s="58"/>
      <x:c r="H16" s="58"/>
      <x:c r="I16" s="58"/>
    </x:row>
    <x:row r="17" ht="34" customHeight="1">
      <x:c r="A17" s="114" t="inlineStr">
        <x:is>
          <x:t xml:space="preserve">Опись показывает состояние доказательств, а не перспективу спора: утверждений об исходе здесь нет и быть не должно. Ненулевое число дыр — это перечень дел на сегодня, а не оценка ваших шансов.</x:t>
        </x:is>
      </x:c>
      <x:c r="B17" s="58"/>
      <x:c r="C17" s="58"/>
      <x:c r="D17" s="58"/>
      <x:c r="E17" s="58"/>
      <x:c r="F17" s="58"/>
      <x:c r="G17" s="58"/>
      <x:c r="H17" s="58"/>
      <x:c r="I17" s="58"/>
    </x:row>
    <x:row r="18">
      <x:c r="A18" s="58"/>
      <x:c r="B18" s="58"/>
      <x:c r="C18" s="58"/>
      <x:c r="D18" s="58"/>
      <x:c r="E18" s="58"/>
      <x:c r="F18" s="58"/>
      <x:c r="G18" s="58"/>
      <x:c r="H18" s="58"/>
      <x:c r="I18" s="58"/>
    </x:row>
    <x:row r="19">
      <x:c r="A19" s="58"/>
      <x:c r="B19" s="58"/>
      <x:c r="C19" s="58"/>
      <x:c r="D19" s="58"/>
      <x:c r="E19" s="58"/>
      <x:c r="F19" s="58"/>
      <x:c r="G19" s="58"/>
      <x:c r="H19" s="58"/>
      <x:c r="I19" s="58"/>
    </x:row>
    <x:row r="20">
      <x:c r="A20" s="58"/>
      <x:c r="B20" s="58"/>
      <x:c r="C20" s="58"/>
      <x:c r="D20" s="58"/>
      <x:c r="E20" s="58"/>
      <x:c r="F20" s="58"/>
      <x:c r="G20" s="58"/>
      <x:c r="H20" s="58"/>
      <x:c r="I20" s="58"/>
    </x:row>
    <x:row r="21">
      <x:c r="A21" s="58"/>
      <x:c r="B21" s="58"/>
      <x:c r="C21" s="58"/>
      <x:c r="D21" s="58"/>
      <x:c r="E21" s="58"/>
      <x:c r="F21" s="58"/>
      <x:c r="G21" s="58"/>
      <x:c r="H21" s="58"/>
      <x:c r="I21" s="58"/>
    </x:row>
    <x:row r="22">
      <x:c r="A22" s="58"/>
      <x:c r="B22" s="58"/>
      <x:c r="C22" s="58"/>
      <x:c r="D22" s="58"/>
      <x:c r="E22" s="58"/>
      <x:c r="F22" s="58"/>
      <x:c r="G22" s="58"/>
      <x:c r="H22" s="58"/>
      <x:c r="I22" s="58"/>
    </x:row>
    <x:row r="23">
      <x:c r="A23" s="58"/>
      <x:c r="B23" s="58"/>
      <x:c r="C23" s="58"/>
      <x:c r="D23" s="58"/>
      <x:c r="E23" s="58"/>
      <x:c r="F23" s="58"/>
      <x:c r="G23" s="58"/>
      <x:c r="H23" s="58"/>
      <x:c r="I23" s="58"/>
    </x:row>
    <x:row r="24">
      <x:c r="A24" s="58"/>
      <x:c r="B24" s="58"/>
      <x:c r="C24" s="58"/>
      <x:c r="D24" s="58"/>
      <x:c r="E24" s="58"/>
      <x:c r="F24" s="58"/>
      <x:c r="G24" s="58"/>
      <x:c r="H24" s="58"/>
      <x:c r="I24" s="58"/>
    </x:row>
    <x:row r="25">
      <x:c r="A25" s="58"/>
      <x:c r="B25" s="58"/>
      <x:c r="C25" s="58"/>
      <x:c r="D25" s="58"/>
      <x:c r="E25" s="58"/>
      <x:c r="F25" s="58"/>
      <x:c r="G25" s="58"/>
      <x:c r="H25" s="58"/>
      <x:c r="I25" s="58"/>
    </x:row>
    <x:row r="26">
      <x:c r="A26" s="58"/>
      <x:c r="B26" s="58"/>
      <x:c r="C26" s="58"/>
      <x:c r="D26" s="58"/>
      <x:c r="E26" s="58"/>
      <x:c r="F26" s="58"/>
      <x:c r="G26" s="58"/>
      <x:c r="H26" s="58"/>
      <x:c r="I26" s="58"/>
    </x:row>
    <x:row r="27">
      <x:c r="A27" s="58"/>
      <x:c r="B27" s="58"/>
      <x:c r="C27" s="58"/>
      <x:c r="D27" s="58"/>
      <x:c r="E27" s="58"/>
      <x:c r="F27" s="58"/>
      <x:c r="G27" s="58"/>
      <x:c r="H27" s="58"/>
      <x:c r="I27" s="58"/>
    </x:row>
    <x:row r="28">
      <x:c r="A28" s="58"/>
      <x:c r="B28" s="58"/>
      <x:c r="C28" s="58"/>
      <x:c r="D28" s="58"/>
      <x:c r="E28" s="58"/>
      <x:c r="F28" s="58"/>
      <x:c r="G28" s="58"/>
      <x:c r="H28" s="58"/>
      <x:c r="I28" s="58"/>
    </x:row>
  </x:sheetData>
  <x:mergeCells>
    <x:mergeCell ref="A15:D15"/>
    <x:mergeCell ref="A17:D17"/>
    <x:mergeCell ref="A2:D2"/>
  </x:mergeCells>
  <x:pageMargins left="0.3" right="0.3" top="0.4" bottom="0.4" header="0.2" footer="0.2"/>
  <x:pageSetup paperSize="9" orientation="landscape" fitToWidth="1" fitToHeight="0"/>
</x:worksheet>
</file>

<file path=xl/worksheets/sheet5.xml><?xml version="1.0" encoding="utf-8"?>
<x:worksheet xmlns:x="http://schemas.openxmlformats.org/spreadsheetml/2006/main">
  <x:sheetPr>
    <x:pageSetUpPr fitToPage="1"/>
  </x:sheetPr>
  <x:sheetFormatPr baseColWidth="8" defaultRowHeight="15"/>
  <x:cols>
    <x:col min="1" max="1" width="44" customWidth="1"/>
    <x:col min="2" max="2" width="3" customWidth="1"/>
    <x:col min="3" max="3" width="16" customWidth="1"/>
    <x:col min="4" max="4" width="3" customWidth="1"/>
    <x:col min="5" max="5" width="26" customWidth="1"/>
    <x:col min="6" max="6" width="3" customWidth="1"/>
    <x:col min="7" max="7" width="30" customWidth="1"/>
  </x:cols>
  <x:sheetData>
    <x:row r="1" ht="31" customHeight="1">
      <x:c r="A1" s="76" t="inlineStr">
        <x:is>
          <x:t xml:space="preserve">Справочники</x:t>
        </x:is>
      </x:c>
      <x:c r="B1" s="76"/>
      <x:c r="C1" s="76"/>
      <x:c r="D1" s="76"/>
      <x:c r="E1" s="76"/>
      <x:c r="F1" s="76"/>
      <x:c r="G1" s="76"/>
      <x:c r="H1" s="76"/>
      <x:c r="I1" s="76"/>
    </x:row>
    <x:row r="2" ht="35" customHeight="1">
      <x:c r="A2" s="99" t="inlineStr">
        <x:is>
          <x:t xml:space="preserve">Вид документа</x:t>
        </x:is>
      </x:c>
      <x:c r="B2" s="110"/>
      <x:c r="C2" s="99" t="inlineStr">
        <x:is>
          <x:t xml:space="preserve">Наличие</x:t>
        </x:is>
      </x:c>
      <x:c r="D2" s="110"/>
      <x:c r="E2" s="99" t="inlineStr">
        <x:is>
          <x:t xml:space="preserve">Ведущий вид работ</x:t>
        </x:is>
      </x:c>
      <x:c r="F2" s="110"/>
      <x:c r="G2" s="99" t="inlineStr">
        <x:is>
          <x:t xml:space="preserve">Что подтверждает</x:t>
        </x:is>
      </x:c>
      <x:c r="H2" s="110"/>
      <x:c r="I2" s="110"/>
    </x:row>
    <x:row r="3">
      <x:c r="A3" s="101" t="inlineStr">
        <x:is>
          <x:t xml:space="preserve">договор и приложения</x:t>
        </x:is>
      </x:c>
      <x:c r="B3" s="58"/>
      <x:c r="C3" s="101" t="inlineStr">
        <x:is>
          <x:t xml:space="preserve">оригинал</x:t>
        </x:is>
      </x:c>
      <x:c r="D3" s="58"/>
      <x:c r="E3" s="101" t="inlineStr">
        <x:is>
          <x:t xml:space="preserve">бетон и монолит</x:t>
        </x:is>
      </x:c>
      <x:c r="F3" s="58"/>
      <x:c r="G3" s="101" t="inlineStr">
        <x:is>
          <x:t xml:space="preserve">объём и факт выполнения</x:t>
        </x:is>
      </x:c>
      <x:c r="H3" s="58"/>
      <x:c r="I3" s="58"/>
    </x:row>
    <x:row r="4">
      <x:c r="A4" s="101" t="inlineStr">
        <x:is>
          <x:t xml:space="preserve">проектная и рабочая документация</x:t>
        </x:is>
      </x:c>
      <x:c r="B4" s="58"/>
      <x:c r="C4" s="101" t="inlineStr">
        <x:is>
          <x:t xml:space="preserve">копия</x:t>
        </x:is>
      </x:c>
      <x:c r="D4" s="58"/>
      <x:c r="E4" s="101" t="inlineStr">
        <x:is>
          <x:t xml:space="preserve">кладка</x:t>
        </x:is>
      </x:c>
      <x:c r="F4" s="58"/>
      <x:c r="G4" s="101" t="inlineStr">
        <x:is>
          <x:t xml:space="preserve">качество и соответствие</x:t>
        </x:is>
      </x:c>
      <x:c r="H4" s="58"/>
      <x:c r="I4" s="58"/>
    </x:row>
    <x:row r="5">
      <x:c r="A5" s="101" t="inlineStr">
        <x:is>
          <x:t xml:space="preserve">акт передачи фронта работ</x:t>
        </x:is>
      </x:c>
      <x:c r="B5" s="58"/>
      <x:c r="C5" s="101" t="inlineStr">
        <x:is>
          <x:t xml:space="preserve">скан</x:t>
        </x:is>
      </x:c>
      <x:c r="D5" s="58"/>
      <x:c r="E5" s="101" t="inlineStr">
        <x:is>
          <x:t xml:space="preserve">отделка</x:t>
        </x:is>
      </x:c>
      <x:c r="F5" s="58"/>
      <x:c r="G5" s="101" t="inlineStr">
        <x:is>
          <x:t xml:space="preserve">граница ответственности</x:t>
        </x:is>
      </x:c>
      <x:c r="H5" s="58"/>
      <x:c r="I5" s="58"/>
    </x:row>
    <x:row r="6">
      <x:c r="A6" s="101" t="inlineStr">
        <x:is>
          <x:t xml:space="preserve">акт разграничения ответственности</x:t>
        </x:is>
      </x:c>
      <x:c r="B6" s="58"/>
      <x:c r="C6" s="101" t="inlineStr">
        <x:is>
          <x:t xml:space="preserve">нет</x:t>
        </x:is>
      </x:c>
      <x:c r="D6" s="58"/>
      <x:c r="E6" s="101" t="inlineStr">
        <x:is>
          <x:t xml:space="preserve">кровля и гидроизоляция</x:t>
        </x:is>
      </x:c>
      <x:c r="F6" s="58"/>
      <x:c r="G6" s="101" t="inlineStr">
        <x:is>
          <x:t xml:space="preserve">состояние на дату сдачи</x:t>
        </x:is>
      </x:c>
      <x:c r="H6" s="58"/>
      <x:c r="I6" s="58"/>
    </x:row>
    <x:row r="7">
      <x:c r="A7" s="101" t="inlineStr">
        <x:is>
          <x:t xml:space="preserve">акт освидетельствования скрытых работ</x:t>
        </x:is>
      </x:c>
      <x:c r="B7" s="58"/>
      <x:c r="C7" s="58"/>
      <x:c r="D7" s="58"/>
      <x:c r="E7" s="101" t="inlineStr">
        <x:is>
          <x:t xml:space="preserve">инженерные системы</x:t>
        </x:is>
      </x:c>
      <x:c r="F7" s="58"/>
      <x:c r="G7" s="101" t="inlineStr">
        <x:is>
          <x:t xml:space="preserve">доступ третьих лиц</x:t>
        </x:is>
      </x:c>
      <x:c r="H7" s="58"/>
      <x:c r="I7" s="58"/>
    </x:row>
    <x:row r="8">
      <x:c r="A8" s="101" t="inlineStr">
        <x:is>
          <x:t xml:space="preserve">исполнительная схема</x:t>
        </x:is>
      </x:c>
      <x:c r="B8" s="58"/>
      <x:c r="C8" s="58"/>
      <x:c r="D8" s="58"/>
      <x:c r="E8" s="101" t="inlineStr">
        <x:is>
          <x:t xml:space="preserve">иное</x:t>
        </x:is>
      </x:c>
      <x:c r="F8" s="58"/>
      <x:c r="G8" s="101" t="inlineStr">
        <x:is>
          <x:t xml:space="preserve">условия эксплуатации</x:t>
        </x:is>
      </x:c>
      <x:c r="H8" s="58"/>
      <x:c r="I8" s="58"/>
    </x:row>
    <x:row r="9">
      <x:c r="A9" s="101" t="inlineStr">
        <x:is>
          <x:t xml:space="preserve">общий журнал работ</x:t>
        </x:is>
      </x:c>
      <x:c r="B9" s="58"/>
      <x:c r="C9" s="58"/>
      <x:c r="D9" s="58"/>
      <x:c r="E9" s="58"/>
      <x:c r="F9" s="58"/>
      <x:c r="G9" s="101" t="inlineStr">
        <x:is>
          <x:t xml:space="preserve">момент обнаружения</x:t>
        </x:is>
      </x:c>
      <x:c r="H9" s="58"/>
      <x:c r="I9" s="58"/>
    </x:row>
    <x:row r="10">
      <x:c r="A10" s="101" t="inlineStr">
        <x:is>
          <x:t xml:space="preserve">специальный журнал работ</x:t>
        </x:is>
      </x:c>
      <x:c r="B10" s="58"/>
      <x:c r="C10" s="58"/>
      <x:c r="D10" s="58"/>
      <x:c r="E10" s="58"/>
      <x:c r="F10" s="58"/>
      <x:c r="G10" s="101" t="inlineStr">
        <x:is>
          <x:t xml:space="preserve">переписка о споре</x:t>
        </x:is>
      </x:c>
      <x:c r="H10" s="58"/>
      <x:c r="I10" s="58"/>
    </x:row>
    <x:row r="11">
      <x:c r="A11" s="101" t="inlineStr">
        <x:is>
          <x:t xml:space="preserve">журнал входного контроля</x:t>
        </x:is>
      </x:c>
      <x:c r="B11" s="58"/>
      <x:c r="C11" s="58"/>
      <x:c r="D11" s="58"/>
      <x:c r="E11" s="58"/>
      <x:c r="F11" s="58"/>
      <x:c r="G11" s="58"/>
      <x:c r="H11" s="58"/>
      <x:c r="I11" s="58"/>
    </x:row>
    <x:row r="12">
      <x:c r="A12" s="101" t="inlineStr">
        <x:is>
          <x:t xml:space="preserve">паспорт, сертификат, протокол испытаний</x:t>
        </x:is>
      </x:c>
      <x:c r="B12" s="58"/>
      <x:c r="C12" s="58"/>
      <x:c r="D12" s="58"/>
      <x:c r="E12" s="58"/>
      <x:c r="F12" s="58"/>
      <x:c r="G12" s="58"/>
      <x:c r="H12" s="58"/>
      <x:c r="I12" s="58"/>
    </x:row>
    <x:row r="13">
      <x:c r="A13" s="101" t="inlineStr">
        <x:is>
          <x:t xml:space="preserve">акт допуска смежной организации</x:t>
        </x:is>
      </x:c>
      <x:c r="B13" s="58"/>
      <x:c r="C13" s="58"/>
      <x:c r="D13" s="58"/>
      <x:c r="E13" s="58"/>
      <x:c r="F13" s="58"/>
      <x:c r="G13" s="58"/>
      <x:c r="H13" s="58"/>
      <x:c r="I13" s="58"/>
    </x:row>
    <x:row r="14">
      <x:c r="A14" s="101" t="inlineStr">
        <x:is>
          <x:t xml:space="preserve">акт приёмки выполненных работ</x:t>
        </x:is>
      </x:c>
      <x:c r="B14" s="58"/>
      <x:c r="C14" s="58"/>
      <x:c r="D14" s="58"/>
      <x:c r="E14" s="58"/>
      <x:c r="F14" s="58"/>
      <x:c r="G14" s="58"/>
      <x:c r="H14" s="58"/>
      <x:c r="I14" s="58"/>
    </x:row>
    <x:row r="15">
      <x:c r="A15" s="101" t="inlineStr">
        <x:is>
          <x:t xml:space="preserve">фотофиксация</x:t>
        </x:is>
      </x:c>
      <x:c r="B15" s="58"/>
      <x:c r="C15" s="58"/>
      <x:c r="D15" s="58"/>
      <x:c r="E15" s="58"/>
      <x:c r="F15" s="58"/>
      <x:c r="G15" s="58"/>
      <x:c r="H15" s="58"/>
      <x:c r="I15" s="58"/>
    </x:row>
    <x:row r="16">
      <x:c r="A16" s="101" t="inlineStr">
        <x:is>
          <x:t xml:space="preserve">акт осмотра или дефектный акт</x:t>
        </x:is>
      </x:c>
      <x:c r="B16" s="58"/>
      <x:c r="C16" s="58"/>
      <x:c r="D16" s="58"/>
      <x:c r="E16" s="58"/>
      <x:c r="F16" s="58"/>
      <x:c r="G16" s="58"/>
      <x:c r="H16" s="58"/>
      <x:c r="I16" s="58"/>
    </x:row>
    <x:row r="17">
      <x:c r="A17" s="101" t="inlineStr">
        <x:is>
          <x:t xml:space="preserve">претензия и ответ на неё</x:t>
        </x:is>
      </x:c>
      <x:c r="B17" s="58"/>
      <x:c r="C17" s="58"/>
      <x:c r="D17" s="58"/>
      <x:c r="E17" s="58"/>
      <x:c r="F17" s="58"/>
      <x:c r="G17" s="58"/>
      <x:c r="H17" s="58"/>
      <x:c r="I17" s="58"/>
    </x:row>
    <x:row r="18">
      <x:c r="A18" s="101" t="inlineStr">
        <x:is>
          <x:t xml:space="preserve">переписка</x:t>
        </x:is>
      </x:c>
      <x:c r="B18" s="58"/>
      <x:c r="C18" s="58"/>
      <x:c r="D18" s="58"/>
      <x:c r="E18" s="58"/>
      <x:c r="F18" s="58"/>
      <x:c r="G18" s="58"/>
      <x:c r="H18" s="58"/>
      <x:c r="I18" s="58"/>
    </x:row>
    <x:row r="19">
      <x:c r="A19" s="101" t="inlineStr">
        <x:is>
          <x:t xml:space="preserve">инструкция по эксплуатации с отметкой о передаче</x:t>
        </x:is>
      </x:c>
      <x:c r="B19" s="58"/>
      <x:c r="C19" s="58"/>
      <x:c r="D19" s="58"/>
      <x:c r="E19" s="58"/>
      <x:c r="F19" s="58"/>
      <x:c r="G19" s="58"/>
      <x:c r="H19" s="58"/>
      <x:c r="I19" s="58"/>
    </x:row>
    <x:row r="20">
      <x:c r="A20" s="101" t="inlineStr">
        <x:is>
          <x:t xml:space="preserve">журнал эксплуатационного обслуживания</x:t>
        </x:is>
      </x:c>
      <x:c r="B20" s="58"/>
      <x:c r="C20" s="58"/>
      <x:c r="D20" s="58"/>
      <x:c r="E20" s="58"/>
      <x:c r="F20" s="58"/>
      <x:c r="G20" s="58"/>
      <x:c r="H20" s="58"/>
      <x:c r="I20" s="58"/>
    </x:row>
    <x:row r="21">
      <x:c r="A21" s="101" t="inlineStr">
        <x:is>
          <x:t xml:space="preserve">заключение или акт обследования</x:t>
        </x:is>
      </x:c>
      <x:c r="B21" s="58"/>
      <x:c r="C21" s="58"/>
      <x:c r="D21" s="58"/>
      <x:c r="E21" s="58"/>
      <x:c r="F21" s="58"/>
      <x:c r="G21" s="58"/>
      <x:c r="H21" s="58"/>
      <x:c r="I21" s="58"/>
    </x:row>
    <x:row r="22">
      <x:c r="A22" s="101" t="inlineStr">
        <x:is>
          <x:t xml:space="preserve">иное</x:t>
        </x:is>
      </x:c>
      <x:c r="B22" s="58"/>
      <x:c r="C22" s="58"/>
      <x:c r="D22" s="58"/>
      <x:c r="E22" s="58"/>
      <x:c r="F22" s="58"/>
      <x:c r="G22" s="58"/>
      <x:c r="H22" s="58"/>
      <x:c r="I22" s="58"/>
    </x:row>
    <x:row r="23">
      <x:c r="A23" s="58"/>
      <x:c r="B23" s="58"/>
      <x:c r="C23" s="58"/>
      <x:c r="D23" s="58"/>
      <x:c r="E23" s="58"/>
      <x:c r="F23" s="58"/>
      <x:c r="G23" s="58"/>
      <x:c r="H23" s="58"/>
      <x:c r="I23" s="58"/>
    </x:row>
    <x:row r="24">
      <x:c r="A24" s="58"/>
      <x:c r="B24" s="58"/>
      <x:c r="C24" s="58"/>
      <x:c r="D24" s="58"/>
      <x:c r="E24" s="58"/>
      <x:c r="F24" s="58"/>
      <x:c r="G24" s="58"/>
      <x:c r="H24" s="58"/>
      <x:c r="I24" s="58"/>
    </x:row>
    <x:row r="25" ht="46" customHeight="1">
      <x:c r="A25" s="49" t="inlineStr">
        <x:is>
          <x:t xml:space="preserve">Перечень типовой. Состав документов по вашему объекту определяется договором и требованиями, действующими на дату заполнения; сверяете вы. Что не легло в справочник, вносите как «иное» с пояснением в колонке «Наименование и реквизиты».</x:t>
        </x:is>
      </x:c>
      <x:c r="B25" s="58"/>
      <x:c r="C25" s="58"/>
      <x:c r="D25" s="58"/>
      <x:c r="E25" s="58"/>
      <x:c r="F25" s="58"/>
      <x:c r="G25" s="58"/>
      <x:c r="H25" s="58"/>
      <x:c r="I25" s="58"/>
    </x:row>
    <x:row r="26">
      <x:c r="A26" s="58"/>
      <x:c r="B26" s="58"/>
      <x:c r="C26" s="58"/>
      <x:c r="D26" s="58"/>
      <x:c r="E26" s="58"/>
      <x:c r="F26" s="58"/>
      <x:c r="G26" s="58"/>
      <x:c r="H26" s="58"/>
      <x:c r="I26" s="58"/>
    </x:row>
    <x:row r="27">
      <x:c r="A27" s="58"/>
      <x:c r="B27" s="58"/>
      <x:c r="C27" s="58"/>
      <x:c r="D27" s="58"/>
      <x:c r="E27" s="58"/>
      <x:c r="F27" s="58"/>
      <x:c r="G27" s="58"/>
      <x:c r="H27" s="58"/>
      <x:c r="I27" s="58"/>
    </x:row>
    <x:row r="28">
      <x:c r="A28" s="58"/>
      <x:c r="B28" s="58"/>
      <x:c r="C28" s="58"/>
      <x:c r="D28" s="58"/>
      <x:c r="E28" s="58"/>
      <x:c r="F28" s="58"/>
      <x:c r="G28" s="58"/>
      <x:c r="H28" s="58"/>
      <x:c r="I28" s="58"/>
    </x:row>
  </x:sheetData>
  <x:mergeCells>
    <x:mergeCell ref="A25:G25"/>
  </x:mergeCells>
  <x:pageMargins left="0.3" right="0.3" top="0.4" bottom="0.4" header="0.2" footer="0.2"/>
  <x:pageSetup paperSize="9" orientation="landscape" fitToWidth="1" fitToHeight="0"/>
</x:worksheet>
</file>

<file path=xl/worksheets/sheet6.xml><?xml version="1.0" encoding="utf-8"?>
<x:worksheet xmlns:x="http://schemas.openxmlformats.org/spreadsheetml/2006/main">
  <x:sheetPr>
    <x:pageSetUpPr fitToPage="1"/>
  </x:sheetPr>
  <x:sheetFormatPr baseColWidth="8" defaultRowHeight="15"/>
  <x:cols>
    <x:col min="1" max="1" width="5" customWidth="1"/>
    <x:col min="2" max="2" width="26" customWidth="1"/>
    <x:col min="3" max="3" width="30" customWidth="1"/>
    <x:col min="4" max="4" width="24" customWidth="1"/>
    <x:col min="5" max="5" width="13" customWidth="1"/>
    <x:col min="6" max="6" width="22" customWidth="1"/>
    <x:col min="7" max="7" width="12" customWidth="1"/>
    <x:col min="8" max="8" width="24" customWidth="1"/>
    <x:col min="9" max="9" width="22" customWidth="1"/>
    <x:col min="10" max="10" width="14" customWidth="1"/>
    <x:col min="11" max="11" width="13" customWidth="1"/>
    <x:col min="12" max="12" width="15" customWidth="1"/>
    <x:col min="13" max="13" width="22" customWidth="1"/>
    <x:col min="14" max="14" width="15" customWidth="1"/>
    <x:col min="15" max="15" width="15" customWidth="1"/>
    <x:col min="16" max="16" width="15" customWidth="1"/>
    <x:col min="17" max="17" width="13" customWidth="1"/>
    <x:col min="18" max="18" width="14" customWidth="1"/>
    <x:col min="19" max="19" width="34" customWidth="1"/>
    <x:col min="20" max="20" width="26" customWidth="1"/>
    <x:col min="21" max="21" width="34" customWidth="1"/>
  </x:cols>
  <x:sheetData>
    <x:row r="1" ht="31" customHeight="1">
      <x:c r="A1" s="76" t="inlineStr">
        <x:is>
          <x:t xml:space="preserve">Пример: как выглядят заполненные строки</x:t>
        </x:is>
      </x:c>
      <x:c r="B1" s="76"/>
      <x:c r="C1" s="76"/>
      <x:c r="D1" s="76"/>
      <x:c r="E1" s="76"/>
      <x:c r="F1" s="76"/>
      <x:c r="G1" s="76"/>
      <x:c r="H1" s="76"/>
      <x:c r="I1" s="76"/>
      <x:c r="J1" s="76"/>
      <x:c r="K1" s="76"/>
      <x:c r="L1" s="76"/>
      <x:c r="M1" s="76"/>
      <x:c r="N1" s="76"/>
    </x:row>
    <x:row r="2">
      <x:c r="A2" s="125" t="inlineStr">
        <x:is>
          <x:t xml:space="preserve">Здесь показан формат ввода, а не ваш случай. Наименования, номера и даты вымышленные. Ничего отсюда не переносите в свой файл и тем более в документы.</x:t>
        </x:is>
      </x:c>
      <x:c r="B2" s="58"/>
      <x:c r="C2" s="58"/>
      <x:c r="D2" s="58"/>
      <x:c r="E2" s="58"/>
      <x:c r="F2" s="58"/>
      <x:c r="G2" s="58"/>
      <x:c r="H2" s="58"/>
      <x:c r="I2" s="58"/>
      <x:c r="J2" s="58"/>
      <x:c r="K2" s="58"/>
      <x:c r="L2" s="58"/>
      <x:c r="M2" s="58"/>
      <x:c r="N2" s="58"/>
    </x:row>
    <x:row r="3">
      <x:c r="A3" s="58"/>
      <x:c r="B3" s="58"/>
      <x:c r="C3" s="58"/>
      <x:c r="D3" s="58"/>
      <x:c r="E3" s="58"/>
      <x:c r="F3" s="58"/>
      <x:c r="G3" s="58"/>
      <x:c r="H3" s="58"/>
      <x:c r="I3" s="58"/>
      <x:c r="J3" s="58"/>
      <x:c r="K3" s="58"/>
      <x:c r="L3" s="58"/>
      <x:c r="M3" s="58"/>
      <x:c r="N3" s="58"/>
    </x:row>
    <x:row r="4">
      <x:c r="A4" s="86" t="inlineStr">
        <x:is>
          <x:t xml:space="preserve">Лист «Опись»</x:t>
        </x:is>
      </x:c>
      <x:c r="B4" s="86"/>
      <x:c r="C4" s="86"/>
      <x:c r="D4" s="86"/>
      <x:c r="E4" s="86"/>
      <x:c r="F4" s="86"/>
      <x:c r="G4" s="86"/>
      <x:c r="H4" s="86"/>
      <x:c r="I4" s="86"/>
      <x:c r="J4" s="86"/>
      <x:c r="K4" s="86"/>
      <x:c r="L4" s="86"/>
      <x:c r="M4" s="86"/>
      <x:c r="N4" s="86"/>
    </x:row>
    <x:row r="5" ht="35" customHeight="1">
      <x:c r="A5" s="99" t="inlineStr">
        <x:is>
          <x:t xml:space="preserve">№</x:t>
        </x:is>
      </x:c>
      <x:c r="B5" s="99" t="inlineStr">
        <x:is>
          <x:t xml:space="preserve">Вид документа</x:t>
        </x:is>
      </x:c>
      <x:c r="C5" s="99" t="inlineStr">
        <x:is>
          <x:t xml:space="preserve">Наименование и реквизиты</x:t>
        </x:is>
      </x:c>
      <x:c r="D5" s="99" t="inlineStr">
        <x:is>
          <x:t xml:space="preserve">К чему относится</x:t>
        </x:is>
      </x:c>
      <x:c r="E5" s="99" t="inlineStr">
        <x:is>
          <x:t xml:space="preserve">Дата документа</x:t>
        </x:is>
      </x:c>
      <x:c r="F5" s="99" t="inlineStr">
        <x:is>
          <x:t xml:space="preserve">Кем подписан</x:t>
        </x:is>
      </x:c>
      <x:c r="G5" s="99" t="inlineStr">
        <x:is>
          <x:t xml:space="preserve">Наличие</x:t>
        </x:is>
      </x:c>
      <x:c r="H5" s="99" t="inlineStr">
        <x:is>
          <x:t xml:space="preserve">Где находится</x:t>
        </x:is>
      </x:c>
      <x:c r="I5" s="99" t="inlineStr">
        <x:is>
          <x:t xml:space="preserve">Что подтверждает</x:t>
        </x:is>
      </x:c>
      <x:c r="J5" s="99" t="inlineStr">
        <x:is>
          <x:t xml:space="preserve">Обязателен для причины</x:t>
        </x:is>
      </x:c>
      <x:c r="K5" s="99" t="inlineStr">
        <x:is>
          <x:t xml:space="preserve">Передан оппоненту</x:t>
        </x:is>
      </x:c>
      <x:c r="L5" s="99" t="inlineStr">
        <x:is>
          <x:t xml:space="preserve">Дата передачи оппоненту</x:t>
        </x:is>
      </x:c>
      <x:c r="M5" s="99" t="inlineStr">
        <x:is>
          <x:t xml:space="preserve">След передачи</x:t>
        </x:is>
      </x:c>
      <x:c r="N5" s="99" t="inlineStr">
        <x:is>
          <x:t xml:space="preserve">Передан эксперту или в дело</x:t>
        </x:is>
      </x:c>
      <x:c r="O5" s="8" t="inlineStr">
        <x:is>
          <x:t xml:space="preserve">Дата передачи эксперту</x:t>
        </x:is>
      </x:c>
      <x:c r="P5" s="8" t="inlineStr">
        <x:is>
          <x:t xml:space="preserve">Запрошен у другой стороны</x:t>
        </x:is>
      </x:c>
      <x:c r="Q5" s="8" t="inlineStr">
        <x:is>
          <x:t xml:space="preserve">Дата запроса</x:t>
        </x:is>
      </x:c>
      <x:c r="R5" s="8" t="inlineStr">
        <x:is>
          <x:t xml:space="preserve">Получен по запросу</x:t>
        </x:is>
      </x:c>
      <x:c r="S5" s="8" t="inlineStr">
        <x:is>
          <x:t xml:space="preserve">Что ещё относится к этому обстоятельству</x:t>
        </x:is>
      </x:c>
      <x:c r="T5" s="8" t="inlineStr">
        <x:is>
          <x:t xml:space="preserve">Примечание</x:t>
        </x:is>
      </x:c>
      <x:c r="U5" s="8" t="inlineStr">
        <x:is>
          <x:t xml:space="preserve">Состояние</x:t>
        </x:is>
      </x:c>
    </x:row>
    <x:row r="6">
      <x:c r="A6" s="126" t="inlineStr">
        <x:is>
          <x:t xml:space="preserve">1</x:t>
        </x:is>
      </x:c>
      <x:c r="B6" s="134" t="inlineStr">
        <x:is>
          <x:t xml:space="preserve">акт освидетельствования скрытых работ</x:t>
        </x:is>
      </x:c>
      <x:c r="C6" s="134" t="inlineStr">
        <x:is>
          <x:t xml:space="preserve">АОСР № 12 от 14.04.2026, армирование плиты</x:t>
        </x:is>
      </x:c>
      <x:c r="D6" s="134" t="inlineStr">
        <x:is>
          <x:t xml:space="preserve">оси 3–5, отм. +3,300</x:t>
        </x:is>
      </x:c>
      <x:c r="E6" s="134" t="inlineStr">
        <x:is>
          <x:t xml:space="preserve">14.04.2026</x:t>
        </x:is>
      </x:c>
      <x:c r="F6" s="134" t="inlineStr">
        <x:is>
          <x:t xml:space="preserve">подрядчик, генподрядчик, технадзор</x:t>
        </x:is>
      </x:c>
      <x:c r="G6" s="134" t="inlineStr">
        <x:is>
          <x:t xml:space="preserve">оригинал</x:t>
        </x:is>
      </x:c>
      <x:c r="H6" s="134" t="inlineStr">
        <x:is>
          <x:t xml:space="preserve">папка «Исполнилка», кабинет ПТО</x:t>
        </x:is>
      </x:c>
      <x:c r="I6" s="134" t="inlineStr">
        <x:is>
          <x:t xml:space="preserve">качество и соответствие</x:t>
        </x:is>
      </x:c>
      <x:c r="J6" s="134" t="inlineStr">
        <x:is>
          <x:t xml:space="preserve">да</x:t>
        </x:is>
      </x:c>
      <x:c r="K6" s="134" t="inlineStr">
        <x:is>
          <x:t xml:space="preserve">да</x:t>
        </x:is>
      </x:c>
      <x:c r="L6" s="134" t="inlineStr">
        <x:is>
          <x:t xml:space="preserve">20.05.2026</x:t>
        </x:is>
      </x:c>
      <x:c r="M6" s="134" t="inlineStr">
        <x:is>
          <x:t xml:space="preserve">опись вложения, письмо № 88</x:t>
        </x:is>
      </x:c>
      <x:c r="N6" s="134" t="inlineStr">
        <x:is>
          <x:t xml:space="preserve">да</x:t>
        </x:is>
      </x:c>
      <x:c r="O6" s="19" t="inlineStr">
        <x:is>
          <x:t xml:space="preserve">02.06.2026</x:t>
        </x:is>
      </x:c>
      <x:c r="P6" s="19" t="inlineStr">
        <x:is>
          <x:t xml:space="preserve">нет</x:t>
        </x:is>
      </x:c>
      <x:c r="Q6" s="19" t="inlineStr">
        <x:is>
          <x:t xml:space="preserve"/>
        </x:is>
      </x:c>
      <x:c r="R6" s="19" t="inlineStr">
        <x:is>
          <x:t xml:space="preserve"/>
        </x:is>
      </x:c>
      <x:c r="S6" s="19" t="inlineStr">
        <x:is>
          <x:t xml:space="preserve">фото армирования от 13.04.2026, запись в общем журнале</x:t>
        </x:is>
      </x:c>
      <x:c r="T6" s="19" t="inlineStr">
        <x:is>
          <x:t xml:space="preserve"/>
        </x:is>
      </x:c>
      <x:c r="U6" s="18" t="inlineStr">
        <x:is>
          <x:t xml:space="preserve">в порядке</x:t>
        </x:is>
      </x:c>
    </x:row>
    <x:row r="7">
      <x:c r="A7" s="126" t="inlineStr">
        <x:is>
          <x:t xml:space="preserve">2</x:t>
        </x:is>
      </x:c>
      <x:c r="B7" s="134" t="inlineStr">
        <x:is>
          <x:t xml:space="preserve">журнал входного контроля</x:t>
        </x:is>
      </x:c>
      <x:c r="C7" s="134" t="inlineStr">
        <x:is>
          <x:t xml:space="preserve">журнал за апрель 2026 (том 2)</x:t>
        </x:is>
      </x:c>
      <x:c r="D7" s="134" t="inlineStr">
        <x:is>
          <x:t xml:space="preserve">зона в целом</x:t>
        </x:is>
      </x:c>
      <x:c r="E7" s="134" t="inlineStr">
        <x:is>
          <x:t xml:space="preserve">30.04.2026</x:t>
        </x:is>
      </x:c>
      <x:c r="F7" s="134" t="inlineStr">
        <x:is>
          <x:t xml:space="preserve">подрядчик</x:t>
        </x:is>
      </x:c>
      <x:c r="G7" s="134" t="inlineStr">
        <x:is>
          <x:t xml:space="preserve">нет</x:t>
        </x:is>
      </x:c>
      <x:c r="H7" s="134" t="inlineStr">
        <x:is>
          <x:t xml:space="preserve">не найден, запрашивается у прораба</x:t>
        </x:is>
      </x:c>
      <x:c r="I7" s="134" t="inlineStr">
        <x:is>
          <x:t xml:space="preserve">качество и соответствие</x:t>
        </x:is>
      </x:c>
      <x:c r="J7" s="134" t="inlineStr">
        <x:is>
          <x:t xml:space="preserve">да</x:t>
        </x:is>
      </x:c>
      <x:c r="K7" s="134" t="inlineStr">
        <x:is>
          <x:t xml:space="preserve">нет</x:t>
        </x:is>
      </x:c>
      <x:c r="L7" s="134" t="inlineStr">
        <x:is>
          <x:t xml:space="preserve"/>
        </x:is>
      </x:c>
      <x:c r="M7" s="134" t="inlineStr">
        <x:is>
          <x:t xml:space="preserve"/>
        </x:is>
      </x:c>
      <x:c r="N7" s="134" t="inlineStr">
        <x:is>
          <x:t xml:space="preserve">нет</x:t>
        </x:is>
      </x:c>
      <x:c r="O7" s="19" t="inlineStr">
        <x:is>
          <x:t xml:space="preserve"/>
        </x:is>
      </x:c>
      <x:c r="P7" s="19" t="inlineStr">
        <x:is>
          <x:t xml:space="preserve">нет</x:t>
        </x:is>
      </x:c>
      <x:c r="Q7" s="19" t="inlineStr">
        <x:is>
          <x:t xml:space="preserve"/>
        </x:is>
      </x:c>
      <x:c r="R7" s="19" t="inlineStr">
        <x:is>
          <x:t xml:space="preserve"/>
        </x:is>
      </x:c>
      <x:c r="S7" s="19" t="inlineStr">
        <x:is>
          <x:t xml:space="preserve"/>
        </x:is>
      </x:c>
      <x:c r="T7" s="19" t="inlineStr">
        <x:is>
          <x:t xml:space="preserve">искать в архиве участка</x:t>
        </x:is>
      </x:c>
      <x:c r="U7" s="18" t="inlineStr">
        <x:is>
          <x:t xml:space="preserve">дыра: обязательного документа нет, запрос не направлен</x:t>
        </x:is>
      </x:c>
    </x:row>
    <x:row r="8">
      <x:c r="A8" s="126" t="inlineStr">
        <x:is>
          <x:t xml:space="preserve">3</x:t>
        </x:is>
      </x:c>
      <x:c r="B8" s="134" t="inlineStr">
        <x:is>
          <x:t xml:space="preserve">акт допуска смежной организации</x:t>
        </x:is>
      </x:c>
      <x:c r="C8" s="134" t="inlineStr">
        <x:is>
          <x:t xml:space="preserve">акт допуска от 12.05.2026 (у генподрядчика)</x:t>
        </x:is>
      </x:c>
      <x:c r="D8" s="134" t="inlineStr">
        <x:is>
          <x:t xml:space="preserve">оси 3–5, помещение 204</x:t>
        </x:is>
      </x:c>
      <x:c r="E8" s="134" t="inlineStr">
        <x:is>
          <x:t xml:space="preserve">12.05.2026</x:t>
        </x:is>
      </x:c>
      <x:c r="F8" s="134" t="inlineStr">
        <x:is>
          <x:t xml:space="preserve">генподрядчик, смежник</x:t>
        </x:is>
      </x:c>
      <x:c r="G8" s="134" t="inlineStr">
        <x:is>
          <x:t xml:space="preserve">нет</x:t>
        </x:is>
      </x:c>
      <x:c r="H8" s="134" t="inlineStr">
        <x:is>
          <x:t xml:space="preserve">у генподрядчика</x:t>
        </x:is>
      </x:c>
      <x:c r="I8" s="134" t="inlineStr">
        <x:is>
          <x:t xml:space="preserve">доступ третьих лиц</x:t>
        </x:is>
      </x:c>
      <x:c r="J8" s="134" t="inlineStr">
        <x:is>
          <x:t xml:space="preserve">да</x:t>
        </x:is>
      </x:c>
      <x:c r="K8" s="134" t="inlineStr">
        <x:is>
          <x:t xml:space="preserve">нет</x:t>
        </x:is>
      </x:c>
      <x:c r="L8" s="134" t="inlineStr">
        <x:is>
          <x:t xml:space="preserve"/>
        </x:is>
      </x:c>
      <x:c r="M8" s="134" t="inlineStr">
        <x:is>
          <x:t xml:space="preserve"/>
        </x:is>
      </x:c>
      <x:c r="N8" s="134" t="inlineStr">
        <x:is>
          <x:t xml:space="preserve">нет</x:t>
        </x:is>
      </x:c>
      <x:c r="O8" s="19" t="inlineStr">
        <x:is>
          <x:t xml:space="preserve"/>
        </x:is>
      </x:c>
      <x:c r="P8" s="19" t="inlineStr">
        <x:is>
          <x:t xml:space="preserve">да</x:t>
        </x:is>
      </x:c>
      <x:c r="Q8" s="19" t="inlineStr">
        <x:is>
          <x:t xml:space="preserve">18.06.2026</x:t>
        </x:is>
      </x:c>
      <x:c r="R8" s="19" t="inlineStr">
        <x:is>
          <x:t xml:space="preserve">нет</x:t>
        </x:is>
      </x:c>
      <x:c r="S8" s="19" t="inlineStr">
        <x:is>
          <x:t xml:space="preserve">переписка о работах смежника в зоне</x:t>
        </x:is>
      </x:c>
      <x:c r="T8" s="19" t="inlineStr">
        <x:is>
          <x:t xml:space="preserve">запрос письмом № 104</x:t>
        </x:is>
      </x:c>
      <x:c r="U8" s="18" t="inlineStr">
        <x:is>
          <x:t xml:space="preserve">запрошен, не получен</x:t>
        </x:is>
      </x:c>
    </x:row>
    <x:row r="9">
      <x:c r="A9" s="126" t="inlineStr">
        <x:is>
          <x:t xml:space="preserve">4</x:t>
        </x:is>
      </x:c>
      <x:c r="B9" s="134" t="inlineStr">
        <x:is>
          <x:t xml:space="preserve">фотофиксация</x:t>
        </x:is>
      </x:c>
      <x:c r="C9" s="134" t="inlineStr">
        <x:is>
          <x:t xml:space="preserve">съёмка зоны на дату сдачи участка</x:t>
        </x:is>
      </x:c>
      <x:c r="D9" s="134" t="inlineStr">
        <x:is>
          <x:t xml:space="preserve">оси 3–5, отм. +3,300</x:t>
        </x:is>
      </x:c>
      <x:c r="E9" s="134" t="inlineStr">
        <x:is>
          <x:t xml:space="preserve">25.04.2026</x:t>
        </x:is>
      </x:c>
      <x:c r="F9" s="134" t="inlineStr">
        <x:is>
          <x:t xml:space="preserve">подрядчик</x:t>
        </x:is>
      </x:c>
      <x:c r="G9" s="134" t="inlineStr">
        <x:is>
          <x:t xml:space="preserve">скан</x:t>
        </x:is>
      </x:c>
      <x:c r="H9" s="134" t="inlineStr">
        <x:is>
          <x:t xml:space="preserve">облако, папка «Сдача участка»</x:t>
        </x:is>
      </x:c>
      <x:c r="I9" s="134" t="inlineStr">
        <x:is>
          <x:t xml:space="preserve">состояние на дату сдачи</x:t>
        </x:is>
      </x:c>
      <x:c r="J9" s="134" t="inlineStr">
        <x:is>
          <x:t xml:space="preserve">нет</x:t>
        </x:is>
      </x:c>
      <x:c r="K9" s="134" t="inlineStr">
        <x:is>
          <x:t xml:space="preserve">да</x:t>
        </x:is>
      </x:c>
      <x:c r="L9" s="134" t="inlineStr">
        <x:is>
          <x:t xml:space="preserve"/>
        </x:is>
      </x:c>
      <x:c r="M9" s="134" t="inlineStr">
        <x:is>
          <x:t xml:space="preserve"/>
        </x:is>
      </x:c>
      <x:c r="N9" s="134" t="inlineStr">
        <x:is>
          <x:t xml:space="preserve">нет</x:t>
        </x:is>
      </x:c>
      <x:c r="O9" s="19" t="inlineStr">
        <x:is>
          <x:t xml:space="preserve"/>
        </x:is>
      </x:c>
      <x:c r="P9" s="19" t="inlineStr">
        <x:is>
          <x:t xml:space="preserve">нет</x:t>
        </x:is>
      </x:c>
      <x:c r="Q9" s="19" t="inlineStr">
        <x:is>
          <x:t xml:space="preserve"/>
        </x:is>
      </x:c>
      <x:c r="R9" s="19" t="inlineStr">
        <x:is>
          <x:t xml:space="preserve"/>
        </x:is>
      </x:c>
      <x:c r="S9" s="19" t="inlineStr">
        <x:is>
          <x:t xml:space="preserve">акт передачи фронта работ</x:t>
        </x:is>
      </x:c>
      <x:c r="T9" s="19" t="inlineStr">
        <x:is>
          <x:t xml:space="preserve">передавали в мессенджере</x:t>
        </x:is>
      </x:c>
      <x:c r="U9" s="18" t="inlineStr">
        <x:is>
          <x:t xml:space="preserve">передан без следа</x:t>
        </x:is>
      </x:c>
    </x:row>
    <x:row r="10">
      <x:c r="A10" s="58"/>
      <x:c r="B10" s="58"/>
      <x:c r="C10" s="58"/>
      <x:c r="D10" s="58"/>
      <x:c r="E10" s="58"/>
      <x:c r="F10" s="58"/>
      <x:c r="G10" s="58"/>
      <x:c r="H10" s="58"/>
      <x:c r="I10" s="58"/>
      <x:c r="J10" s="58"/>
      <x:c r="K10" s="58"/>
      <x:c r="L10" s="58"/>
      <x:c r="M10" s="58"/>
      <x:c r="N10" s="58"/>
    </x:row>
    <x:row r="11" ht="46" customHeight="1">
      <x:c r="A11" s="114" t="inlineStr">
        <x:is>
          <x:t xml:space="preserve">Колонки «№» и «Состояние» в рабочем листе считаются сами — здесь они показаны, чтобы было видно, какой ввод какой вердикт даёт. Вторая строка в рабочем листе была бы красной (обязательный документ отсутствует и не запрошен), четвёртая — тоже красной (передан без следа), третья при заполненном пороге со временем станет жёлтой (запрошен, ответа нет дольше порога).</x:t>
        </x:is>
      </x:c>
      <x:c r="B11" s="58"/>
      <x:c r="C11" s="58"/>
      <x:c r="D11" s="58"/>
      <x:c r="E11" s="58"/>
      <x:c r="F11" s="58"/>
      <x:c r="G11" s="58"/>
      <x:c r="H11" s="58"/>
      <x:c r="I11" s="58"/>
      <x:c r="J11" s="58"/>
      <x:c r="K11" s="58"/>
      <x:c r="L11" s="58"/>
      <x:c r="M11" s="58"/>
      <x:c r="N11" s="58"/>
    </x:row>
    <x:row r="12">
      <x:c r="A12" s="58"/>
      <x:c r="B12" s="58"/>
      <x:c r="C12" s="58"/>
      <x:c r="D12" s="58"/>
      <x:c r="E12" s="58"/>
      <x:c r="F12" s="58"/>
      <x:c r="G12" s="58"/>
      <x:c r="H12" s="58"/>
      <x:c r="I12" s="58"/>
      <x:c r="J12" s="58"/>
      <x:c r="K12" s="58"/>
      <x:c r="L12" s="58"/>
      <x:c r="M12" s="58"/>
      <x:c r="N12" s="58"/>
    </x:row>
    <x:row r="13">
      <x:c r="A13" s="57" t="inlineStr">
        <x:is>
          <x:t xml:space="preserve">Лист «Сводка» при таком заполнении</x:t>
        </x:is>
      </x:c>
      <x:c r="B13" s="58"/>
      <x:c r="C13" s="58"/>
      <x:c r="D13" s="58"/>
      <x:c r="E13" s="58"/>
      <x:c r="F13" s="58"/>
      <x:c r="G13" s="58"/>
      <x:c r="H13" s="58"/>
      <x:c r="I13" s="58"/>
      <x:c r="J13" s="58"/>
      <x:c r="K13" s="58"/>
      <x:c r="L13" s="58"/>
      <x:c r="M13" s="58"/>
      <x:c r="N13" s="58"/>
    </x:row>
    <x:row r="14">
      <x:c r="A14" s="95" t="inlineStr">
        <x:is>
          <x:t xml:space="preserve">Всего строк в описи</x:t>
        </x:is>
      </x:c>
      <x:c r="B14" s="135" t="inlineStr">
        <x:is>
          <x:t xml:space="preserve">4</x:t>
        </x:is>
      </x:c>
      <x:c r="C14" s="136" t="n"/>
      <x:c r="D14" s="136" t="n"/>
      <x:c r="E14" s="136" t="n"/>
      <x:c r="F14" s="137" t="n"/>
      <x:c r="G14" s="58"/>
      <x:c r="H14" s="58"/>
      <x:c r="I14" s="58"/>
      <x:c r="J14" s="58"/>
      <x:c r="K14" s="58"/>
      <x:c r="L14" s="58"/>
      <x:c r="M14" s="58"/>
      <x:c r="N14" s="58"/>
    </x:row>
    <x:row r="15">
      <x:c r="A15" s="95" t="inlineStr">
        <x:is>
          <x:t xml:space="preserve">Обязательных для причины</x:t>
        </x:is>
      </x:c>
      <x:c r="B15" s="135" t="inlineStr">
        <x:is>
          <x:t xml:space="preserve">3</x:t>
        </x:is>
      </x:c>
      <x:c r="C15" s="136" t="n"/>
      <x:c r="D15" s="136" t="n"/>
      <x:c r="E15" s="136" t="n"/>
      <x:c r="F15" s="137" t="n"/>
      <x:c r="G15" s="58"/>
      <x:c r="H15" s="58"/>
      <x:c r="I15" s="58"/>
      <x:c r="J15" s="58"/>
      <x:c r="K15" s="58"/>
      <x:c r="L15" s="58"/>
      <x:c r="M15" s="58"/>
      <x:c r="N15" s="58"/>
    </x:row>
    <x:row r="16">
      <x:c r="A16" s="95" t="inlineStr">
        <x:is>
          <x:t xml:space="preserve">Дыр: обязательных и отсутствующих</x:t>
        </x:is>
      </x:c>
      <x:c r="B16" s="135" t="inlineStr">
        <x:is>
          <x:t xml:space="preserve">2</x:t>
        </x:is>
      </x:c>
      <x:c r="C16" s="136" t="n"/>
      <x:c r="D16" s="136" t="n"/>
      <x:c r="E16" s="136" t="n"/>
      <x:c r="F16" s="137" t="n"/>
      <x:c r="G16" s="58"/>
      <x:c r="H16" s="58"/>
      <x:c r="I16" s="58"/>
      <x:c r="J16" s="58"/>
      <x:c r="K16" s="58"/>
      <x:c r="L16" s="58"/>
      <x:c r="M16" s="58"/>
      <x:c r="N16" s="58"/>
    </x:row>
    <x:row r="17">
      <x:c r="A17" s="95" t="inlineStr">
        <x:is>
          <x:t xml:space="preserve">Из них запрос не направлен</x:t>
        </x:is>
      </x:c>
      <x:c r="B17" s="135" t="inlineStr">
        <x:is>
          <x:t xml:space="preserve">1</x:t>
        </x:is>
      </x:c>
      <x:c r="C17" s="136" t="n"/>
      <x:c r="D17" s="136" t="n"/>
      <x:c r="E17" s="136" t="n"/>
      <x:c r="F17" s="137" t="n"/>
      <x:c r="G17" s="58"/>
      <x:c r="H17" s="58"/>
      <x:c r="I17" s="58"/>
      <x:c r="J17" s="58"/>
      <x:c r="K17" s="58"/>
      <x:c r="L17" s="58"/>
      <x:c r="M17" s="58"/>
      <x:c r="N17" s="58"/>
    </x:row>
    <x:row r="18">
      <x:c r="A18" s="95" t="inlineStr">
        <x:is>
          <x:t xml:space="preserve">Первая дыра</x:t>
        </x:is>
      </x:c>
      <x:c r="B18" s="135" t="inlineStr">
        <x:is>
          <x:t xml:space="preserve">журнал за апрель 2026 (том 2)</x:t>
        </x:is>
      </x:c>
      <x:c r="C18" s="136" t="n"/>
      <x:c r="D18" s="136" t="n"/>
      <x:c r="E18" s="136" t="n"/>
      <x:c r="F18" s="137" t="n"/>
      <x:c r="G18" s="58"/>
      <x:c r="H18" s="58"/>
      <x:c r="I18" s="58"/>
      <x:c r="J18" s="58"/>
      <x:c r="K18" s="58"/>
      <x:c r="L18" s="58"/>
      <x:c r="M18" s="58"/>
      <x:c r="N18" s="58"/>
    </x:row>
    <x:row r="19">
      <x:c r="A19" s="58"/>
      <x:c r="B19" s="58"/>
      <x:c r="C19" s="58"/>
      <x:c r="D19" s="58"/>
      <x:c r="E19" s="58"/>
      <x:c r="F19" s="58"/>
      <x:c r="G19" s="58"/>
      <x:c r="H19" s="58"/>
      <x:c r="I19" s="58"/>
      <x:c r="J19" s="58"/>
      <x:c r="K19" s="58"/>
      <x:c r="L19" s="58"/>
      <x:c r="M19" s="58"/>
      <x:c r="N19" s="58"/>
    </x:row>
    <x:row r="20" ht="34" customHeight="1">
      <x:c r="A20" s="114" t="inlineStr">
        <x:is>
          <x:t xml:space="preserve">Ненулевое число дыр — это перечень дел на сегодня, а не оценка ваших шансов в споре: два документа надо найти или запросить у другой стороны до того, как готовятся вопросы эксперту.</x:t>
        </x:is>
      </x:c>
      <x:c r="B20" s="58"/>
      <x:c r="C20" s="58"/>
      <x:c r="D20" s="58"/>
      <x:c r="E20" s="58"/>
      <x:c r="F20" s="58"/>
      <x:c r="G20" s="58"/>
      <x:c r="H20" s="58"/>
      <x:c r="I20" s="58"/>
      <x:c r="J20" s="58"/>
      <x:c r="K20" s="58"/>
      <x:c r="L20" s="58"/>
      <x:c r="M20" s="58"/>
      <x:c r="N20" s="58"/>
    </x:row>
    <x:row r="21">
      <x:c r="A21" s="58"/>
      <x:c r="B21" s="58"/>
      <x:c r="C21" s="58"/>
      <x:c r="D21" s="58"/>
      <x:c r="E21" s="58"/>
      <x:c r="F21" s="58"/>
      <x:c r="G21" s="58"/>
      <x:c r="H21" s="58"/>
      <x:c r="I21" s="58"/>
      <x:c r="J21" s="58"/>
      <x:c r="K21" s="58"/>
      <x:c r="L21" s="58"/>
      <x:c r="M21" s="58"/>
      <x:c r="N21" s="58"/>
    </x:row>
    <x:row r="22">
      <x:c r="A22" s="58"/>
      <x:c r="B22" s="58"/>
      <x:c r="C22" s="58"/>
      <x:c r="D22" s="58"/>
      <x:c r="E22" s="58"/>
      <x:c r="F22" s="58"/>
      <x:c r="G22" s="58"/>
      <x:c r="H22" s="58"/>
      <x:c r="I22" s="58"/>
      <x:c r="J22" s="58"/>
      <x:c r="K22" s="58"/>
      <x:c r="L22" s="58"/>
      <x:c r="M22" s="58"/>
      <x:c r="N22" s="58"/>
    </x:row>
    <x:row r="23">
      <x:c r="A23" s="58"/>
      <x:c r="B23" s="58"/>
      <x:c r="C23" s="58"/>
      <x:c r="D23" s="58"/>
      <x:c r="E23" s="58"/>
      <x:c r="F23" s="58"/>
      <x:c r="G23" s="58"/>
      <x:c r="H23" s="58"/>
      <x:c r="I23" s="58"/>
      <x:c r="J23" s="58"/>
      <x:c r="K23" s="58"/>
      <x:c r="L23" s="58"/>
      <x:c r="M23" s="58"/>
      <x:c r="N23" s="58"/>
    </x:row>
    <x:row r="24">
      <x:c r="A24" s="58"/>
      <x:c r="B24" s="58"/>
      <x:c r="C24" s="58"/>
      <x:c r="D24" s="58"/>
      <x:c r="E24" s="58"/>
      <x:c r="F24" s="58"/>
      <x:c r="G24" s="58"/>
      <x:c r="H24" s="58"/>
      <x:c r="I24" s="58"/>
      <x:c r="J24" s="58"/>
      <x:c r="K24" s="58"/>
      <x:c r="L24" s="58"/>
      <x:c r="M24" s="58"/>
      <x:c r="N24" s="58"/>
    </x:row>
    <x:row r="25">
      <x:c r="A25" s="58"/>
      <x:c r="B25" s="58"/>
      <x:c r="C25" s="58"/>
      <x:c r="D25" s="58"/>
      <x:c r="E25" s="58"/>
      <x:c r="F25" s="58"/>
      <x:c r="G25" s="58"/>
      <x:c r="H25" s="58"/>
      <x:c r="I25" s="58"/>
      <x:c r="J25" s="58"/>
      <x:c r="K25" s="58"/>
      <x:c r="L25" s="58"/>
      <x:c r="M25" s="58"/>
      <x:c r="N25" s="58"/>
    </x:row>
    <x:row r="26">
      <x:c r="A26" s="58"/>
      <x:c r="B26" s="58"/>
      <x:c r="C26" s="58"/>
      <x:c r="D26" s="58"/>
      <x:c r="E26" s="58"/>
      <x:c r="F26" s="58"/>
      <x:c r="G26" s="58"/>
      <x:c r="H26" s="58"/>
      <x:c r="I26" s="58"/>
      <x:c r="J26" s="58"/>
      <x:c r="K26" s="58"/>
      <x:c r="L26" s="58"/>
      <x:c r="M26" s="58"/>
      <x:c r="N26" s="58"/>
    </x:row>
    <x:row r="27">
      <x:c r="A27" s="58"/>
      <x:c r="B27" s="58"/>
      <x:c r="C27" s="58"/>
      <x:c r="D27" s="58"/>
      <x:c r="E27" s="58"/>
      <x:c r="F27" s="58"/>
      <x:c r="G27" s="58"/>
      <x:c r="H27" s="58"/>
      <x:c r="I27" s="58"/>
      <x:c r="J27" s="58"/>
      <x:c r="K27" s="58"/>
      <x:c r="L27" s="58"/>
      <x:c r="M27" s="58"/>
      <x:c r="N27" s="58"/>
    </x:row>
    <x:row r="28">
      <x:c r="A28" s="58"/>
      <x:c r="B28" s="58"/>
      <x:c r="C28" s="58"/>
      <x:c r="D28" s="58"/>
      <x:c r="E28" s="58"/>
      <x:c r="F28" s="58"/>
      <x:c r="G28" s="58"/>
      <x:c r="H28" s="58"/>
      <x:c r="I28" s="58"/>
      <x:c r="J28" s="58"/>
      <x:c r="K28" s="58"/>
      <x:c r="L28" s="58"/>
      <x:c r="M28" s="58"/>
      <x:c r="N28" s="58"/>
    </x:row>
  </x:sheetData>
  <x:mergeCells>
    <x:mergeCell ref="A20:U20"/>
    <x:mergeCell ref="A2:U2"/>
    <x:mergeCell ref="B16:F16"/>
    <x:mergeCell ref="B15:F15"/>
    <x:mergeCell ref="A11:U11"/>
    <x:mergeCell ref="B14:F14"/>
    <x:mergeCell ref="B17:F17"/>
    <x:mergeCell ref="B18:F18"/>
  </x:mergeCells>
  <x:pageMargins left="0.3" right="0.3" top="0.4" bottom="0.4" header="0.2" footer="0.2"/>
  <x:pageSetup paperSize="8" orientation="landscape" fitToWidth="1" fitToHeight="0"/>
  <x:headerFooter>
    <x:oddHeader>&amp;LПример заполнения — группы граф; сверяйте № документа</x:oddHeader>
    <x:oddFooter>&amp;LПравила статусов и пояснения — в книге под таблицей&amp;C&amp;P / &amp;N</x:oddFooter>
  </x:headerFooter>
</x:worksheet>
</file>