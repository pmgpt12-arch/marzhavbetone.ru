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<sst xmlns="http://schemas.openxmlformats.org/spreadsheetml/2006/main" count="88" uniqueCount="82">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</sst>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 t="n">
        <v>46318</v>
      </c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 t="n">
        <v>0</v>
      </c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 t="n">
        <v>10000</v>
      </c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 t="n">
        <v>0</v>
      </c>
      <c r="E6" s="2" t="s">
        <v>22</v>
      </c>
      <c r="F6" s="2" t="s">
        <v>23</v>
      </c>
      <c r="G6" s="6" t="s">
        <v>24</v>
      </c>
    </row>
    <row r="7" customFormat="false" ht="48" hidden="false" customHeight="true" outlineLevel="0" collapsed="false">
      <c r="A7" s="2" t="s">
        <v>25</v>
      </c>
      <c r="B7" s="6"/>
      <c r="C7" s="2" t="s">
        <v>26</v>
      </c>
      <c r="D7" s="7" t="n">
        <v>0</v>
      </c>
      <c r="E7" s="2" t="s">
        <v>27</v>
      </c>
      <c r="F7" s="2" t="s">
        <v>28</v>
      </c>
      <c r="G7" s="6" t="s">
        <v>29</v>
      </c>
    </row>
    <row r="8" customFormat="false" ht="48" hidden="false" customHeight="true" outlineLevel="0" collapsed="false">
      <c r="A8" s="2" t="s">
        <v>30</v>
      </c>
      <c r="B8" s="6"/>
      <c r="C8" s="2" t="s">
        <v>31</v>
      </c>
      <c r="D8" s="7" t="n">
        <v>0</v>
      </c>
      <c r="E8" s="2" t="s">
        <v>32</v>
      </c>
      <c r="F8" s="2" t="s">
        <v>23</v>
      </c>
      <c r="G8" s="6" t="s">
        <v>33</v>
      </c>
    </row>
    <row r="9" customFormat="false" ht="48" hidden="false" customHeight="true" outlineLevel="0" collapsed="false">
      <c r="A9" s="2" t="s">
        <v>34</v>
      </c>
      <c r="B9" s="6"/>
      <c r="C9" s="2" t="s">
        <v>35</v>
      </c>
      <c r="D9" s="7" t="n">
        <v>0</v>
      </c>
      <c r="E9" s="2" t="s">
        <v>36</v>
      </c>
      <c r="F9" s="2" t="s">
        <v>23</v>
      </c>
      <c r="G9" s="6" t="s">
        <v>37</v>
      </c>
    </row>
    <row r="10" customFormat="false" ht="48" hidden="false" customHeight="true" outlineLevel="0" collapsed="false">
      <c r="A10" s="2" t="s">
        <v>38</v>
      </c>
      <c r="B10" s="6"/>
      <c r="C10" s="2" t="s">
        <v>39</v>
      </c>
      <c r="D10" s="7" t="n">
        <v>0</v>
      </c>
      <c r="E10" s="2" t="s">
        <v>40</v>
      </c>
      <c r="F10" s="2" t="s">
        <v>13</v>
      </c>
      <c r="G10" s="6" t="s">
        <v>41</v>
      </c>
    </row>
    <row r="11" customFormat="false" ht="48" hidden="false" customHeight="true" outlineLevel="0" collapsed="false">
      <c r="A11" s="2" t="s">
        <v>42</v>
      </c>
      <c r="B11" s="6"/>
      <c r="C11" s="2" t="s">
        <v>43</v>
      </c>
      <c r="D11" s="7" t="n">
        <v>100000</v>
      </c>
      <c r="E11" s="2" t="s">
        <v>44</v>
      </c>
      <c r="F11" s="2" t="s">
        <v>13</v>
      </c>
      <c r="G11" s="6" t="s">
        <v>45</v>
      </c>
    </row>
    <row r="12" customFormat="false" ht="45" hidden="false" customHeight="true" outlineLevel="0" collapsed="false">
      <c r="A12" s="8" t="s">
        <v>46</v>
      </c>
      <c r="B12" s="8"/>
      <c r="C12" s="8"/>
      <c r="D12" s="9" t="n">
        <f aca="false">IF(OR(NOT(ISNUMBER($D$2)),$D$2&lt;1),"УКАЖИТЕ ДАТУ",IF(COUNT(D5,D7,D8)&lt;&gt;3,"НЕ ПРОВЕРЕНО",IF(MIN(D5,D7,D8)&lt;0,"ОШИБКА: сумма меньше нуля",ROUND(SUM(D5,D7,D8),2))))</f>
        <v>10000</v>
      </c>
      <c r="E12" s="10" t="s">
        <v>47</v>
      </c>
      <c r="F12" s="10"/>
      <c r="G12" s="10"/>
    </row>
    <row r="13" customFormat="false" ht="45" hidden="false" customHeight="true" outlineLevel="0" collapsed="false">
      <c r="A13" s="11" t="s">
        <v>48</v>
      </c>
      <c r="B13" s="11"/>
      <c r="C13" s="11"/>
      <c r="D13" s="12" t="n">
        <f aca="false">IF(OR(NOT(ISNUMBER($D$2)),$D$2&lt;1),"УКАЖИТЕ ДАТУ",IF(COUNT(D6,D9)&lt;&gt;2,"НЕ ПРОВЕРЕНО",IF(MIN(D6,D9)&lt;0,"ОШИБКА: сумма меньше нуля",ROUND(SUM(D6,D9),2))))</f>
        <v>0</v>
      </c>
      <c r="E13" s="2" t="s">
        <v>49</v>
      </c>
      <c r="F13" s="2"/>
      <c r="G13" s="2"/>
    </row>
    <row r="14" customFormat="false" ht="45" hidden="false" customHeight="true" outlineLevel="0" collapsed="false">
      <c r="A14" s="11" t="s">
        <v>50</v>
      </c>
      <c r="B14" s="11"/>
      <c r="C14" s="11"/>
      <c r="D14" s="12" t="n">
        <f aca="false">IF(OR(NOT(ISNUMBER($D$2)),$D$2&lt;1),"УКАЖИТЕ ДАТУ",IF(NOT(ISNUMBER(D4)),"НЕ ПРОВЕРЕНО",IF(D4&lt;0,"ОШИБКА: сумма меньше нуля",ROUND(D4,2))))</f>
        <v>0</v>
      </c>
      <c r="E14" s="2" t="s">
        <v>51</v>
      </c>
      <c r="F14" s="2"/>
      <c r="G14" s="2"/>
    </row>
    <row r="15" customFormat="false" ht="45" hidden="false" customHeight="true" outlineLevel="0" collapsed="false">
      <c r="A15" s="11" t="s">
        <v>42</v>
      </c>
      <c r="B15" s="11"/>
      <c r="C15" s="11"/>
      <c r="D15" s="12" t="n">
        <f aca="false">IF(OR(NOT(ISNUMBER($D$2)),$D$2&lt;1),"УКАЖИТЕ ДАТУ",IF(NOT(ISNUMBER(D11)),"НЕ ПРОВЕРЕНО",IF(D11&lt;0,"ОШИБКА: сумма меньше нуля",ROUND(D11,2))))</f>
        <v>100000</v>
      </c>
      <c r="E15" s="2" t="s">
        <v>52</v>
      </c>
      <c r="F15" s="2"/>
      <c r="G15" s="2"/>
    </row>
    <row r="16" customFormat="false" ht="45" hidden="false" customHeight="true" outlineLevel="0" collapsed="false">
      <c r="A16" s="11" t="s">
        <v>38</v>
      </c>
      <c r="B16" s="11"/>
      <c r="C16" s="11"/>
      <c r="D16" s="12" t="n">
        <f aca="false">IF(OR(NOT(ISNUMBER($D$2)),$D$2&lt;1),"УКАЖИТЕ ДАТУ",IF(NOT(ISNUMBER(D10)),"НЕ ПРОВЕРЕНО",IF(D10&lt;0,"ОШИБКА: сумма меньше нуля",ROUND(D10,2))))</f>
        <v>0</v>
      </c>
      <c r="E16" s="2" t="s">
        <v>53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54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55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57</v>
      </c>
      <c r="B3" s="5" t="s">
        <v>58</v>
      </c>
      <c r="C3" s="5" t="s">
        <v>59</v>
      </c>
    </row>
    <row r="4" customFormat="false" ht="60" hidden="false" customHeight="true" outlineLevel="0" collapsed="false">
      <c r="A4" s="2" t="n">
        <v>1</v>
      </c>
      <c r="B4" s="2" t="s">
        <v>60</v>
      </c>
      <c r="C4" s="2" t="s">
        <v>61</v>
      </c>
    </row>
    <row r="5" customFormat="false" ht="60" hidden="false" customHeight="true" outlineLevel="0" collapsed="false">
      <c r="A5" s="2" t="n">
        <v>2</v>
      </c>
      <c r="B5" s="2" t="s">
        <v>62</v>
      </c>
      <c r="C5" s="2" t="s">
        <v>63</v>
      </c>
    </row>
    <row r="6" customFormat="false" ht="60" hidden="false" customHeight="true" outlineLevel="0" collapsed="false">
      <c r="A6" s="2" t="n">
        <v>3</v>
      </c>
      <c r="B6" s="2" t="s">
        <v>64</v>
      </c>
      <c r="C6" s="2" t="s">
        <v>65</v>
      </c>
    </row>
    <row r="7" customFormat="false" ht="60" hidden="false" customHeight="true" outlineLevel="0" collapsed="false">
      <c r="A7" s="2" t="n">
        <v>4</v>
      </c>
      <c r="B7" s="2" t="s">
        <v>66</v>
      </c>
      <c r="C7" s="2" t="s">
        <v>67</v>
      </c>
    </row>
    <row r="8" customFormat="false" ht="60" hidden="false" customHeight="true" outlineLevel="0" collapsed="false">
      <c r="A8" s="2" t="n">
        <v>5</v>
      </c>
      <c r="B8" s="2" t="s">
        <v>68</v>
      </c>
      <c r="C8" s="2" t="s">
        <v>69</v>
      </c>
    </row>
    <row r="9" customFormat="false" ht="60" hidden="false" customHeight="true" outlineLevel="0" collapsed="false">
      <c r="A9" s="2" t="n">
        <v>6</v>
      </c>
      <c r="B9" s="2" t="s">
        <v>70</v>
      </c>
      <c r="C9" s="2" t="s">
        <v>71</v>
      </c>
    </row>
    <row r="10" customFormat="false" ht="60" hidden="false" customHeight="true" outlineLevel="0" collapsed="false">
      <c r="A10" s="2" t="n">
        <v>7</v>
      </c>
      <c r="B10" s="2" t="s">
        <v>72</v>
      </c>
      <c r="C10" s="2" t="s">
        <v>73</v>
      </c>
    </row>
    <row r="11" customFormat="false" ht="60" hidden="false" customHeight="true" outlineLevel="0" collapsed="false">
      <c r="A11" s="2" t="n">
        <v>8</v>
      </c>
      <c r="B11" s="2" t="s">
        <v>74</v>
      </c>
      <c r="C11" s="2" t="s">
        <v>75</v>
      </c>
    </row>
    <row r="12" customFormat="false" ht="60" hidden="false" customHeight="true" outlineLevel="0" collapsed="false">
      <c r="A12" s="2" t="n">
        <v>9</v>
      </c>
      <c r="B12" s="2" t="s">
        <v>76</v>
      </c>
      <c r="C12" s="2" t="s">
        <v>77</v>
      </c>
    </row>
    <row r="13" customFormat="false" ht="60" hidden="false" customHeight="true" outlineLevel="0" collapsed="false">
      <c r="A13" s="2" t="n">
        <v>10</v>
      </c>
      <c r="B13" s="2" t="s">
        <v>78</v>
      </c>
      <c r="C13" s="2" t="s">
        <v>79</v>
      </c>
    </row>
    <row r="14" customFormat="false" ht="60" hidden="false" customHeight="true" outlineLevel="0" collapsed="false">
      <c r="A14" s="2" t="n">
        <v>11</v>
      </c>
      <c r="B14" s="2" t="s">
        <v>80</v>
      </c>
      <c r="C14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