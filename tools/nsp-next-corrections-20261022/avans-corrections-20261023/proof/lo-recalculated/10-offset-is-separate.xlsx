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зъятия" sheetId="1" state="visible" r:id="rId3"/>
    <sheet name="Как считать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<sst xmlns="http://schemas.openxmlformats.org/spreadsheetml/2006/main" count="88" uniqueCount="82">
  <si>
    <t xml:space="preserve">Деньги и обязательства по объекту</t>
  </si>
  <si>
    <t xml:space="preserve">Дата среза</t>
  </si>
  <si>
    <t xml:space="preserve">Пусто — не проверено. Ноль — проверено, отсутствует.</t>
  </si>
  <si>
    <t xml:space="preserve">Показатель</t>
  </si>
  <si>
    <t xml:space="preserve">Основание</t>
  </si>
  <si>
    <t xml:space="preserve">Что проверить</t>
  </si>
  <si>
    <t xml:space="preserve">Сумма, ₽</t>
  </si>
  <si>
    <t xml:space="preserve">Условия и документы</t>
  </si>
  <si>
    <t xml:space="preserve">За чей счёт</t>
  </si>
  <si>
    <t xml:space="preserve">Сверка и исключение повторов</t>
  </si>
  <si>
    <t xml:space="preserve">Аванс — непогашенный остаток</t>
  </si>
  <si>
    <t xml:space="preserve">Выдано минус зачтено и возвращено</t>
  </si>
  <si>
    <t xml:space="preserve">По расчётам и документам сторон</t>
  </si>
  <si>
    <t xml:space="preserve">—</t>
  </si>
  <si>
    <t xml:space="preserve">Отдельное обязательство; не сумма изъятых денег</t>
  </si>
  <si>
    <t xml:space="preserve">Гарантийное удержание</t>
  </si>
  <si>
    <t xml:space="preserve">Фактический остаток удержания на дату</t>
  </si>
  <si>
    <t xml:space="preserve">База, процент, событие и срок возврата</t>
  </si>
  <si>
    <t xml:space="preserve">Подрядчик</t>
  </si>
  <si>
    <t xml:space="preserve">Не повторять в денежном обеспечении</t>
  </si>
  <si>
    <t xml:space="preserve">Вознаграждение банка</t>
  </si>
  <si>
    <t xml:space="preserve">Фактически уплаченные комиссии</t>
  </si>
  <si>
    <t xml:space="preserve">С учётом подтверждённых возвратов</t>
  </si>
  <si>
    <t xml:space="preserve">По договору</t>
  </si>
  <si>
    <t xml:space="preserve">Номинал гарантии сюда не включать</t>
  </si>
  <si>
    <t xml:space="preserve">Денежное покрытие в банке</t>
  </si>
  <si>
    <t xml:space="preserve">Только фактически заблокированные деньги</t>
  </si>
  <si>
    <t xml:space="preserve">Условия освобождения по соглашению с банком</t>
  </si>
  <si>
    <t xml:space="preserve">По соглашению</t>
  </si>
  <si>
    <t xml:space="preserve">Залог имущества и лимит гарантии не включать</t>
  </si>
  <si>
    <t xml:space="preserve">Обеспечительный платёж</t>
  </si>
  <si>
    <t xml:space="preserve">Переданные и не возвращённые деньги</t>
  </si>
  <si>
    <t xml:space="preserve">Условия возврата по договору</t>
  </si>
  <si>
    <t xml:space="preserve">Не повторять сумму удержания из строки 5</t>
  </si>
  <si>
    <t xml:space="preserve">Генподрядные услуги</t>
  </si>
  <si>
    <t xml:space="preserve">Оплачено или документально списано</t>
  </si>
  <si>
    <t xml:space="preserve">Акты, расчёты, платежи и заявления</t>
  </si>
  <si>
    <t xml:space="preserve">Без повторов и с учётом возвратов</t>
  </si>
  <si>
    <t xml:space="preserve">Штрафы и иные списания</t>
  </si>
  <si>
    <t xml:space="preserve">Фактически уменьшившие расчёты суммы</t>
  </si>
  <si>
    <t xml:space="preserve">Основание, документ и позиция по спору</t>
  </si>
  <si>
    <t xml:space="preserve">Не включать повторно суммы других строк</t>
  </si>
  <si>
    <t xml:space="preserve">Выполнено, но не принято</t>
  </si>
  <si>
    <t xml:space="preserve">Стоимость подтверждённых работ</t>
  </si>
  <si>
    <t xml:space="preserve">Документы выполнения и сдачи, причины отказа</t>
  </si>
  <si>
    <t xml:space="preserve">Может включать удержание; с ним не складывать</t>
  </si>
  <si>
    <t xml:space="preserve">Удержано и заблокировано</t>
  </si>
  <si>
    <t xml:space="preserve">Сумма строк 5, 7 и 8. Только непересекающиеся денежные остатки.</t>
  </si>
  <si>
    <t xml:space="preserve">Фактические затраты</t>
  </si>
  <si>
    <t xml:space="preserve">Сумма строк 6 и 9. Не прибавляется к остаткам для оценки кассы.</t>
  </si>
  <si>
    <t xml:space="preserve">Непогашенный аванс</t>
  </si>
  <si>
    <t xml:space="preserve">Строка 4. Не показывает доступный остаток денег на счёте.</t>
  </si>
  <si>
    <t xml:space="preserve">Строка 11. Срок оплаты и наличие долга проверяются отдельно.</t>
  </si>
  <si>
    <t xml:space="preserve">Строка 10. Спорность и отсутствие повторов подтверждаются документами.</t>
  </si>
  <si>
    <t xml:space="preserve">Общий кассовый разрыв здесь не рассчитывается. Для него нужны доступные деньги и календарь поступлений и выплат.</t>
  </si>
  <si>
    <t xml:space="preserve">Суммы не складываются между показателями. Сверку оснований и исключение повторов фиксируйте в графе G.</t>
  </si>
  <si>
    <t xml:space="preserve">Как заполнить реестр</t>
  </si>
  <si>
    <t xml:space="preserve">Шаг</t>
  </si>
  <si>
    <t xml:space="preserve">Действие</t>
  </si>
  <si>
    <t xml:space="preserve">Правило</t>
  </si>
  <si>
    <t xml:space="preserve">Укажите дату среза в ячейке D2 первого листа.</t>
  </si>
  <si>
    <t xml:space="preserve">Все остатки и накопленные затраты относятся к одной дате.</t>
  </si>
  <si>
    <t xml:space="preserve">Заполните сумму каждой строки.</t>
  </si>
  <si>
    <t xml:space="preserve">Пусто означает «не проверено». После проверки введите число, в том числе 0 при отсутствии суммы. Отрицательные и нечисловые значения не дают корректного итога.</t>
  </si>
  <si>
    <t xml:space="preserve">Аванс укажите отдельным остатком.</t>
  </si>
  <si>
    <t xml:space="preserve">Выданный аванс минус зачтённые и возвращённые суммы. Наличие обязательства не означает, что эти деньги недоступны на счёте.</t>
  </si>
  <si>
    <t xml:space="preserve">Удержание берите из сверенных расчётов.</t>
  </si>
  <si>
    <t xml:space="preserve">База и процент определяются договором. Не умножайте процент автоматически на сумму чистого платежа. Учитывайте возвраты.</t>
  </si>
  <si>
    <t xml:space="preserve">В покрытие банка включайте только деньги.</t>
  </si>
  <si>
    <t xml:space="preserve">Имущественный залог и номинал гарантии не являются заблокированными денежными средствами. Условия освобождения проверьте в банковском соглашении.</t>
  </si>
  <si>
    <t xml:space="preserve">Разделите расходы и возвратные остатки.</t>
  </si>
  <si>
    <t xml:space="preserve">Комиссии банка и оплаченные либо списанные услуги — затраты. Удержание, денежное покрытие и обеспечительный платёж — отдельные остатки.</t>
  </si>
  <si>
    <t xml:space="preserve">Исключите повторение одной суммы.</t>
  </si>
  <si>
    <t xml:space="preserve">Одно удержание нельзя одновременно внести как обеспечительный платёж. Укажите основания и сверку в графе G; автоматически выявить такие повторы по суммам невозможно.</t>
  </si>
  <si>
    <t xml:space="preserve">Непринятые работы и списания проверяйте отдельно.</t>
  </si>
  <si>
    <t xml:space="preserve">Стоимость работ может уже включать удержание. Не прибавляйте её к сумме удержания. Не учитывайте один платёж повторно в строках расходов и списаний.</t>
  </si>
  <si>
    <t xml:space="preserve">Читайте каждый итог отдельно.</t>
  </si>
  <si>
    <t xml:space="preserve">Здесь нет общего итога «денег не у вас», чистого долга или расчёта запаса ликвидности. Достоверность оснований подтверждается документами.</t>
  </si>
  <si>
    <t xml:space="preserve">Для финансирования составьте календарь.</t>
  </si>
  <si>
    <t xml:space="preserve">Сопоставьте доступный остаток денег, ожидаемые поступления, сроки зачёта аванса и обязательные выплаты по датам.</t>
  </si>
  <si>
    <t xml:space="preserve">Пересчитывайте после новых событий.</t>
  </si>
  <si>
    <t xml:space="preserve">Платёж, зачёт аванса, возврат покрытия и акт меняют разные показатели. Сохраните датированную копию и документы сверки.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</si>
</sst>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#,##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5"/>
      <color rgb="FF222222"/>
      <name val="Arial"/>
      <family val="0"/>
      <charset val="1"/>
    </font>
    <font>
      <sz val="11"/>
      <color rgb="FF222222"/>
      <name val="Arial"/>
      <family val="2"/>
      <charset val="1"/>
    </font>
    <font>
      <sz val="11"/>
      <color rgb="FF222222"/>
      <name val="Arial"/>
      <family val="0"/>
      <charset val="1"/>
    </font>
    <font>
      <b val="true"/>
      <sz val="11"/>
      <color rgb="FFFFFFFF"/>
      <name val="Arial"/>
      <family val="2"/>
      <charset val="1"/>
    </font>
    <font>
      <b val="true"/>
      <sz val="11"/>
      <color rgb="FF222222"/>
      <name val="Arial"/>
      <family val="0"/>
      <charset val="1"/>
    </font>
    <font>
      <b val="true"/>
      <sz val="11"/>
      <color rgb="FF222222"/>
      <name val="Arial"/>
      <family val="2"/>
      <charset val="1"/>
    </font>
    <font>
      <i val="true"/>
      <sz val="10"/>
      <color rgb="FF222222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3F0E8"/>
      </patternFill>
    </fill>
    <fill>
      <patternFill patternType="solid">
        <fgColor rgb="FFFFF2CC"/>
        <bgColor rgb="FFF3F0E8"/>
      </patternFill>
    </fill>
    <fill>
      <patternFill patternType="solid">
        <fgColor rgb="FF343B40"/>
        <bgColor rgb="FF222222"/>
      </patternFill>
    </fill>
    <fill>
      <patternFill patternType="solid">
        <fgColor rgb="FFF3F0E8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0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2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6" fillId="3" borderId="0" xfId="20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64" fontId="9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5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5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3F0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22222"/>
      <rgbColor rgb="FF993300"/>
      <rgbColor rgb="FF993366"/>
      <rgbColor rgb="FF333399"/>
      <rgbColor rgb="FF343B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39"/>
    <col collapsed="false" customWidth="true" hidden="false" outlineLevel="0" max="6" min="6" style="0" width="17"/>
    <col collapsed="false" customWidth="true" hidden="false" outlineLevel="0" max="7" min="7" style="0" width="34"/>
  </cols>
  <sheetData>
    <row r="1" customFormat="false" ht="28" hidden="false" customHeight="true" outlineLevel="0" collapsed="false">
      <c r="A1" s="1" t="s">
        <v>0</v>
      </c>
      <c r="B1" s="2"/>
      <c r="C1" s="2"/>
      <c r="D1" s="2"/>
      <c r="E1" s="2"/>
      <c r="F1" s="2"/>
      <c r="G1" s="2"/>
    </row>
    <row r="2" customFormat="false" ht="42" hidden="false" customHeight="true" outlineLevel="0" collapsed="false">
      <c r="A2" s="3" t="s">
        <v>1</v>
      </c>
      <c r="B2" s="3"/>
      <c r="C2" s="3"/>
      <c r="D2" s="4" t="n">
        <v>46318</v>
      </c>
      <c r="E2" s="3" t="s">
        <v>2</v>
      </c>
      <c r="F2" s="3"/>
      <c r="G2" s="3"/>
    </row>
    <row r="3" customFormat="false" ht="35" hidden="false" customHeight="true" outlineLevel="0" collapsed="false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</row>
    <row r="4" customFormat="false" ht="48" hidden="false" customHeight="true" outlineLevel="0" collapsed="false">
      <c r="A4" s="2" t="s">
        <v>10</v>
      </c>
      <c r="B4" s="6"/>
      <c r="C4" s="2" t="s">
        <v>11</v>
      </c>
      <c r="D4" s="7" t="n">
        <v>0</v>
      </c>
      <c r="E4" s="2" t="s">
        <v>12</v>
      </c>
      <c r="F4" s="2" t="s">
        <v>13</v>
      </c>
      <c r="G4" s="6" t="s">
        <v>14</v>
      </c>
    </row>
    <row r="5" customFormat="false" ht="48" hidden="false" customHeight="true" outlineLevel="0" collapsed="false">
      <c r="A5" s="2" t="s">
        <v>15</v>
      </c>
      <c r="B5" s="6"/>
      <c r="C5" s="2" t="s">
        <v>16</v>
      </c>
      <c r="D5" s="7" t="n">
        <v>0</v>
      </c>
      <c r="E5" s="2" t="s">
        <v>17</v>
      </c>
      <c r="F5" s="2" t="s">
        <v>18</v>
      </c>
      <c r="G5" s="6" t="s">
        <v>19</v>
      </c>
    </row>
    <row r="6" customFormat="false" ht="48" hidden="false" customHeight="true" outlineLevel="0" collapsed="false">
      <c r="A6" s="2" t="s">
        <v>20</v>
      </c>
      <c r="B6" s="6"/>
      <c r="C6" s="2" t="s">
        <v>21</v>
      </c>
      <c r="D6" s="7" t="n">
        <v>0</v>
      </c>
      <c r="E6" s="2" t="s">
        <v>22</v>
      </c>
      <c r="F6" s="2" t="s">
        <v>23</v>
      </c>
      <c r="G6" s="6" t="s">
        <v>24</v>
      </c>
    </row>
    <row r="7" customFormat="false" ht="48" hidden="false" customHeight="true" outlineLevel="0" collapsed="false">
      <c r="A7" s="2" t="s">
        <v>25</v>
      </c>
      <c r="B7" s="6"/>
      <c r="C7" s="2" t="s">
        <v>26</v>
      </c>
      <c r="D7" s="7" t="n">
        <v>0</v>
      </c>
      <c r="E7" s="2" t="s">
        <v>27</v>
      </c>
      <c r="F7" s="2" t="s">
        <v>28</v>
      </c>
      <c r="G7" s="6" t="s">
        <v>29</v>
      </c>
    </row>
    <row r="8" customFormat="false" ht="48" hidden="false" customHeight="true" outlineLevel="0" collapsed="false">
      <c r="A8" s="2" t="s">
        <v>30</v>
      </c>
      <c r="B8" s="6"/>
      <c r="C8" s="2" t="s">
        <v>31</v>
      </c>
      <c r="D8" s="7" t="n">
        <v>0</v>
      </c>
      <c r="E8" s="2" t="s">
        <v>32</v>
      </c>
      <c r="F8" s="2" t="s">
        <v>23</v>
      </c>
      <c r="G8" s="6" t="s">
        <v>33</v>
      </c>
    </row>
    <row r="9" customFormat="false" ht="48" hidden="false" customHeight="true" outlineLevel="0" collapsed="false">
      <c r="A9" s="2" t="s">
        <v>34</v>
      </c>
      <c r="B9" s="6"/>
      <c r="C9" s="2" t="s">
        <v>35</v>
      </c>
      <c r="D9" s="7" t="n">
        <v>0</v>
      </c>
      <c r="E9" s="2" t="s">
        <v>36</v>
      </c>
      <c r="F9" s="2" t="s">
        <v>23</v>
      </c>
      <c r="G9" s="6" t="s">
        <v>37</v>
      </c>
    </row>
    <row r="10" customFormat="false" ht="48" hidden="false" customHeight="true" outlineLevel="0" collapsed="false">
      <c r="A10" s="2" t="s">
        <v>38</v>
      </c>
      <c r="B10" s="6"/>
      <c r="C10" s="2" t="s">
        <v>39</v>
      </c>
      <c r="D10" s="7" t="n">
        <v>25000</v>
      </c>
      <c r="E10" s="2" t="s">
        <v>40</v>
      </c>
      <c r="F10" s="2" t="s">
        <v>13</v>
      </c>
      <c r="G10" s="6" t="s">
        <v>41</v>
      </c>
    </row>
    <row r="11" customFormat="false" ht="48" hidden="false" customHeight="true" outlineLevel="0" collapsed="false">
      <c r="A11" s="2" t="s">
        <v>42</v>
      </c>
      <c r="B11" s="6"/>
      <c r="C11" s="2" t="s">
        <v>43</v>
      </c>
      <c r="D11" s="7" t="n">
        <v>0</v>
      </c>
      <c r="E11" s="2" t="s">
        <v>44</v>
      </c>
      <c r="F11" s="2" t="s">
        <v>13</v>
      </c>
      <c r="G11" s="6" t="s">
        <v>45</v>
      </c>
    </row>
    <row r="12" customFormat="false" ht="45" hidden="false" customHeight="true" outlineLevel="0" collapsed="false">
      <c r="A12" s="8" t="s">
        <v>46</v>
      </c>
      <c r="B12" s="8"/>
      <c r="C12" s="8"/>
      <c r="D12" s="9" t="n">
        <f aca="false">IF(OR(NOT(ISNUMBER($D$2)),$D$2&lt;1),"УКАЖИТЕ ДАТУ",IF(COUNT(D5,D7,D8)&lt;&gt;3,"НЕ ПРОВЕРЕНО",IF(MIN(D5,D7,D8)&lt;0,"ОШИБКА: сумма меньше нуля",ROUND(SUM(D5,D7,D8),2))))</f>
        <v>0</v>
      </c>
      <c r="E12" s="10" t="s">
        <v>47</v>
      </c>
      <c r="F12" s="10"/>
      <c r="G12" s="10"/>
    </row>
    <row r="13" customFormat="false" ht="45" hidden="false" customHeight="true" outlineLevel="0" collapsed="false">
      <c r="A13" s="11" t="s">
        <v>48</v>
      </c>
      <c r="B13" s="11"/>
      <c r="C13" s="11"/>
      <c r="D13" s="12" t="n">
        <f aca="false">IF(OR(NOT(ISNUMBER($D$2)),$D$2&lt;1),"УКАЖИТЕ ДАТУ",IF(COUNT(D6,D9)&lt;&gt;2,"НЕ ПРОВЕРЕНО",IF(MIN(D6,D9)&lt;0,"ОШИБКА: сумма меньше нуля",ROUND(SUM(D6,D9),2))))</f>
        <v>0</v>
      </c>
      <c r="E13" s="2" t="s">
        <v>49</v>
      </c>
      <c r="F13" s="2"/>
      <c r="G13" s="2"/>
    </row>
    <row r="14" customFormat="false" ht="45" hidden="false" customHeight="true" outlineLevel="0" collapsed="false">
      <c r="A14" s="11" t="s">
        <v>50</v>
      </c>
      <c r="B14" s="11"/>
      <c r="C14" s="11"/>
      <c r="D14" s="12" t="n">
        <f aca="false">IF(OR(NOT(ISNUMBER($D$2)),$D$2&lt;1),"УКАЖИТЕ ДАТУ",IF(NOT(ISNUMBER(D4)),"НЕ ПРОВЕРЕНО",IF(D4&lt;0,"ОШИБКА: сумма меньше нуля",ROUND(D4,2))))</f>
        <v>0</v>
      </c>
      <c r="E14" s="2" t="s">
        <v>51</v>
      </c>
      <c r="F14" s="2"/>
      <c r="G14" s="2"/>
    </row>
    <row r="15" customFormat="false" ht="45" hidden="false" customHeight="true" outlineLevel="0" collapsed="false">
      <c r="A15" s="11" t="s">
        <v>42</v>
      </c>
      <c r="B15" s="11"/>
      <c r="C15" s="11"/>
      <c r="D15" s="12" t="n">
        <f aca="false">IF(OR(NOT(ISNUMBER($D$2)),$D$2&lt;1),"УКАЖИТЕ ДАТУ",IF(NOT(ISNUMBER(D11)),"НЕ ПРОВЕРЕНО",IF(D11&lt;0,"ОШИБКА: сумма меньше нуля",ROUND(D11,2))))</f>
        <v>0</v>
      </c>
      <c r="E15" s="2" t="s">
        <v>52</v>
      </c>
      <c r="F15" s="2"/>
      <c r="G15" s="2"/>
    </row>
    <row r="16" customFormat="false" ht="45" hidden="false" customHeight="true" outlineLevel="0" collapsed="false">
      <c r="A16" s="11" t="s">
        <v>38</v>
      </c>
      <c r="B16" s="11"/>
      <c r="C16" s="11"/>
      <c r="D16" s="12" t="n">
        <f aca="false">IF(OR(NOT(ISNUMBER($D$2)),$D$2&lt;1),"УКАЖИТЕ ДАТУ",IF(NOT(ISNUMBER(D10)),"НЕ ПРОВЕРЕНО",IF(D10&lt;0,"ОШИБКА: сумма меньше нуля",ROUND(D10,2))))</f>
        <v>25000</v>
      </c>
      <c r="E16" s="2" t="s">
        <v>53</v>
      </c>
      <c r="F16" s="2"/>
      <c r="G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</row>
    <row r="18" customFormat="false" ht="23" hidden="false" customHeight="true" outlineLevel="0" collapsed="false">
      <c r="A18" s="13" t="s">
        <v>54</v>
      </c>
      <c r="B18" s="2"/>
      <c r="C18" s="2"/>
      <c r="D18" s="2"/>
      <c r="E18" s="2"/>
      <c r="F18" s="2"/>
      <c r="G18" s="2"/>
    </row>
    <row r="19" customFormat="false" ht="23" hidden="false" customHeight="true" outlineLevel="0" collapsed="false">
      <c r="A19" s="13" t="s">
        <v>55</v>
      </c>
      <c r="B19" s="2"/>
      <c r="C19" s="2"/>
      <c r="D19" s="2"/>
      <c r="E19" s="2"/>
      <c r="F19" s="2"/>
      <c r="G19" s="2"/>
    </row>
  </sheetData>
  <dataValidations count="2">
    <dataValidation allowBlank="true" error="Введите число. Суммы не могут быть отрицательными." errorStyle="stop" errorTitle="Проверьте значение" operator="between" showDropDown="false" showErrorMessage="true" showInputMessage="false" sqref="D2" type="custom">
      <formula1>OR(ISBLANK(D2),AND(ISNUMBER(D2),D2&gt;=1))</formula1>
      <formula2>0</formula2>
    </dataValidation>
    <dataValidation allowBlank="true" error="Введите число. Суммы не могут быть отрицательными." errorStyle="stop" errorTitle="Проверьте значение" operator="between" showDropDown="false" showErrorMessage="true" showInputMessage="false" sqref="D4:D11" type="custom">
      <formula1>OR(ISBLANK(D4),AND(ISNUMBER(D4),D4&gt;=0))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56"/>
  </cols>
  <sheetData>
    <row r="1" customFormat="false" ht="28" hidden="false" customHeight="true" outlineLevel="0" collapsed="false">
      <c r="A1" s="1" t="s">
        <v>56</v>
      </c>
      <c r="B1" s="2"/>
      <c r="C1" s="2"/>
    </row>
    <row r="2" customFormat="false" ht="15" hidden="false" customHeight="false" outlineLevel="0" collapsed="false">
      <c r="A2" s="2"/>
      <c r="B2" s="2"/>
      <c r="C2" s="2"/>
    </row>
    <row r="3" customFormat="false" ht="28" hidden="false" customHeight="true" outlineLevel="0" collapsed="false">
      <c r="A3" s="5" t="s">
        <v>57</v>
      </c>
      <c r="B3" s="5" t="s">
        <v>58</v>
      </c>
      <c r="C3" s="5" t="s">
        <v>59</v>
      </c>
    </row>
    <row r="4" customFormat="false" ht="60" hidden="false" customHeight="true" outlineLevel="0" collapsed="false">
      <c r="A4" s="2" t="n">
        <v>1</v>
      </c>
      <c r="B4" s="2" t="s">
        <v>60</v>
      </c>
      <c r="C4" s="2" t="s">
        <v>61</v>
      </c>
    </row>
    <row r="5" customFormat="false" ht="60" hidden="false" customHeight="true" outlineLevel="0" collapsed="false">
      <c r="A5" s="2" t="n">
        <v>2</v>
      </c>
      <c r="B5" s="2" t="s">
        <v>62</v>
      </c>
      <c r="C5" s="2" t="s">
        <v>63</v>
      </c>
    </row>
    <row r="6" customFormat="false" ht="60" hidden="false" customHeight="true" outlineLevel="0" collapsed="false">
      <c r="A6" s="2" t="n">
        <v>3</v>
      </c>
      <c r="B6" s="2" t="s">
        <v>64</v>
      </c>
      <c r="C6" s="2" t="s">
        <v>65</v>
      </c>
    </row>
    <row r="7" customFormat="false" ht="60" hidden="false" customHeight="true" outlineLevel="0" collapsed="false">
      <c r="A7" s="2" t="n">
        <v>4</v>
      </c>
      <c r="B7" s="2" t="s">
        <v>66</v>
      </c>
      <c r="C7" s="2" t="s">
        <v>67</v>
      </c>
    </row>
    <row r="8" customFormat="false" ht="60" hidden="false" customHeight="true" outlineLevel="0" collapsed="false">
      <c r="A8" s="2" t="n">
        <v>5</v>
      </c>
      <c r="B8" s="2" t="s">
        <v>68</v>
      </c>
      <c r="C8" s="2" t="s">
        <v>69</v>
      </c>
    </row>
    <row r="9" customFormat="false" ht="60" hidden="false" customHeight="true" outlineLevel="0" collapsed="false">
      <c r="A9" s="2" t="n">
        <v>6</v>
      </c>
      <c r="B9" s="2" t="s">
        <v>70</v>
      </c>
      <c r="C9" s="2" t="s">
        <v>71</v>
      </c>
    </row>
    <row r="10" customFormat="false" ht="60" hidden="false" customHeight="true" outlineLevel="0" collapsed="false">
      <c r="A10" s="2" t="n">
        <v>7</v>
      </c>
      <c r="B10" s="2" t="s">
        <v>72</v>
      </c>
      <c r="C10" s="2" t="s">
        <v>73</v>
      </c>
    </row>
    <row r="11" customFormat="false" ht="60" hidden="false" customHeight="true" outlineLevel="0" collapsed="false">
      <c r="A11" s="2" t="n">
        <v>8</v>
      </c>
      <c r="B11" s="2" t="s">
        <v>74</v>
      </c>
      <c r="C11" s="2" t="s">
        <v>75</v>
      </c>
    </row>
    <row r="12" customFormat="false" ht="60" hidden="false" customHeight="true" outlineLevel="0" collapsed="false">
      <c r="A12" s="2" t="n">
        <v>9</v>
      </c>
      <c r="B12" s="2" t="s">
        <v>76</v>
      </c>
      <c r="C12" s="2" t="s">
        <v>77</v>
      </c>
    </row>
    <row r="13" customFormat="false" ht="60" hidden="false" customHeight="true" outlineLevel="0" collapsed="false">
      <c r="A13" s="2" t="n">
        <v>10</v>
      </c>
      <c r="B13" s="2" t="s">
        <v>78</v>
      </c>
      <c r="C13" s="2" t="s">
        <v>79</v>
      </c>
    </row>
    <row r="14" customFormat="false" ht="60" hidden="false" customHeight="true" outlineLevel="0" collapsed="false">
      <c r="A14" s="2" t="n">
        <v>11</v>
      </c>
      <c r="B14" s="2" t="s">
        <v>80</v>
      </c>
      <c r="C14" s="2" t="s">
        <v>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