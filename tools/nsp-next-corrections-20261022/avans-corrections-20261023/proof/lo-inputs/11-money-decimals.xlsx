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67eafd423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e46b4e9e617748e0"/>
    <x:sheet xmlns:r="http://schemas.openxmlformats.org/officeDocument/2006/relationships" name="Как считать" sheetId="2" r:id="R03bfdff8e30f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4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8" fillId="3" borderId="3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3" xfId="0" applyNumberFormat="1" applyFont="1" applyFill="1" applyBorder="1" applyAlignment="1" applyProtection="1">
      <x:alignment horizontal="center" vertical="center" wrapText="1"/>
      <x:protection locked="0"/>
    </x:xf>
    <x:xf numFmtId="0" fontId="5" fillId="3" borderId="3" xfId="0" applyNumberFormat="1" applyFont="1" applyFill="1" applyBorder="1" applyAlignment="1" applyProtection="1">
      <x:alignment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958796ef24552" /><Relationship Type="http://schemas.openxmlformats.org/officeDocument/2006/relationships/theme" Target="/xl/theme/theme1.xml" Id="Rec29e79466bf4946" /><Relationship Type="http://schemas.microsoft.com/office/2022/11/relationships/FeaturePropertyBag" Target="/xl/featurePropertyBag/featurePropertyBag.xml" Id="Ra2b7f4c581034707" /><Relationship Type="http://schemas.openxmlformats.org/officeDocument/2006/relationships/sharedStrings" Target="/xl/sharedStrings.xml" Id="Rc27dd299b96247c6" /><Relationship Type="http://schemas.openxmlformats.org/officeDocument/2006/relationships/worksheet" Target="/xl/worksheets/sheet1.xml" Id="Re46b4e9e617748e0" /><Relationship Type="http://schemas.openxmlformats.org/officeDocument/2006/relationships/worksheet" Target="/xl/worksheets/sheet2.xml" Id="R03bfdff8e30f44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49" t="n">
        <x:v>46318</x:v>
      </x:c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48" customHeight="1">
      <x:c r="A4" s="22" t="str">
        <x:v>Аванс — непогашенный остаток</x:v>
      </x:c>
      <x:c r="B4" s="50"/>
      <x:c r="C4" s="22" t="str">
        <x:v>Выдано минус зачтено и возвращено</x:v>
      </x:c>
      <x:c r="D4" s="51" t="n">
        <x:v>0</x:v>
      </x:c>
      <x:c r="E4" s="22" t="str">
        <x:v>По расчётам и документам сторон</x:v>
      </x:c>
      <x:c r="F4" s="22" t="str">
        <x:v>—</x:v>
      </x:c>
      <x:c r="G4" s="50" t="str">
        <x:v>Отдельное обязательство; не сумма изъятых денег</x:v>
      </x:c>
    </x:row>
    <x:row r="5" ht="48" customHeight="1">
      <x:c r="A5" s="22" t="str">
        <x:v>Гарантийное удержание</x:v>
      </x:c>
      <x:c r="B5" s="50"/>
      <x:c r="C5" s="22" t="str">
        <x:v>Фактический остаток удержания на дату</x:v>
      </x:c>
      <x:c r="D5" s="51" t="n">
        <x:v>10000.25</x:v>
      </x:c>
      <x:c r="E5" s="22" t="str">
        <x:v>База, процент, событие и срок возврата</x:v>
      </x:c>
      <x:c r="F5" s="22" t="str">
        <x:v>Подрядчик</x:v>
      </x:c>
      <x:c r="G5" s="50" t="str">
        <x:v>Не повторять в денежном обеспечении</x:v>
      </x:c>
    </x:row>
    <x:row r="6" ht="48" customHeight="1">
      <x:c r="A6" s="22" t="str">
        <x:v>Вознаграждение банка</x:v>
      </x:c>
      <x:c r="B6" s="50"/>
      <x:c r="C6" s="22" t="str">
        <x:v>Фактически уплаченные комиссии</x:v>
      </x:c>
      <x:c r="D6" s="51" t="n">
        <x:v>0</x:v>
      </x:c>
      <x:c r="E6" s="22" t="str">
        <x:v>С учётом подтверждённых возвратов</x:v>
      </x:c>
      <x:c r="F6" s="22" t="str">
        <x:v>По договору</x:v>
      </x:c>
      <x:c r="G6" s="50" t="str">
        <x:v>Номинал гарантии сюда не включать</x:v>
      </x:c>
    </x:row>
    <x:row r="7" ht="48" customHeight="1">
      <x:c r="A7" s="22" t="str">
        <x:v>Денежное покрытие в банке</x:v>
      </x:c>
      <x:c r="B7" s="50"/>
      <x:c r="C7" s="22" t="str">
        <x:v>Только фактически заблокированные деньги</x:v>
      </x:c>
      <x:c r="D7" s="51" t="n">
        <x:v>50000.5</x:v>
      </x:c>
      <x:c r="E7" s="22" t="str">
        <x:v>Условия освобождения по соглашению с банком</x:v>
      </x:c>
      <x:c r="F7" s="22" t="str">
        <x:v>По соглашению</x:v>
      </x:c>
      <x:c r="G7" s="50" t="str">
        <x:v>Залог имущества и лимит гарантии не включать</x:v>
      </x:c>
    </x:row>
    <x:row r="8" ht="48" customHeight="1">
      <x:c r="A8" s="22" t="str">
        <x:v>Обеспечительный платёж</x:v>
      </x:c>
      <x:c r="B8" s="50"/>
      <x:c r="C8" s="22" t="str">
        <x:v>Переданные и не возвращённые деньги</x:v>
      </x:c>
      <x:c r="D8" s="51" t="n">
        <x:v>20000.3</x:v>
      </x:c>
      <x:c r="E8" s="22" t="str">
        <x:v>Условия возврата по договору</x:v>
      </x:c>
      <x:c r="F8" s="22" t="str">
        <x:v>По договору</x:v>
      </x:c>
      <x:c r="G8" s="50" t="str">
        <x:v>Не повторять сумму удержания из строки 5</x:v>
      </x:c>
    </x:row>
    <x:row r="9" ht="48" customHeight="1">
      <x:c r="A9" s="22" t="str">
        <x:v>Генподрядные услуги</x:v>
      </x:c>
      <x:c r="B9" s="50"/>
      <x:c r="C9" s="22" t="str">
        <x:v>Оплачено или документально списано</x:v>
      </x:c>
      <x:c r="D9" s="51" t="n">
        <x:v>0</x:v>
      </x:c>
      <x:c r="E9" s="22" t="str">
        <x:v>Акты, расчёты, платежи и заявления</x:v>
      </x:c>
      <x:c r="F9" s="22" t="str">
        <x:v>По договору</x:v>
      </x:c>
      <x:c r="G9" s="50" t="str">
        <x:v>Без повторов и с учётом возвратов</x:v>
      </x:c>
    </x:row>
    <x:row r="10" ht="48" customHeight="1">
      <x:c r="A10" s="22" t="str">
        <x:v>Штрафы и иные списания</x:v>
      </x:c>
      <x:c r="B10" s="50"/>
      <x:c r="C10" s="22" t="str">
        <x:v>Фактически уменьшившие расчёты суммы</x:v>
      </x:c>
      <x:c r="D10" s="51" t="n">
        <x:v>0</x:v>
      </x:c>
      <x:c r="E10" s="22" t="str">
        <x:v>Основание, документ и позиция по спору</x:v>
      </x:c>
      <x:c r="F10" s="22" t="str">
        <x:v>—</x:v>
      </x:c>
      <x:c r="G10" s="50" t="str">
        <x:v>Не включать повторно суммы других строк</x:v>
      </x:c>
    </x:row>
    <x:row r="11" ht="48" customHeight="1">
      <x:c r="A11" s="22" t="str">
        <x:v>Выполнено, но не принято</x:v>
      </x:c>
      <x:c r="B11" s="50"/>
      <x:c r="C11" s="22" t="str">
        <x:v>Стоимость подтверждённых работ</x:v>
      </x:c>
      <x:c r="D11" s="51" t="n">
        <x:v>0</x:v>
      </x:c>
      <x:c r="E11" s="22" t="str">
        <x:v>Документы выполнения и сдачи, причины отказа</x:v>
      </x:c>
      <x:c r="F11" s="22" t="str">
        <x:v>—</x:v>
      </x:c>
      <x:c r="G11" s="50" t="str">
        <x:v>Может включать удержание; с ним не складывать</x:v>
      </x:c>
    </x:row>
    <x:row r="12" ht="45" customHeight="1">
      <x:c r="A12" s="42" t="str">
        <x:v>Удержано и заблокировано</x:v>
      </x:c>
      <x:c r="B12" s="42" t="inlineStr">
        <x:is>
          <x:t xml:space="preserve"/>
        </x:is>
      </x:c>
      <x:c r="C12" s="42" t="inlineStr">
        <x:is>
          <x:t xml:space="preserve"/>
        </x:is>
      </x:c>
      <x:c r="D12" s="43" t="n">
        <x:f>IF(OR(NOT(ISNUMBER($D$2)),$D$2&lt;1),"УКАЖИТЕ ДАТУ",IF(COUNT(D5,D7,D8)&lt;&gt;3,"НЕ ПРОВЕРЕНО",IF(MIN(D5,D7,D8)&lt;0,"ОШИБКА: сумма меньше нуля",ROUND(SUM(D5,D7,D8),2))))</x:f>
        <x:v>80001.05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45" customHeight="1">
      <x:c r="A13" s="44" t="str">
        <x:v>Фактические затраты</x:v>
      </x:c>
      <x:c r="B13" s="44"/>
      <x:c r="C13" s="44"/>
      <x:c r="D13" s="45" t="n">
        <x:f>IF(OR(NOT(ISNUMBER($D$2)),$D$2&lt;1),"УКАЖИТЕ ДАТУ",IF(COUNT(D6,D9)&lt;&gt;2,"НЕ ПРОВЕРЕНО",IF(MIN(D6,D9)&lt;0,"ОШИБКА: сумма меньше нуля",ROUND(SUM(D6,D9),2))))</x:f>
        <x:v>0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45" customHeight="1">
      <x:c r="A14" s="44" t="str">
        <x:v>Непогашенный аванс</x:v>
      </x:c>
      <x:c r="B14" s="44"/>
      <x:c r="C14" s="44"/>
      <x:c r="D14" s="45" t="n">
        <x:f>IF(OR(NOT(ISNUMBER($D$2)),$D$2&lt;1),"УКАЖИТЕ ДАТУ",IF(NOT(ISNUMBER(D4)),"НЕ ПРОВЕРЕНО",IF(D4&lt;0,"ОШИБКА: сумма меньше нуля",ROUND(D4,2))))</x:f>
        <x:v>0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45" customHeight="1">
      <x:c r="A15" s="44" t="str">
        <x:v>Выполнено, но не принято</x:v>
      </x:c>
      <x:c r="B15" s="44"/>
      <x:c r="C15" s="44"/>
      <x:c r="D15" s="45" t="n">
        <x:f>IF(OR(NOT(ISNUMBER($D$2)),$D$2&lt;1),"УКАЖИТЕ ДАТУ",IF(NOT(ISNUMBER(D11)),"НЕ ПРОВЕРЕНО",IF(D11&lt;0,"ОШИБКА: сумма меньше нуля",ROUND(D11,2))))</x:f>
        <x:v>0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45" customHeight="1">
      <x:c r="A16" s="44" t="str">
        <x:v>Штрафы и иные списания</x:v>
      </x:c>
      <x:c r="B16" s="44"/>
      <x:c r="C16" s="44"/>
      <x:c r="D16" s="45" t="n">
        <x:f>IF(OR(NOT(ISNUMBER($D$2)),$D$2&lt;1),"УКАЖИТЕ ДАТУ",IF(NOT(ISNUMBER(D10)),"НЕ ПРОВЕРЕНО",IF(D10&lt;0,"ОШИБКА: сумма меньше нуля",ROUND(D10,2))))</x:f>
        <x:v>0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7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7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dataValidations count="2">
    <x:dataValidation type="custom" errorStyle="stop" allowBlank="1" showErrorMessage="1" errorTitle="Проверьте значение" error="Введите число. Суммы не могут быть отрицательными." sqref="D2">
      <x:formula1>OR(ISBLANK(D2),AND(ISNUMBER(D2),D2&gt;=1))</x:formula1>
    </x:dataValidation>
    <x:dataValidation type="custom" errorStyle="stop" allowBlank="1" showErrorMessage="1" errorTitle="Проверьте значение" error="Введите число. Суммы не могут быть отрицательными." sqref="D4:D11">
      <x:formula1>OR(ISBLANK(D4),AND(ISNUMBER(D4),D4&gt;=0))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hidden="0" customWidth="1"/>
    <x:col min="2" max="2" width="42" hidden="0" customWidth="1"/>
    <x:col min="3" max="3" width="56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60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60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60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60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60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60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60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60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60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60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60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pageMargins left="0.7" right="0.7" top="0.75" bottom="0.75" header="0.3" footer="0.3"/>
</x:worksheet>
</file>