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728350b8614f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зъятия" sheetId="1" r:id="R7625100e87f94fda"/>
    <x:sheet xmlns:r="http://schemas.openxmlformats.org/officeDocument/2006/relationships" name="Как считать" sheetId="2" r:id="R3be95e71bd3d4c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dd.mm.yyyy"/>
  </x:numFmts>
  <x:fonts count="11">
    <x:font>
      <x:sz val="11"/>
      <x:color theme="1"/>
      <x:name val="Calibri"/>
      <x:family val="2"/>
      <x:scheme val="minor"/>
    </x:font>
    <x:font>
      <x:i/>
      <x:sz val="10"/>
    </x:font>
    <x:font>
      <x:b/>
      <x:sz val="11"/>
      <x:color rgb="FFFFFFFF"/>
    </x:font>
    <x:font>
      <x:b/>
    </x:font>
    <x:font>
      <x:sz val="11"/>
      <x:color rgb="FF222222"/>
      <x:name val="Arial"/>
    </x:font>
    <x:font>
      <x:sz val="11"/>
      <x:color rgb="FF222222"/>
      <x:name val="Arial"/>
      <x:family val="2"/>
      <x:scheme val="minor"/>
    </x:font>
    <x:font>
      <x:b/>
      <x:sz val="15"/>
      <x:color rgb="FF222222"/>
      <x:name val="Arial"/>
    </x:font>
    <x:font>
      <x:b/>
      <x:sz val="11"/>
      <x:color rgb="FFFFFFFF"/>
      <x:name val="Arial"/>
      <x:family val="2"/>
      <x:scheme val="minor"/>
    </x:font>
    <x:font>
      <x:b/>
      <x:sz val="11"/>
      <x:color rgb="FF222222"/>
      <x:name val="Arial"/>
    </x:font>
    <x:font>
      <x:b/>
      <x:sz val="11"/>
      <x:color rgb="FF222222"/>
      <x:name val="Arial"/>
      <x:family val="2"/>
      <x:scheme val="minor"/>
    </x:font>
    <x:font>
      <x:i/>
      <x:sz val="10"/>
      <x:color rgb="FF222222"/>
      <x:name val="Arial"/>
      <x:family val="2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rgb="FF366092"/>
      </x:patternFill>
    </x:fill>
    <x:fill>
      <x:patternFill patternType="solid">
        <x:fgColor rgb="FFFFFFFF"/>
      </x:patternFill>
    </x:fill>
    <x:fill>
      <x:patternFill patternType="solid">
        <x:fgColor rgb="FF343B40"/>
      </x:patternFill>
    </x:fill>
    <x:fill>
      <x:patternFill patternType="solid">
        <x:fgColor rgb="FFFFF2CC"/>
      </x:patternFill>
    </x:fill>
    <x:fill>
      <x:patternFill patternType="solid">
        <x:fgColor rgb="FFF3F0E8"/>
      </x:patternFill>
    </x:fill>
  </x:fills>
  <x:borders count="4">
    <x:border>
      <x:left/>
      <x:right/>
      <x:top/>
      <x:bottom/>
      <x:diagonal/>
    </x:border>
    <x:border>
      <x:left style="thin"/>
      <x:right style="thin"/>
      <x:top style="thin"/>
      <x:bottom style="thin"/>
    </x:border>
    <x:border diagonalUp="0" diagonalDown="0">
      <x:left style="none"/>
      <x:right style="none"/>
      <x:top style="none"/>
      <x:bottom style="none"/>
      <x:diagonal/>
    </x:border>
    <x:border diagonalUp="0" diagonalDown="0">
      <x:left style="none"/>
      <x:right style="none"/>
      <x:top style="none"/>
      <x:bottom style="none"/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Alignment="1">
      <x:alignment vertical="top" wrapText="1"/>
    </x:xf>
    <x:xf numFmtId="0" fontId="2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3" fillId="0" borderId="1" xfId="0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0"/>
    </x:xf>
    <x:xf numFmtId="0" fontId="5" fillId="4" borderId="2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200" fontId="5" fillId="5" borderId="3" xfId="0" applyNumberFormat="1" applyFont="1" applyFill="1" applyBorder="1" applyAlignment="1">
      <x:alignment vertical="center" wrapText="1"/>
    </x:xf>
    <x:xf numFmtId="200" fontId="4" fillId="3" borderId="3" xfId="0" applyNumberFormat="1" applyFont="1" applyFill="1" applyBorder="1" applyAlignment="1">
      <x:alignment vertical="center" wrapText="1"/>
    </x:xf>
    <x:xf numFmtId="200" fontId="5" fillId="3" borderId="2" xfId="0" applyNumberFormat="1" applyFont="1" applyFill="1" applyBorder="1" applyAlignment="1">
      <x:alignment vertical="center" wrapText="1"/>
    </x:xf>
    <x:xf numFmtId="201" fontId="4" fillId="5" borderId="3" xfId="0" applyNumberFormat="1" applyFont="1" applyFill="1" applyBorder="1" applyAlignment="1">
      <x:alignment horizontal="center" vertical="center" wrapText="1"/>
    </x:xf>
    <x:xf numFmtId="200" fontId="5" fillId="5" borderId="3" xfId="0" applyNumberFormat="1" applyFont="1" applyFill="1" applyBorder="1" applyAlignment="1">
      <x:alignment horizontal="right" vertical="center" wrapText="1"/>
    </x:xf>
    <x:xf numFmtId="200" fontId="4" fillId="3" borderId="3" xfId="0" applyNumberFormat="1" applyFont="1" applyFill="1" applyBorder="1" applyAlignment="1">
      <x:alignment horizontal="right" vertical="center" wrapText="1"/>
    </x:xf>
    <x:xf numFmtId="200" fontId="5" fillId="3" borderId="2" xfId="0" applyNumberFormat="1" applyFont="1" applyFill="1" applyBorder="1" applyAlignment="1">
      <x:alignment horizontal="right" vertical="center" wrapText="1"/>
    </x:xf>
    <x:xf numFmtId="0" fontId="8" fillId="3" borderId="3" xfId="0" applyNumberFormat="1" applyFont="1" applyFill="1" applyBorder="1" applyAlignment="1">
      <x:alignment vertical="center" wrapText="1"/>
    </x:xf>
    <x:xf numFmtId="200" fontId="8" fillId="3" borderId="3" xfId="0" applyNumberFormat="1" applyFont="1" applyFill="1" applyBorder="1" applyAlignment="1">
      <x:alignment horizontal="right" vertical="center" wrapText="1"/>
    </x:xf>
    <x:xf numFmtId="0" fontId="9" fillId="3" borderId="2" xfId="0" applyNumberFormat="1" applyFont="1" applyFill="1" applyBorder="1" applyAlignment="1">
      <x:alignment vertical="center" wrapText="1"/>
    </x:xf>
    <x:xf numFmtId="200" fontId="9" fillId="3" borderId="2" xfId="0" applyNumberFormat="1" applyFont="1" applyFill="1" applyBorder="1" applyAlignment="1">
      <x:alignment horizontal="right" vertical="center" wrapText="1"/>
    </x:xf>
    <x:xf numFmtId="0" fontId="8" fillId="6" borderId="3" xfId="0" applyNumberFormat="1" applyFont="1" applyFill="1" applyBorder="1" applyAlignment="1">
      <x:alignment vertical="center" wrapText="1"/>
    </x:xf>
    <x:xf numFmtId="200" fontId="8" fillId="6" borderId="3" xfId="0" applyNumberFormat="1" applyFont="1" applyFill="1" applyBorder="1" applyAlignment="1">
      <x:alignment horizontal="right" vertical="center" wrapText="1"/>
    </x:xf>
    <x:xf numFmtId="0" fontId="9" fillId="6" borderId="2" xfId="0" applyNumberFormat="1" applyFont="1" applyFill="1" applyBorder="1" applyAlignment="1">
      <x:alignment vertical="center" wrapText="1"/>
    </x:xf>
    <x:xf numFmtId="200" fontId="9" fillId="6" borderId="2" xfId="0" applyNumberFormat="1" applyFont="1" applyFill="1" applyBorder="1" applyAlignment="1">
      <x:alignment horizontal="right" vertical="center" wrapText="1"/>
    </x:xf>
    <x:xf numFmtId="0" fontId="5" fillId="3" borderId="2" xfId="0" applyNumberFormat="1" applyFont="1" applyFill="1" applyBorder="1" applyAlignment="1">
      <x:alignment vertical="center" wrapText="0"/>
    </x:xf>
    <x:xf numFmtId="0" fontId="10" fillId="3" borderId="2" xfId="0" applyNumberFormat="1" applyFont="1" applyFill="1" applyBorder="1" applyAlignment="1">
      <x:alignment vertical="center" wrapText="0"/>
    </x:xf>
    <x:xf numFmtId="200" fontId="5" fillId="5" borderId="3" xfId="0" applyNumberFormat="1" applyFont="1" applyFill="1" applyBorder="1" applyAlignment="1">
      <x:alignment horizontal="righ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5" borderId="3" xfId="0" applyNumberFormat="1" applyFont="1" applyFill="1" applyBorder="1" applyAlignment="1" applyProtection="1">
      <x:alignment horizontal="center" vertical="center" wrapText="1"/>
      <x:protection locked="0"/>
    </x:xf>
    <x:xf numFmtId="0" fontId="5" fillId="3" borderId="3" xfId="0" applyNumberFormat="1" applyFont="1" applyFill="1" applyBorder="1" applyAlignment="1" applyProtection="1">
      <x:alignment vertical="center" wrapText="1"/>
      <x:protection locked="0"/>
    </x:xf>
    <x:xf numFmtId="200" fontId="5" fillId="5" borderId="3" xfId="0" applyNumberFormat="1" applyFont="1" applyFill="1" applyBorder="1" applyAlignment="1" applyProtection="1">
      <x:alignment horizontal="right" vertical="center" wrapText="1"/>
      <x:protection locked="0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5278338ea044ec" /><Relationship Type="http://schemas.openxmlformats.org/officeDocument/2006/relationships/theme" Target="/xl/theme/theme1.xml" Id="Rf24032a04a8f4f50" /><Relationship Type="http://schemas.microsoft.com/office/2022/11/relationships/FeaturePropertyBag" Target="/xl/featurePropertyBag/featurePropertyBag.xml" Id="Rf185d263bd96471d" /><Relationship Type="http://schemas.openxmlformats.org/officeDocument/2006/relationships/sharedStrings" Target="/xl/sharedStrings.xml" Id="R5821d99aea1d4c84" /><Relationship Type="http://schemas.openxmlformats.org/officeDocument/2006/relationships/worksheet" Target="/xl/worksheets/sheet1.xml" Id="R7625100e87f94fda" /><Relationship Type="http://schemas.openxmlformats.org/officeDocument/2006/relationships/worksheet" Target="/xl/worksheets/sheet2.xml" Id="R3be95e71bd3d4cb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hidden="0" customWidth="1"/>
    <x:col min="2" max="2" width="13" hidden="0" customWidth="1"/>
    <x:col min="3" max="3" width="34" hidden="0" customWidth="1"/>
    <x:col min="4" max="4" width="24" hidden="0" customWidth="1"/>
    <x:col min="5" max="5" width="39" hidden="0" customWidth="1"/>
    <x:col min="6" max="6" width="17" hidden="0" customWidth="1"/>
    <x:col min="7" max="7" width="34" hidden="0" customWidth="1"/>
  </x:cols>
  <x:sheetData>
    <x:row r="1" ht="28" customHeight="1">
      <x:c r="A1" s="26" t="str">
        <x:v>Деньги и обязательства по объекту</x:v>
      </x:c>
      <x:c r="B1" s="24"/>
      <x:c r="C1" s="24"/>
      <x:c r="D1" s="24"/>
      <x:c r="E1" s="24"/>
      <x:c r="F1" s="24"/>
      <x:c r="G1" s="24"/>
    </x:row>
    <x:row r="2" ht="42" customHeight="1">
      <x:c r="A2" s="21" t="str">
        <x:v>Дата среза</x:v>
      </x:c>
      <x:c r="B2" s="21" t="n"/>
      <x:c r="C2" s="21" t="n"/>
      <x:c r="D2" s="49" t="n">
        <x:v>46318</x:v>
      </x:c>
      <x:c r="E2" s="21" t="str">
        <x:v>Пусто — не проверено. Ноль — проверено, отсутствует.</x:v>
      </x:c>
      <x:c r="F2" s="21" t="n"/>
      <x:c r="G2" s="21" t="n"/>
    </x:row>
    <x:row r="3" ht="35" customHeight="1">
      <x:c r="A3" s="28" t="str">
        <x:v>Показатель</x:v>
      </x:c>
      <x:c r="B3" s="28" t="str">
        <x:v>Основание</x:v>
      </x:c>
      <x:c r="C3" s="28" t="str">
        <x:v>Что проверить</x:v>
      </x:c>
      <x:c r="D3" s="28" t="str">
        <x:v>Сумма, ₽</x:v>
      </x:c>
      <x:c r="E3" s="28" t="str">
        <x:v>Условия и документы</x:v>
      </x:c>
      <x:c r="F3" s="28" t="str">
        <x:v>За чей счёт</x:v>
      </x:c>
      <x:c r="G3" s="28" t="str">
        <x:v>Сверка и исключение повторов</x:v>
      </x:c>
    </x:row>
    <x:row r="4" ht="48" customHeight="1">
      <x:c r="A4" s="22" t="str">
        <x:v>Аванс — непогашенный остаток</x:v>
      </x:c>
      <x:c r="B4" s="50"/>
      <x:c r="C4" s="22" t="str">
        <x:v>Выдано минус зачтено и возвращено</x:v>
      </x:c>
      <x:c r="D4" s="51" t="n">
        <x:v>0</x:v>
      </x:c>
      <x:c r="E4" s="22" t="str">
        <x:v>По расчётам и документам сторон</x:v>
      </x:c>
      <x:c r="F4" s="22" t="str">
        <x:v>—</x:v>
      </x:c>
      <x:c r="G4" s="50" t="str">
        <x:v>Отдельное обязательство; не сумма изъятых денег</x:v>
      </x:c>
    </x:row>
    <x:row r="5" ht="48" customHeight="1">
      <x:c r="A5" s="22" t="str">
        <x:v>Гарантийное удержание</x:v>
      </x:c>
      <x:c r="B5" s="50"/>
      <x:c r="C5" s="22" t="str">
        <x:v>Фактический остаток удержания на дату</x:v>
      </x:c>
      <x:c r="D5" s="51"/>
      <x:c r="E5" s="22" t="str">
        <x:v>База, процент, событие и срок возврата</x:v>
      </x:c>
      <x:c r="F5" s="22" t="str">
        <x:v>Подрядчик</x:v>
      </x:c>
      <x:c r="G5" s="50" t="str">
        <x:v>Не повторять в денежном обеспечении</x:v>
      </x:c>
    </x:row>
    <x:row r="6" ht="48" customHeight="1">
      <x:c r="A6" s="22" t="str">
        <x:v>Вознаграждение банка</x:v>
      </x:c>
      <x:c r="B6" s="50"/>
      <x:c r="C6" s="22" t="str">
        <x:v>Фактически уплаченные комиссии</x:v>
      </x:c>
      <x:c r="D6" s="51" t="n">
        <x:v>0</x:v>
      </x:c>
      <x:c r="E6" s="22" t="str">
        <x:v>С учётом подтверждённых возвратов</x:v>
      </x:c>
      <x:c r="F6" s="22" t="str">
        <x:v>По договору</x:v>
      </x:c>
      <x:c r="G6" s="50" t="str">
        <x:v>Номинал гарантии сюда не включать</x:v>
      </x:c>
    </x:row>
    <x:row r="7" ht="48" customHeight="1">
      <x:c r="A7" s="22" t="str">
        <x:v>Денежное покрытие в банке</x:v>
      </x:c>
      <x:c r="B7" s="50"/>
      <x:c r="C7" s="22" t="str">
        <x:v>Только фактически заблокированные деньги</x:v>
      </x:c>
      <x:c r="D7" s="51" t="n">
        <x:v>0</x:v>
      </x:c>
      <x:c r="E7" s="22" t="str">
        <x:v>Условия освобождения по соглашению с банком</x:v>
      </x:c>
      <x:c r="F7" s="22" t="str">
        <x:v>По соглашению</x:v>
      </x:c>
      <x:c r="G7" s="50" t="str">
        <x:v>Залог имущества и лимит гарантии не включать</x:v>
      </x:c>
    </x:row>
    <x:row r="8" ht="48" customHeight="1">
      <x:c r="A8" s="22" t="str">
        <x:v>Обеспечительный платёж</x:v>
      </x:c>
      <x:c r="B8" s="50"/>
      <x:c r="C8" s="22" t="str">
        <x:v>Переданные и не возвращённые деньги</x:v>
      </x:c>
      <x:c r="D8" s="51" t="n">
        <x:v>0</x:v>
      </x:c>
      <x:c r="E8" s="22" t="str">
        <x:v>Условия возврата по договору</x:v>
      </x:c>
      <x:c r="F8" s="22" t="str">
        <x:v>По договору</x:v>
      </x:c>
      <x:c r="G8" s="50" t="str">
        <x:v>Не повторять сумму удержания из строки 5</x:v>
      </x:c>
    </x:row>
    <x:row r="9" ht="48" customHeight="1">
      <x:c r="A9" s="22" t="str">
        <x:v>Генподрядные услуги</x:v>
      </x:c>
      <x:c r="B9" s="50"/>
      <x:c r="C9" s="22" t="str">
        <x:v>Оплачено или документально списано</x:v>
      </x:c>
      <x:c r="D9" s="51" t="n">
        <x:v>0</x:v>
      </x:c>
      <x:c r="E9" s="22" t="str">
        <x:v>Акты, расчёты, платежи и заявления</x:v>
      </x:c>
      <x:c r="F9" s="22" t="str">
        <x:v>По договору</x:v>
      </x:c>
      <x:c r="G9" s="50" t="str">
        <x:v>Без повторов и с учётом возвратов</x:v>
      </x:c>
    </x:row>
    <x:row r="10" ht="48" customHeight="1">
      <x:c r="A10" s="22" t="str">
        <x:v>Штрафы и иные списания</x:v>
      </x:c>
      <x:c r="B10" s="50"/>
      <x:c r="C10" s="22" t="str">
        <x:v>Фактически уменьшившие расчёты суммы</x:v>
      </x:c>
      <x:c r="D10" s="51" t="n">
        <x:v>0</x:v>
      </x:c>
      <x:c r="E10" s="22" t="str">
        <x:v>Основание, документ и позиция по спору</x:v>
      </x:c>
      <x:c r="F10" s="22" t="str">
        <x:v>—</x:v>
      </x:c>
      <x:c r="G10" s="50" t="str">
        <x:v>Не включать повторно суммы других строк</x:v>
      </x:c>
    </x:row>
    <x:row r="11" ht="48" customHeight="1">
      <x:c r="A11" s="22" t="str">
        <x:v>Выполнено, но не принято</x:v>
      </x:c>
      <x:c r="B11" s="50"/>
      <x:c r="C11" s="22" t="str">
        <x:v>Стоимость подтверждённых работ</x:v>
      </x:c>
      <x:c r="D11" s="51" t="n">
        <x:v>0</x:v>
      </x:c>
      <x:c r="E11" s="22" t="str">
        <x:v>Документы выполнения и сдачи, причины отказа</x:v>
      </x:c>
      <x:c r="F11" s="22" t="str">
        <x:v>—</x:v>
      </x:c>
      <x:c r="G11" s="50" t="str">
        <x:v>Может включать удержание; с ним не складывать</x:v>
      </x:c>
    </x:row>
    <x:row r="12" ht="45" customHeight="1">
      <x:c r="A12" s="42" t="str">
        <x:v>Удержано и заблокировано</x:v>
      </x:c>
      <x:c r="B12" s="42" t="inlineStr">
        <x:is>
          <x:t xml:space="preserve"/>
        </x:is>
      </x:c>
      <x:c r="C12" s="42" t="inlineStr">
        <x:is>
          <x:t xml:space="preserve"/>
        </x:is>
      </x:c>
      <x:c r="D12" s="43" t="str">
        <x:f>IF(OR(NOT(ISNUMBER($D$2)),$D$2&lt;1),"УКАЖИТЕ ДАТУ",IF(COUNT(D5,D7,D8)&lt;&gt;3,"НЕ ПРОВЕРЕНО",IF(MIN(D5,D7,D8)&lt;0,"ОШИБКА: сумма меньше нуля",ROUND(SUM(D5,D7,D8),2))))</x:f>
        <x:v>НЕ ПРОВЕРЕНО</x:v>
      </x:c>
      <x:c r="E12" s="23" t="str">
        <x:v>Сумма строк 5, 7 и 8. Только непересекающиеся денежные остатки.</x:v>
      </x:c>
      <x:c r="F12" s="23" t="inlineStr">
        <x:is>
          <x:t xml:space="preserve"/>
        </x:is>
      </x:c>
      <x:c r="G12" s="23" t="inlineStr">
        <x:is>
          <x:t xml:space="preserve"/>
        </x:is>
      </x:c>
    </x:row>
    <x:row r="13" ht="45" customHeight="1">
      <x:c r="A13" s="44" t="str">
        <x:v>Фактические затраты</x:v>
      </x:c>
      <x:c r="B13" s="44"/>
      <x:c r="C13" s="44"/>
      <x:c r="D13" s="45" t="n">
        <x:f>IF(OR(NOT(ISNUMBER($D$2)),$D$2&lt;1),"УКАЖИТЕ ДАТУ",IF(COUNT(D6,D9)&lt;&gt;2,"НЕ ПРОВЕРЕНО",IF(MIN(D6,D9)&lt;0,"ОШИБКА: сумма меньше нуля",ROUND(SUM(D6,D9),2))))</x:f>
        <x:v>0</x:v>
      </x:c>
      <x:c r="E13" s="24" t="str">
        <x:v>Сумма строк 6 и 9. Не прибавляется к остаткам для оценки кассы.</x:v>
      </x:c>
      <x:c r="F13" s="24"/>
      <x:c r="G13" s="24"/>
    </x:row>
    <x:row r="14" ht="45" customHeight="1">
      <x:c r="A14" s="44" t="str">
        <x:v>Непогашенный аванс</x:v>
      </x:c>
      <x:c r="B14" s="44"/>
      <x:c r="C14" s="44"/>
      <x:c r="D14" s="45" t="n">
        <x:f>IF(OR(NOT(ISNUMBER($D$2)),$D$2&lt;1),"УКАЖИТЕ ДАТУ",IF(NOT(ISNUMBER(D4)),"НЕ ПРОВЕРЕНО",IF(D4&lt;0,"ОШИБКА: сумма меньше нуля",ROUND(D4,2))))</x:f>
        <x:v>0</x:v>
      </x:c>
      <x:c r="E14" s="24" t="str">
        <x:v>Строка 4. Не показывает доступный остаток денег на счёте.</x:v>
      </x:c>
      <x:c r="F14" s="24"/>
      <x:c r="G14" s="24"/>
    </x:row>
    <x:row r="15" ht="45" customHeight="1">
      <x:c r="A15" s="44" t="str">
        <x:v>Выполнено, но не принято</x:v>
      </x:c>
      <x:c r="B15" s="44"/>
      <x:c r="C15" s="44"/>
      <x:c r="D15" s="45" t="n">
        <x:f>IF(OR(NOT(ISNUMBER($D$2)),$D$2&lt;1),"УКАЖИТЕ ДАТУ",IF(NOT(ISNUMBER(D11)),"НЕ ПРОВЕРЕНО",IF(D11&lt;0,"ОШИБКА: сумма меньше нуля",ROUND(D11,2))))</x:f>
        <x:v>0</x:v>
      </x:c>
      <x:c r="E15" s="24" t="str">
        <x:v>Строка 11. Срок оплаты и наличие долга проверяются отдельно.</x:v>
      </x:c>
      <x:c r="F15" s="24"/>
      <x:c r="G15" s="24"/>
    </x:row>
    <x:row r="16" ht="45" customHeight="1">
      <x:c r="A16" s="44" t="str">
        <x:v>Штрафы и иные списания</x:v>
      </x:c>
      <x:c r="B16" s="44"/>
      <x:c r="C16" s="44"/>
      <x:c r="D16" s="45" t="n">
        <x:f>IF(OR(NOT(ISNUMBER($D$2)),$D$2&lt;1),"УКАЖИТЕ ДАТУ",IF(NOT(ISNUMBER(D10)),"НЕ ПРОВЕРЕНО",IF(D10&lt;0,"ОШИБКА: сумма меньше нуля",ROUND(D10,2))))</x:f>
        <x:v>0</x:v>
      </x:c>
      <x:c r="E16" s="24" t="str">
        <x:v>Строка 10. Спорность и отсутствие повторов подтверждаются документами.</x:v>
      </x:c>
      <x:c r="F16" s="24"/>
      <x:c r="G16" s="24"/>
    </x:row>
    <x:row r="17">
      <x:c r="A17" s="24"/>
      <x:c r="B17" s="24"/>
      <x:c r="C17" s="24"/>
      <x:c r="D17" s="24"/>
      <x:c r="E17" s="24"/>
      <x:c r="F17" s="24"/>
      <x:c r="G17" s="24"/>
    </x:row>
    <x:row r="18" ht="23" customHeight="1">
      <x:c r="A18" s="47" t="str">
        <x:v>Общий кассовый разрыв здесь не рассчитывается. Для него нужны доступные деньги и календарь поступлений и выплат.</x:v>
      </x:c>
      <x:c r="B18" s="24"/>
      <x:c r="C18" s="24"/>
      <x:c r="D18" s="24"/>
      <x:c r="E18" s="24"/>
      <x:c r="F18" s="24"/>
      <x:c r="G18" s="24"/>
    </x:row>
    <x:row r="19" ht="23" customHeight="1">
      <x:c r="A19" s="47" t="str">
        <x:v>Суммы не складываются между показателями. Сверку оснований и исключение повторов фиксируйте в графе G.</x:v>
      </x:c>
      <x:c r="B19" s="24"/>
      <x:c r="C19" s="24"/>
      <x:c r="D19" s="24"/>
      <x:c r="E19" s="24"/>
      <x:c r="F19" s="24"/>
      <x:c r="G19" s="24"/>
    </x:row>
  </x:sheetData>
  <x:dataValidations count="2">
    <x:dataValidation type="custom" errorStyle="stop" allowBlank="1" showErrorMessage="1" errorTitle="Проверьте значение" error="Введите число. Суммы не могут быть отрицательными." sqref="D2">
      <x:formula1>OR(ISBLANK(D2),AND(ISNUMBER(D2),D2&gt;=1))</x:formula1>
    </x:dataValidation>
    <x:dataValidation type="custom" errorStyle="stop" allowBlank="1" showErrorMessage="1" errorTitle="Проверьте значение" error="Введите число. Суммы не могут быть отрицательными." sqref="D4:D11">
      <x:formula1>OR(ISBLANK(D4),AND(ISNUMBER(D4),D4&gt;=0))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7" hidden="0" customWidth="1"/>
    <x:col min="2" max="2" width="42" hidden="0" customWidth="1"/>
    <x:col min="3" max="3" width="56" hidden="0" customWidth="1"/>
  </x:cols>
  <x:sheetData>
    <x:row r="1" ht="28" customHeight="1">
      <x:c r="A1" s="26" t="str">
        <x:v>Как заполнить реестр</x:v>
      </x:c>
      <x:c r="B1" s="24"/>
      <x:c r="C1" s="24"/>
    </x:row>
    <x:row r="2">
      <x:c r="A2" s="24"/>
      <x:c r="B2" s="24"/>
      <x:c r="C2" s="24"/>
    </x:row>
    <x:row r="3" ht="28" customHeight="1">
      <x:c r="A3" s="28" t="str">
        <x:v>Шаг</x:v>
      </x:c>
      <x:c r="B3" s="28" t="str">
        <x:v>Действие</x:v>
      </x:c>
      <x:c r="C3" s="28" t="str">
        <x:v>Правило</x:v>
      </x:c>
    </x:row>
    <x:row r="4" ht="60" customHeight="1">
      <x:c r="A4" s="22" t="n">
        <x:v>1</x:v>
      </x:c>
      <x:c r="B4" s="22" t="str">
        <x:v>Укажите дату среза в ячейке D2 первого листа.</x:v>
      </x:c>
      <x:c r="C4" s="22" t="str">
        <x:v>Все остатки и накопленные затраты относятся к одной дате.</x:v>
      </x:c>
    </x:row>
    <x:row r="5" ht="60" customHeight="1">
      <x:c r="A5" s="22" t="n">
        <x:v>2</x:v>
      </x:c>
      <x:c r="B5" s="22" t="str">
        <x:v>Заполните сумму каждой строки.</x:v>
      </x:c>
      <x:c r="C5" s="22" t="str">
        <x:v>Пусто означает «не проверено». После проверки введите число, в том числе 0 при отсутствии суммы. Отрицательные и нечисловые значения не дают корректного итога.</x:v>
      </x:c>
    </x:row>
    <x:row r="6" ht="60" customHeight="1">
      <x:c r="A6" s="22" t="n">
        <x:v>3</x:v>
      </x:c>
      <x:c r="B6" s="22" t="str">
        <x:v>Аванс укажите отдельным остатком.</x:v>
      </x:c>
      <x:c r="C6" s="22" t="str">
        <x:v>Выданный аванс минус зачтённые и возвращённые суммы. Наличие обязательства не означает, что эти деньги недоступны на счёте.</x:v>
      </x:c>
    </x:row>
    <x:row r="7" ht="60" customHeight="1">
      <x:c r="A7" s="22" t="n">
        <x:v>4</x:v>
      </x:c>
      <x:c r="B7" s="22" t="str">
        <x:v>Удержание берите из сверенных расчётов.</x:v>
      </x:c>
      <x:c r="C7" s="22" t="str">
        <x:v>База и процент определяются договором. Не умножайте процент автоматически на сумму чистого платежа. Учитывайте возвраты.</x:v>
      </x:c>
    </x:row>
    <x:row r="8" ht="60" customHeight="1">
      <x:c r="A8" s="22" t="n">
        <x:v>5</x:v>
      </x:c>
      <x:c r="B8" s="22" t="str">
        <x:v>В покрытие банка включайте только деньги.</x:v>
      </x:c>
      <x:c r="C8" s="22" t="str">
        <x:v>Имущественный залог и номинал гарантии не являются заблокированными денежными средствами. Условия освобождения проверьте в банковском соглашении.</x:v>
      </x:c>
    </x:row>
    <x:row r="9" ht="60" customHeight="1">
      <x:c r="A9" s="22" t="n">
        <x:v>6</x:v>
      </x:c>
      <x:c r="B9" s="22" t="str">
        <x:v>Разделите расходы и возвратные остатки.</x:v>
      </x:c>
      <x:c r="C9" s="22" t="str">
        <x:v>Комиссии банка и оплаченные либо списанные услуги — затраты. Удержание, денежное покрытие и обеспечительный платёж — отдельные остатки.</x:v>
      </x:c>
    </x:row>
    <x:row r="10" ht="60" customHeight="1">
      <x:c r="A10" s="22" t="n">
        <x:v>7</x:v>
      </x:c>
      <x:c r="B10" s="22" t="str">
        <x:v>Исключите повторение одной суммы.</x:v>
      </x:c>
      <x:c r="C10" s="22" t="str">
        <x:v>Одно удержание нельзя одновременно внести как обеспечительный платёж. Укажите основания и сверку в графе G; автоматически выявить такие повторы по суммам невозможно.</x:v>
      </x:c>
    </x:row>
    <x:row r="11" ht="60" customHeight="1">
      <x:c r="A11" s="24" t="n">
        <x:v>8</x:v>
      </x:c>
      <x:c r="B11" s="24" t="str">
        <x:v>Непринятые работы и списания проверяйте отдельно.</x:v>
      </x:c>
      <x:c r="C11" s="24" t="str">
        <x:v>Стоимость работ может уже включать удержание. Не прибавляйте её к сумме удержания. Не учитывайте один платёж повторно в строках расходов и списаний.</x:v>
      </x:c>
    </x:row>
    <x:row r="12" ht="60" customHeight="1">
      <x:c r="A12" s="24" t="n">
        <x:v>9</x:v>
      </x:c>
      <x:c r="B12" s="24" t="str">
        <x:v>Читайте каждый итог отдельно.</x:v>
      </x:c>
      <x:c r="C12" s="24" t="str">
        <x:v>Здесь нет общего итога «денег не у вас», чистого долга или расчёта запаса ликвидности. Достоверность оснований подтверждается документами.</x:v>
      </x:c>
    </x:row>
    <x:row r="13" ht="60" customHeight="1">
      <x:c r="A13" s="24" t="n">
        <x:v>10</x:v>
      </x:c>
      <x:c r="B13" s="24" t="str">
        <x:v>Для финансирования составьте календарь.</x:v>
      </x:c>
      <x:c r="C13" s="24" t="str">
        <x:v>Сопоставьте доступный остаток денег, ожидаемые поступления, сроки зачёта аванса и обязательные выплаты по датам.</x:v>
      </x:c>
    </x:row>
    <x:row r="14" ht="60" customHeight="1">
      <x:c r="A14" s="24" t="n">
        <x:v>11</x:v>
      </x:c>
      <x:c r="B14" s="24" t="str">
        <x:v>Пересчитывайте после новых событий.</x:v>
      </x:c>
      <x:c r="C14" s="24" t="str">
        <x:v>Платёж, зачёт аванса, возврат покрытия и акт меняют разные показатели. Сохраните датированную копию и документы сверки.</x:v>
      </x:c>
    </x:row>
  </x:sheetData>
  <x:pageMargins left="0.7" right="0.7" top="0.75" bottom="0.75" header="0.3" footer="0.3"/>
</x:worksheet>
</file>