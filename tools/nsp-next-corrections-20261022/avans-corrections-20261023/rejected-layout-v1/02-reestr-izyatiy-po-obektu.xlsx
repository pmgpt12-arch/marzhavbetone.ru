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629619743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0b12b9e568c34457"/>
    <x:sheet xmlns:r="http://schemas.openxmlformats.org/officeDocument/2006/relationships" name="Как считать" sheetId="2" r:id="R8632d0dc7a5a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i/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1"/>
      <x:color rgb="FF222222"/>
      <x:name val="Arial"/>
    </x:font>
    <x:font>
      <x:b/>
      <x:i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6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6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6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027190b514bc6" /><Relationship Type="http://schemas.openxmlformats.org/officeDocument/2006/relationships/theme" Target="/xl/theme/theme1.xml" Id="Rdd74eac1bdcf4dd0" /><Relationship Type="http://schemas.microsoft.com/office/2022/11/relationships/FeaturePropertyBag" Target="/xl/featurePropertyBag/featurePropertyBag.xml" Id="R5e8e846d8a154225" /><Relationship Type="http://schemas.openxmlformats.org/officeDocument/2006/relationships/sharedStrings" Target="/xl/sharedStrings.xml" Id="R24f5ec0b1abe4f7e" /><Relationship Type="http://schemas.openxmlformats.org/officeDocument/2006/relationships/worksheet" Target="/xl/worksheets/sheet1.xml" Id="R0b12b9e568c34457" /><Relationship Type="http://schemas.openxmlformats.org/officeDocument/2006/relationships/worksheet" Target="/xl/worksheets/sheet2.xml" Id="R8632d0dc7a5a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34"/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69" customHeight="1">
      <x:c r="A4" s="22" t="str">
        <x:v>Аванс — непогашенный остаток</x:v>
      </x:c>
      <x:c r="B4" s="22"/>
      <x:c r="C4" s="22" t="str">
        <x:v>Выдано минус зачтено и возвращено</x:v>
      </x:c>
      <x:c r="D4" s="35"/>
      <x:c r="E4" s="22" t="str">
        <x:v>По расчётам и документам сторон</x:v>
      </x:c>
      <x:c r="F4" s="22" t="str">
        <x:v>—</x:v>
      </x:c>
      <x:c r="G4" s="22" t="str">
        <x:v>Отдельное обязательство; не сумма изъятых денег</x:v>
      </x:c>
    </x:row>
    <x:row r="5" ht="69" customHeight="1">
      <x:c r="A5" s="22" t="str">
        <x:v>Гарантийное удержание</x:v>
      </x:c>
      <x:c r="B5" s="22"/>
      <x:c r="C5" s="22" t="str">
        <x:v>Фактический остаток удержания на дату</x:v>
      </x:c>
      <x:c r="D5" s="35"/>
      <x:c r="E5" s="22" t="str">
        <x:v>База, процент, событие и срок возврата</x:v>
      </x:c>
      <x:c r="F5" s="22" t="str">
        <x:v>Подрядчик</x:v>
      </x:c>
      <x:c r="G5" s="22" t="str">
        <x:v>Не повторять в денежном обеспечении</x:v>
      </x:c>
    </x:row>
    <x:row r="6" ht="69" customHeight="1">
      <x:c r="A6" s="22" t="str">
        <x:v>Вознаграждение банка</x:v>
      </x:c>
      <x:c r="B6" s="22"/>
      <x:c r="C6" s="22" t="str">
        <x:v>Фактически уплаченные комиссии</x:v>
      </x:c>
      <x:c r="D6" s="35"/>
      <x:c r="E6" s="22" t="str">
        <x:v>С учётом подтверждённых возвратов</x:v>
      </x:c>
      <x:c r="F6" s="22" t="str">
        <x:v>По договору</x:v>
      </x:c>
      <x:c r="G6" s="22" t="str">
        <x:v>Номинал гарантии сюда не включать</x:v>
      </x:c>
    </x:row>
    <x:row r="7" ht="69" customHeight="1">
      <x:c r="A7" s="22" t="str">
        <x:v>Денежное покрытие в банке</x:v>
      </x:c>
      <x:c r="B7" s="22"/>
      <x:c r="C7" s="22" t="str">
        <x:v>Только фактически заблокированные деньги</x:v>
      </x:c>
      <x:c r="D7" s="35"/>
      <x:c r="E7" s="22" t="str">
        <x:v>Условия освобождения по соглашению с банком</x:v>
      </x:c>
      <x:c r="F7" s="22" t="str">
        <x:v>По соглашению</x:v>
      </x:c>
      <x:c r="G7" s="22" t="str">
        <x:v>Залог имущества и лимит гарантии не включать</x:v>
      </x:c>
    </x:row>
    <x:row r="8" ht="69" customHeight="1">
      <x:c r="A8" s="22" t="str">
        <x:v>Обеспечительный платёж</x:v>
      </x:c>
      <x:c r="B8" s="22"/>
      <x:c r="C8" s="22" t="str">
        <x:v>Переданные и не возвращённые деньги</x:v>
      </x:c>
      <x:c r="D8" s="35"/>
      <x:c r="E8" s="22" t="str">
        <x:v>Условия возврата по договору</x:v>
      </x:c>
      <x:c r="F8" s="22" t="str">
        <x:v>По договору</x:v>
      </x:c>
      <x:c r="G8" s="22" t="str">
        <x:v>Не повторять сумму удержания из строки 5</x:v>
      </x:c>
    </x:row>
    <x:row r="9" ht="69" customHeight="1">
      <x:c r="A9" s="22" t="str">
        <x:v>Генподрядные услуги</x:v>
      </x:c>
      <x:c r="B9" s="22"/>
      <x:c r="C9" s="22" t="str">
        <x:v>Оплачено или документально списано</x:v>
      </x:c>
      <x:c r="D9" s="35"/>
      <x:c r="E9" s="22" t="str">
        <x:v>Акты, расчёты, платежи и заявления</x:v>
      </x:c>
      <x:c r="F9" s="22" t="str">
        <x:v>По договору</x:v>
      </x:c>
      <x:c r="G9" s="22" t="str">
        <x:v>Без повторов и с учётом возвратов</x:v>
      </x:c>
    </x:row>
    <x:row r="10" ht="69" customHeight="1">
      <x:c r="A10" s="22" t="str">
        <x:v>Штрафы и иные списания</x:v>
      </x:c>
      <x:c r="B10" s="22"/>
      <x:c r="C10" s="22" t="str">
        <x:v>Фактически уменьшившие расчёты суммы</x:v>
      </x:c>
      <x:c r="D10" s="35"/>
      <x:c r="E10" s="22" t="str">
        <x:v>Основание, документ и позиция по спору</x:v>
      </x:c>
      <x:c r="F10" s="22" t="str">
        <x:v>—</x:v>
      </x:c>
      <x:c r="G10" s="22" t="str">
        <x:v>Не включать повторно суммы других строк</x:v>
      </x:c>
    </x:row>
    <x:row r="11" ht="69" customHeight="1">
      <x:c r="A11" s="22" t="str">
        <x:v>Выполнено, но не принято</x:v>
      </x:c>
      <x:c r="B11" s="22"/>
      <x:c r="C11" s="22" t="str">
        <x:v>Стоимость подтверждённых работ</x:v>
      </x:c>
      <x:c r="D11" s="35"/>
      <x:c r="E11" s="22" t="str">
        <x:v>Документы выполнения и сдачи, причины отказа</x:v>
      </x:c>
      <x:c r="F11" s="22" t="str">
        <x:v>—</x:v>
      </x:c>
      <x:c r="G11" s="22" t="str">
        <x:v>Может включать удержание; с ним не складывать</x:v>
      </x:c>
    </x:row>
    <x:row r="12" ht="57" customHeight="1">
      <x:c r="A12" s="40" t="str">
        <x:v>Удержано и заблокировано</x:v>
      </x:c>
      <x:c r="B12" s="40" t="inlineStr">
        <x:is>
          <x:t xml:space="preserve"/>
        </x:is>
      </x:c>
      <x:c r="C12" s="40" t="inlineStr">
        <x:is>
          <x:t xml:space="preserve"/>
        </x:is>
      </x:c>
      <x:c r="D12" s="41" t="str">
        <x:f>IF(OR(NOT(ISNUMBER($D$2)),$D$2&lt;1),"УКАЖИТЕ ДАТУ",IF(COUNT(D5,D7,D8)&lt;&gt;3,"НЕ ПРОВЕРЕНО",IF(MIN(D5,D7,D8)&lt;0,"ОШИБКА: сумма меньше нуля",ROUND(SUM(D5,D7,D8),2))))</x:f>
        <x:v>УКАЖИТЕ ДАТУ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57" customHeight="1">
      <x:c r="A13" s="42" t="str">
        <x:v>Фактические затраты</x:v>
      </x:c>
      <x:c r="B13" s="42"/>
      <x:c r="C13" s="42"/>
      <x:c r="D13" s="43" t="str">
        <x:f>IF(OR(NOT(ISNUMBER($D$2)),$D$2&lt;1),"УКАЖИТЕ ДАТУ",IF(COUNT(D6,D9)&lt;&gt;2,"НЕ ПРОВЕРЕНО",IF(MIN(D6,D9)&lt;0,"ОШИБКА: сумма меньше нуля",ROUND(SUM(D6,D9),2))))</x:f>
        <x:v>УКАЖИТЕ ДАТУ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57" customHeight="1">
      <x:c r="A14" s="42" t="str">
        <x:v>Непогашенный аванс</x:v>
      </x:c>
      <x:c r="B14" s="42"/>
      <x:c r="C14" s="42"/>
      <x:c r="D14" s="43" t="str">
        <x:f>IF(OR(NOT(ISNUMBER($D$2)),$D$2&lt;1),"УКАЖИТЕ ДАТУ",IF(NOT(ISNUMBER(D4)),"НЕ ПРОВЕРЕНО",IF(D4&lt;0,"ОШИБКА: сумма меньше нуля",ROUND(D4,2))))</x:f>
        <x:v>УКАЖИТЕ ДАТУ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57" customHeight="1">
      <x:c r="A15" s="42" t="str">
        <x:v>Выполнено, но не принято</x:v>
      </x:c>
      <x:c r="B15" s="42"/>
      <x:c r="C15" s="42"/>
      <x:c r="D15" s="43" t="str">
        <x:f>IF(OR(NOT(ISNUMBER($D$2)),$D$2&lt;1),"УКАЖИТЕ ДАТУ",IF(NOT(ISNUMBER(D11)),"НЕ ПРОВЕРЕНО",IF(D11&lt;0,"ОШИБКА: сумма меньше нуля",ROUND(D11,2))))</x:f>
        <x:v>УКАЖИТЕ ДАТУ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57" customHeight="1">
      <x:c r="A16" s="42" t="str">
        <x:v>Штрафы и иные списания</x:v>
      </x:c>
      <x:c r="B16" s="42"/>
      <x:c r="C16" s="42"/>
      <x:c r="D16" s="43" t="str">
        <x:f>IF(OR(NOT(ISNUMBER($D$2)),$D$2&lt;1),"УКАЖИТЕ ДАТУ",IF(NOT(ISNUMBER(D10)),"НЕ ПРОВЕРЕНО",IF(D10&lt;0,"ОШИБКА: сумма меньше нуля",ROUND(D10,2))))</x:f>
        <x:v>УКАЖИТЕ ДАТУ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5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5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" hidden="0" customWidth="1"/>
    <x:col min="2" max="2" width="50" hidden="0" customWidth="1"/>
    <x:col min="3" max="3" width="75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71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71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71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71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71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71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71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71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71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71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71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