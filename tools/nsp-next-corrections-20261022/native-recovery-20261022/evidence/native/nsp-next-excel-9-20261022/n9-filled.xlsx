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next-excel-9-20261022\"/>
    </mc:Choice>
  </mc:AlternateContent>
  <bookViews>
    <workbookView xWindow="0" yWindow="0" windowWidth="19710" windowHeight="6810"/>
  </bookViews>
  <sheets>
    <sheet name="Реестр затрат" sheetId="1" r:id="rId1"/>
    <sheet name="Как заполнять" sheetId="2" r:id="rId2"/>
  </sheets>
  <definedNames>
    <definedName name="Print_Area" localSheetId="1">'Как заполнять'!$A$1:$B$9</definedName>
    <definedName name="Print_Area" localSheetId="0">'Реестр затрат'!$A$1:$J$56</definedName>
    <definedName name="Print_Titles" localSheetId="1">'Как заполнять'!$1:$1</definedName>
    <definedName name="Print_Titles" localSheetId="0">'Реестр затрат'!$1:$1</definedName>
  </definedNames>
  <calcPr calcId="162913" forceFullCalc="1"/>
</workbook>
</file>

<file path=xl/calcChain.xml><?xml version="1.0" encoding="utf-8"?>
<calcChain xmlns="http://schemas.openxmlformats.org/spreadsheetml/2006/main">
  <c r="H56" i="1" l="1"/>
  <c r="H54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C53" i="1" l="1"/>
</calcChain>
</file>

<file path=xl/sharedStrings.xml><?xml version="1.0" encoding="utf-8"?>
<sst xmlns="http://schemas.openxmlformats.org/spreadsheetml/2006/main" count="142" uniqueCount="95">
  <si>
    <t>№</t>
  </si>
  <si>
    <t>Раздел</t>
  </si>
  <si>
    <t>Затрата</t>
  </si>
  <si>
    <t>Учтено в смете</t>
  </si>
  <si>
    <t>Позиция сметы №</t>
  </si>
  <si>
    <t>Ответственная сторона</t>
  </si>
  <si>
    <t>Чем подтверждено</t>
  </si>
  <si>
    <t>Не покрыто, ₽</t>
  </si>
  <si>
    <t>Статус</t>
  </si>
  <si>
    <t>Комментарий</t>
  </si>
  <si>
    <t>Проверка покрытия</t>
  </si>
  <si>
    <t>1. Площадка и временное</t>
  </si>
  <si>
    <t>Бытовка, раздевалка, помещение для приёма пищи</t>
  </si>
  <si>
    <t>Склад и место хранения материалов</t>
  </si>
  <si>
    <t>Ограждение зоны работ, знаки, ограничение доступа</t>
  </si>
  <si>
    <t>Освещение рабочих мест и подходов</t>
  </si>
  <si>
    <t>Электроэнергия, вода, тепло на период работ</t>
  </si>
  <si>
    <t>Охрана, пропускной режим, оформление пропусков</t>
  </si>
  <si>
    <t>Демонтаж и вывоз временного после работ</t>
  </si>
  <si>
    <t>2. Материалы и логистика</t>
  </si>
  <si>
    <t>Доставка материалов до объекта</t>
  </si>
  <si>
    <t>Разгрузка на объекте</t>
  </si>
  <si>
    <t>Перемещение по объекту и подъём на отметку</t>
  </si>
  <si>
    <t>Хранение на объекте</t>
  </si>
  <si>
    <t>Бой, порча, естественная убыль</t>
  </si>
  <si>
    <t>Тара и упаковка, её возврат или утилизация</t>
  </si>
  <si>
    <t>Входной контроль и приёмка материалов</t>
  </si>
  <si>
    <t>3. Персонал</t>
  </si>
  <si>
    <t>Доставка работников к объекту</t>
  </si>
  <si>
    <t>Проживание и питание персонала</t>
  </si>
  <si>
    <t>Инструктажи и обучение по требованиям площадки</t>
  </si>
  <si>
    <t>Аттестации, допуски, удостоверения</t>
  </si>
  <si>
    <t>Медицинские осмотры</t>
  </si>
  <si>
    <t>Средства индивидуальной защиты и спецодежда</t>
  </si>
  <si>
    <t>Простой по причинам, не зависящим от подрядчика</t>
  </si>
  <si>
    <t>4. Подготовительные работы и смежные участки</t>
  </si>
  <si>
    <t>Подготовительные и вспомогательные операции</t>
  </si>
  <si>
    <t>Леса и средства подмащивания</t>
  </si>
  <si>
    <t>Работа в стеснённых условиях и на высоте</t>
  </si>
  <si>
    <t>Примыкания и стыки со смежниками</t>
  </si>
  <si>
    <t>Восстановление повреждённого смежниками</t>
  </si>
  <si>
    <t>Защита выполненного до сдачи</t>
  </si>
  <si>
    <t>5. Сезон и режим</t>
  </si>
  <si>
    <t>Работы в зимний период</t>
  </si>
  <si>
    <t>Обогрев, тепляки, прогрев материалов</t>
  </si>
  <si>
    <t>Снегоочистка зоны работ и подходов</t>
  </si>
  <si>
    <t>Ночные смены, выходные и праздники</t>
  </si>
  <si>
    <t>Ускорение работ по требованию второй стороны</t>
  </si>
  <si>
    <t>6. Отходы и уборка</t>
  </si>
  <si>
    <t>Сбор мусора в зоне работ</t>
  </si>
  <si>
    <t>Вынос мусора до места накопления</t>
  </si>
  <si>
    <t>Контейнер и вывоз</t>
  </si>
  <si>
    <t>Размещение отходов и подтверждающие документы</t>
  </si>
  <si>
    <t>Ежедневная и финальная уборка</t>
  </si>
  <si>
    <t>7. Документы и приёмка</t>
  </si>
  <si>
    <t>Ведение исполнительной документации</t>
  </si>
  <si>
    <t>Геодезические работы</t>
  </si>
  <si>
    <t>Лабораторные испытания и заключения</t>
  </si>
  <si>
    <t>Освидетельствование скрытых работ, повторные вызовы</t>
  </si>
  <si>
    <t>Копирование, печать, передача комплектов</t>
  </si>
  <si>
    <t>Участие в комиссиях и приёмке</t>
  </si>
  <si>
    <t>8. Финансирование и обеспечение</t>
  </si>
  <si>
    <t>Услуги генподряда</t>
  </si>
  <si>
    <t>Гарантийное удержание</t>
  </si>
  <si>
    <t>Обеспечение исполнения договора</t>
  </si>
  <si>
    <t>Стоимость банковской гарантии</t>
  </si>
  <si>
    <t>Страхование</t>
  </si>
  <si>
    <t>Отсрочка платежа: стоимость финансирования</t>
  </si>
  <si>
    <t>9. Непредвиденные работы и затраты</t>
  </si>
  <si>
    <t>Резерв на непредвиденные работы</t>
  </si>
  <si>
    <t>Работы, выявленные в ходе исполнения</t>
  </si>
  <si>
    <t>Предварительно не покрыто ценой:</t>
  </si>
  <si>
    <t>Плановая прибыль по объекту:</t>
  </si>
  <si>
    <t>Непокрытая сумма / плановая прибыль:</t>
  </si>
  <si>
    <t>Графа</t>
  </si>
  <si>
    <t>Порядок заполнения</t>
  </si>
  <si>
    <t>Статусы реестра</t>
  </si>
  <si>
    <t>Укажите «да», «частично», «нет», «уточнить» или «не применяется». Проверяйте покрытие расценкой, ресурсом и начислениями. Все 51 строки требуют отметки.</t>
  </si>
  <si>
    <t>проверить</t>
  </si>
  <si>
    <t>Номер позиции или раздела расчёта, которым расход покрыт полностью либо частично. При отсутствии покрытия оставьте пустым.</t>
  </si>
  <si>
    <t>в запросе</t>
  </si>
  <si>
    <t>Укажите подрядчика, генподрядчика, заказчика либо «не распределено»; сошлитесь на договор, проект или письменное решение.</t>
  </si>
  <si>
    <t>в протоколе разногласий</t>
  </si>
  <si>
    <t>Реквизиты документа и пункта о распределении расхода или его покрытии. Для «покрыто, проверено» и «принято» документ обязателен.</t>
  </si>
  <si>
    <t>покрыто, проверено</t>
  </si>
  <si>
    <t>Непокрытая часть, ₽</t>
  </si>
  <si>
    <t>Введите только оценку непокрытой части расхода на весь объём работ. Ноль означает проверенное отсутствие остатка. Пустая клетка — оценка отсутствует.</t>
  </si>
  <si>
    <t>принято</t>
  </si>
  <si>
    <t>«Покрыто, проверено» допустимо только при полном покрытии «да», позиции сметы, документе и нулевом остатке. Непокрытый остаток учитывается даже при ошибочно закрытом статусе. «Принято» означает отдельное документированное решение о распределении расхода.</t>
  </si>
  <si>
    <t>не применяется</t>
  </si>
  <si>
    <t>ИТОГО и доля прибыли</t>
  </si>
  <si>
    <t>H54 суммирует непокрытую часть с учётом статуса. H55 — плановая прибыль компании по объекту до этих расходов. H56 показывает долю прибыли при положительном H55. Проверяйте сообщение над итогом и незаполненные оценки.</t>
  </si>
  <si>
    <t>риск принят</t>
  </si>
  <si>
    <t>Порядок работы</t>
  </si>
  <si>
    <t>Для новой затраты используйте подходящую строку с расшифровкой в комментарии и без повторного счёта. Формулы охватывают строки 2–52. Строки ниже итогов в расчёт не входят. До подписания подтвердите полноту проверки и согласуйте остаток риска.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</si>
</sst>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27333D"/>
      <name val="Calibri"/>
    </font>
    <font>
      <b/>
      <sz val="11"/>
      <color rgb="FF27333D"/>
      <name val="Calibri"/>
    </font>
    <font>
      <sz val="11"/>
      <color rgb="FF27333D"/>
      <name val="Calibri"/>
      <family val="2"/>
      <scheme val="minor"/>
    </font>
    <font>
      <sz val="10"/>
      <color rgb="FF6877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7333D"/>
      </patternFill>
    </fill>
    <fill>
      <patternFill patternType="solid">
        <fgColor rgb="FFFFFFFF"/>
      </patternFill>
    </fill>
    <fill>
      <patternFill patternType="solid">
        <fgColor rgb="FFFBF7EB"/>
      </patternFill>
    </fill>
    <fill>
      <patternFill patternType="solid">
        <fgColor rgb="FFF2F5F6"/>
      </patternFill>
    </fill>
    <fill>
      <patternFill patternType="solid">
        <fgColor rgb="FFF6F7F7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hair">
        <color rgb="FFDEE4E7"/>
      </left>
      <right style="hair">
        <color rgb="FFDEE4E7"/>
      </right>
      <top style="thin">
        <color rgb="FF999999"/>
      </top>
      <bottom style="hair">
        <color rgb="FFDEE4E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9" fontId="2" fillId="5" borderId="2" xfId="0" applyNumberFormat="1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26" customWidth="1"/>
    <col min="3" max="3" width="46" customWidth="1"/>
    <col min="4" max="4" width="16" customWidth="1"/>
    <col min="5" max="5" width="15" customWidth="1"/>
    <col min="6" max="6" width="18" customWidth="1"/>
    <col min="7" max="7" width="30" customWidth="1"/>
    <col min="8" max="8" width="14" customWidth="1"/>
    <col min="9" max="9" width="24" customWidth="1"/>
    <col min="10" max="10" width="30" customWidth="1"/>
  </cols>
  <sheetData>
    <row r="1" spans="1:11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 ht="24" customHeight="1" x14ac:dyDescent="0.25">
      <c r="A2" s="2">
        <v>1</v>
      </c>
      <c r="B2" s="2" t="s">
        <v>11</v>
      </c>
      <c r="C2" s="2" t="s">
        <v>12</v>
      </c>
      <c r="D2" s="3"/>
      <c r="E2" s="3"/>
      <c r="F2" s="3"/>
      <c r="G2" s="3"/>
      <c r="H2" s="3"/>
      <c r="I2" s="3"/>
      <c r="J2" s="3"/>
      <c r="K2" t="str">
        <f t="shared" ref="K2:K33" si="0">IF(OR(D2="",I2=""),"НЕ ПРОВЕРЕНО: покрытие или статус",IF(I2="покрыто, проверено",IF(AND(D2="да",E2&lt;&gt;"",G2&lt;&gt;"",ISNUMBER(H2),H2=0),"","ПРОТИВОРЕЧИЕ: полное покрытие не подтверждено"),IF(I2="не применяется",IF(D2="не применяется","","ПРОТИВОРЕЧИЕ: применимость"),IF(I2="принято",IF(G2&lt;&gt;"","","НЕ ПРОВЕРЕНО: основание принятия"),IF(IFERROR(AND(ISNUMBER(H2),H2&gt;=0),FALSE),"","НЕ ПРОВЕРЕНО: непокрытая сумма")))))</f>
        <v>НЕ ПРОВЕРЕНО: покрытие или статус</v>
      </c>
    </row>
    <row r="3" spans="1:11" ht="24" customHeight="1" x14ac:dyDescent="0.25">
      <c r="A3" s="2">
        <v>2</v>
      </c>
      <c r="B3" s="2" t="s">
        <v>11</v>
      </c>
      <c r="C3" s="2" t="s">
        <v>13</v>
      </c>
      <c r="D3" s="3"/>
      <c r="E3" s="3"/>
      <c r="F3" s="3"/>
      <c r="G3" s="3"/>
      <c r="H3" s="3"/>
      <c r="I3" s="3"/>
      <c r="J3" s="3"/>
      <c r="K3" t="str">
        <f t="shared" si="0"/>
        <v>НЕ ПРОВЕРЕНО: покрытие или статус</v>
      </c>
    </row>
    <row r="4" spans="1:11" ht="24" customHeight="1" x14ac:dyDescent="0.25">
      <c r="A4" s="2">
        <v>3</v>
      </c>
      <c r="B4" s="2" t="s">
        <v>11</v>
      </c>
      <c r="C4" s="2" t="s">
        <v>14</v>
      </c>
      <c r="D4" s="3"/>
      <c r="E4" s="3"/>
      <c r="F4" s="3"/>
      <c r="G4" s="3"/>
      <c r="H4" s="3"/>
      <c r="I4" s="3"/>
      <c r="J4" s="3"/>
      <c r="K4" t="str">
        <f t="shared" si="0"/>
        <v>НЕ ПРОВЕРЕНО: покрытие или статус</v>
      </c>
    </row>
    <row r="5" spans="1:11" ht="24" customHeight="1" x14ac:dyDescent="0.25">
      <c r="A5" s="2">
        <v>4</v>
      </c>
      <c r="B5" s="2" t="s">
        <v>11</v>
      </c>
      <c r="C5" s="2" t="s">
        <v>15</v>
      </c>
      <c r="D5" s="3"/>
      <c r="E5" s="3"/>
      <c r="F5" s="3"/>
      <c r="G5" s="3"/>
      <c r="H5" s="3"/>
      <c r="I5" s="3"/>
      <c r="J5" s="3"/>
      <c r="K5" t="str">
        <f t="shared" si="0"/>
        <v>НЕ ПРОВЕРЕНО: покрытие или статус</v>
      </c>
    </row>
    <row r="6" spans="1:11" ht="24" customHeight="1" x14ac:dyDescent="0.25">
      <c r="A6" s="2">
        <v>5</v>
      </c>
      <c r="B6" s="2" t="s">
        <v>11</v>
      </c>
      <c r="C6" s="2" t="s">
        <v>16</v>
      </c>
      <c r="D6" s="3"/>
      <c r="E6" s="3"/>
      <c r="F6" s="3"/>
      <c r="G6" s="3"/>
      <c r="H6" s="3"/>
      <c r="I6" s="3"/>
      <c r="J6" s="3"/>
      <c r="K6" t="str">
        <f t="shared" si="0"/>
        <v>НЕ ПРОВЕРЕНО: покрытие или статус</v>
      </c>
    </row>
    <row r="7" spans="1:11" ht="24" customHeight="1" x14ac:dyDescent="0.25">
      <c r="A7" s="2">
        <v>6</v>
      </c>
      <c r="B7" s="2" t="s">
        <v>11</v>
      </c>
      <c r="C7" s="2" t="s">
        <v>17</v>
      </c>
      <c r="D7" s="3"/>
      <c r="E7" s="3"/>
      <c r="F7" s="3"/>
      <c r="G7" s="3"/>
      <c r="H7" s="3"/>
      <c r="I7" s="3"/>
      <c r="J7" s="3"/>
      <c r="K7" t="str">
        <f t="shared" si="0"/>
        <v>НЕ ПРОВЕРЕНО: покрытие или статус</v>
      </c>
    </row>
    <row r="8" spans="1:11" ht="24" customHeight="1" x14ac:dyDescent="0.25">
      <c r="A8" s="2">
        <v>7</v>
      </c>
      <c r="B8" s="2" t="s">
        <v>11</v>
      </c>
      <c r="C8" s="2" t="s">
        <v>18</v>
      </c>
      <c r="D8" s="3"/>
      <c r="E8" s="3"/>
      <c r="F8" s="3"/>
      <c r="G8" s="3"/>
      <c r="H8" s="3"/>
      <c r="I8" s="3"/>
      <c r="J8" s="3"/>
      <c r="K8" t="str">
        <f t="shared" si="0"/>
        <v>НЕ ПРОВЕРЕНО: покрытие или статус</v>
      </c>
    </row>
    <row r="9" spans="1:11" ht="24" customHeight="1" x14ac:dyDescent="0.25">
      <c r="A9" s="2">
        <v>8</v>
      </c>
      <c r="B9" s="2" t="s">
        <v>19</v>
      </c>
      <c r="C9" s="2" t="s">
        <v>20</v>
      </c>
      <c r="D9" s="3"/>
      <c r="E9" s="3"/>
      <c r="F9" s="3"/>
      <c r="G9" s="3"/>
      <c r="H9" s="3"/>
      <c r="I9" s="3"/>
      <c r="J9" s="3"/>
      <c r="K9" t="str">
        <f t="shared" si="0"/>
        <v>НЕ ПРОВЕРЕНО: покрытие или статус</v>
      </c>
    </row>
    <row r="10" spans="1:11" ht="24" customHeight="1" x14ac:dyDescent="0.25">
      <c r="A10" s="2">
        <v>9</v>
      </c>
      <c r="B10" s="2" t="s">
        <v>19</v>
      </c>
      <c r="C10" s="2" t="s">
        <v>21</v>
      </c>
      <c r="D10" s="3"/>
      <c r="E10" s="3"/>
      <c r="F10" s="3"/>
      <c r="G10" s="3"/>
      <c r="H10" s="3"/>
      <c r="I10" s="3"/>
      <c r="J10" s="3"/>
      <c r="K10" t="str">
        <f t="shared" si="0"/>
        <v>НЕ ПРОВЕРЕНО: покрытие или статус</v>
      </c>
    </row>
    <row r="11" spans="1:11" ht="24" customHeight="1" x14ac:dyDescent="0.25">
      <c r="A11" s="2">
        <v>10</v>
      </c>
      <c r="B11" s="2" t="s">
        <v>19</v>
      </c>
      <c r="C11" s="2" t="s">
        <v>22</v>
      </c>
      <c r="D11" s="3"/>
      <c r="E11" s="3"/>
      <c r="F11" s="3"/>
      <c r="G11" s="3"/>
      <c r="H11" s="3"/>
      <c r="I11" s="3"/>
      <c r="J11" s="3"/>
      <c r="K11" t="str">
        <f t="shared" si="0"/>
        <v>НЕ ПРОВЕРЕНО: покрытие или статус</v>
      </c>
    </row>
    <row r="12" spans="1:11" ht="24" customHeight="1" x14ac:dyDescent="0.25">
      <c r="A12" s="2">
        <v>11</v>
      </c>
      <c r="B12" s="2" t="s">
        <v>19</v>
      </c>
      <c r="C12" s="2" t="s">
        <v>23</v>
      </c>
      <c r="D12" s="3"/>
      <c r="E12" s="3"/>
      <c r="F12" s="3"/>
      <c r="G12" s="3"/>
      <c r="H12" s="3"/>
      <c r="I12" s="3"/>
      <c r="J12" s="3"/>
      <c r="K12" t="str">
        <f t="shared" si="0"/>
        <v>НЕ ПРОВЕРЕНО: покрытие или статус</v>
      </c>
    </row>
    <row r="13" spans="1:11" ht="24" customHeight="1" x14ac:dyDescent="0.25">
      <c r="A13" s="2">
        <v>12</v>
      </c>
      <c r="B13" s="2" t="s">
        <v>19</v>
      </c>
      <c r="C13" s="2" t="s">
        <v>24</v>
      </c>
      <c r="D13" s="3"/>
      <c r="E13" s="3"/>
      <c r="F13" s="3"/>
      <c r="G13" s="3"/>
      <c r="H13" s="3"/>
      <c r="I13" s="3"/>
      <c r="J13" s="3"/>
      <c r="K13" t="str">
        <f t="shared" si="0"/>
        <v>НЕ ПРОВЕРЕНО: покрытие или статус</v>
      </c>
    </row>
    <row r="14" spans="1:11" ht="24" customHeight="1" x14ac:dyDescent="0.25">
      <c r="A14" s="2">
        <v>13</v>
      </c>
      <c r="B14" s="2" t="s">
        <v>19</v>
      </c>
      <c r="C14" s="2" t="s">
        <v>25</v>
      </c>
      <c r="D14" s="3"/>
      <c r="E14" s="3"/>
      <c r="F14" s="3"/>
      <c r="G14" s="3"/>
      <c r="H14" s="3"/>
      <c r="I14" s="3"/>
      <c r="J14" s="3"/>
      <c r="K14" t="str">
        <f t="shared" si="0"/>
        <v>НЕ ПРОВЕРЕНО: покрытие или статус</v>
      </c>
    </row>
    <row r="15" spans="1:11" ht="24" customHeight="1" x14ac:dyDescent="0.25">
      <c r="A15" s="2">
        <v>14</v>
      </c>
      <c r="B15" s="2" t="s">
        <v>19</v>
      </c>
      <c r="C15" s="2" t="s">
        <v>26</v>
      </c>
      <c r="D15" s="3"/>
      <c r="E15" s="3"/>
      <c r="F15" s="3"/>
      <c r="G15" s="3"/>
      <c r="H15" s="3"/>
      <c r="I15" s="3"/>
      <c r="J15" s="3"/>
      <c r="K15" t="str">
        <f t="shared" si="0"/>
        <v>НЕ ПРОВЕРЕНО: покрытие или статус</v>
      </c>
    </row>
    <row r="16" spans="1:11" ht="24" customHeight="1" x14ac:dyDescent="0.25">
      <c r="A16" s="2">
        <v>15</v>
      </c>
      <c r="B16" s="2" t="s">
        <v>27</v>
      </c>
      <c r="C16" s="2" t="s">
        <v>28</v>
      </c>
      <c r="D16" s="3"/>
      <c r="E16" s="3"/>
      <c r="F16" s="3"/>
      <c r="G16" s="3"/>
      <c r="H16" s="3"/>
      <c r="I16" s="3"/>
      <c r="J16" s="3"/>
      <c r="K16" t="str">
        <f t="shared" si="0"/>
        <v>НЕ ПРОВЕРЕНО: покрытие или статус</v>
      </c>
    </row>
    <row r="17" spans="1:11" ht="24" customHeight="1" x14ac:dyDescent="0.25">
      <c r="A17" s="2">
        <v>16</v>
      </c>
      <c r="B17" s="2" t="s">
        <v>27</v>
      </c>
      <c r="C17" s="2" t="s">
        <v>29</v>
      </c>
      <c r="D17" s="3"/>
      <c r="E17" s="3"/>
      <c r="F17" s="3"/>
      <c r="G17" s="3"/>
      <c r="H17" s="3"/>
      <c r="I17" s="3"/>
      <c r="J17" s="3"/>
      <c r="K17" t="str">
        <f t="shared" si="0"/>
        <v>НЕ ПРОВЕРЕНО: покрытие или статус</v>
      </c>
    </row>
    <row r="18" spans="1:11" ht="24" customHeight="1" x14ac:dyDescent="0.25">
      <c r="A18" s="2">
        <v>17</v>
      </c>
      <c r="B18" s="2" t="s">
        <v>27</v>
      </c>
      <c r="C18" s="2" t="s">
        <v>30</v>
      </c>
      <c r="D18" s="3"/>
      <c r="E18" s="3"/>
      <c r="F18" s="3"/>
      <c r="G18" s="3"/>
      <c r="H18" s="3"/>
      <c r="I18" s="3"/>
      <c r="J18" s="3"/>
      <c r="K18" t="str">
        <f t="shared" si="0"/>
        <v>НЕ ПРОВЕРЕНО: покрытие или статус</v>
      </c>
    </row>
    <row r="19" spans="1:11" ht="24" customHeight="1" x14ac:dyDescent="0.25">
      <c r="A19" s="2">
        <v>18</v>
      </c>
      <c r="B19" s="2" t="s">
        <v>27</v>
      </c>
      <c r="C19" s="2" t="s">
        <v>31</v>
      </c>
      <c r="D19" s="3"/>
      <c r="E19" s="3"/>
      <c r="F19" s="3"/>
      <c r="G19" s="3"/>
      <c r="H19" s="3"/>
      <c r="I19" s="3"/>
      <c r="J19" s="3"/>
      <c r="K19" t="str">
        <f t="shared" si="0"/>
        <v>НЕ ПРОВЕРЕНО: покрытие или статус</v>
      </c>
    </row>
    <row r="20" spans="1:11" ht="24" customHeight="1" x14ac:dyDescent="0.25">
      <c r="A20" s="2">
        <v>19</v>
      </c>
      <c r="B20" s="2" t="s">
        <v>27</v>
      </c>
      <c r="C20" s="2" t="s">
        <v>32</v>
      </c>
      <c r="D20" s="3"/>
      <c r="E20" s="3"/>
      <c r="F20" s="3"/>
      <c r="G20" s="3"/>
      <c r="H20" s="3"/>
      <c r="I20" s="3"/>
      <c r="J20" s="3"/>
      <c r="K20" t="str">
        <f t="shared" si="0"/>
        <v>НЕ ПРОВЕРЕНО: покрытие или статус</v>
      </c>
    </row>
    <row r="21" spans="1:11" ht="24" customHeight="1" x14ac:dyDescent="0.25">
      <c r="A21" s="2">
        <v>20</v>
      </c>
      <c r="B21" s="2" t="s">
        <v>27</v>
      </c>
      <c r="C21" s="2" t="s">
        <v>33</v>
      </c>
      <c r="D21" s="3"/>
      <c r="E21" s="3"/>
      <c r="F21" s="3"/>
      <c r="G21" s="3"/>
      <c r="H21" s="3"/>
      <c r="I21" s="3"/>
      <c r="J21" s="3"/>
      <c r="K21" t="str">
        <f t="shared" si="0"/>
        <v>НЕ ПРОВЕРЕНО: покрытие или статус</v>
      </c>
    </row>
    <row r="22" spans="1:11" ht="24" customHeight="1" x14ac:dyDescent="0.25">
      <c r="A22" s="2">
        <v>21</v>
      </c>
      <c r="B22" s="2" t="s">
        <v>27</v>
      </c>
      <c r="C22" s="2" t="s">
        <v>34</v>
      </c>
      <c r="D22" s="3"/>
      <c r="E22" s="3"/>
      <c r="F22" s="3"/>
      <c r="G22" s="3"/>
      <c r="H22" s="3"/>
      <c r="I22" s="3"/>
      <c r="J22" s="3"/>
      <c r="K22" t="str">
        <f t="shared" si="0"/>
        <v>НЕ ПРОВЕРЕНО: покрытие или статус</v>
      </c>
    </row>
    <row r="23" spans="1:11" ht="24" customHeight="1" x14ac:dyDescent="0.25">
      <c r="A23" s="2">
        <v>22</v>
      </c>
      <c r="B23" s="2" t="s">
        <v>35</v>
      </c>
      <c r="C23" s="2" t="s">
        <v>36</v>
      </c>
      <c r="D23" s="3"/>
      <c r="E23" s="3"/>
      <c r="F23" s="3"/>
      <c r="G23" s="3"/>
      <c r="H23" s="3"/>
      <c r="I23" s="3"/>
      <c r="J23" s="3"/>
      <c r="K23" t="str">
        <f t="shared" si="0"/>
        <v>НЕ ПРОВЕРЕНО: покрытие или статус</v>
      </c>
    </row>
    <row r="24" spans="1:11" ht="24" customHeight="1" x14ac:dyDescent="0.25">
      <c r="A24" s="2">
        <v>23</v>
      </c>
      <c r="B24" s="2" t="s">
        <v>35</v>
      </c>
      <c r="C24" s="2" t="s">
        <v>37</v>
      </c>
      <c r="D24" s="3"/>
      <c r="E24" s="3"/>
      <c r="F24" s="3"/>
      <c r="G24" s="3"/>
      <c r="H24" s="3"/>
      <c r="I24" s="3"/>
      <c r="J24" s="3"/>
      <c r="K24" t="str">
        <f t="shared" si="0"/>
        <v>НЕ ПРОВЕРЕНО: покрытие или статус</v>
      </c>
    </row>
    <row r="25" spans="1:11" ht="24" customHeight="1" x14ac:dyDescent="0.25">
      <c r="A25" s="2">
        <v>24</v>
      </c>
      <c r="B25" s="2" t="s">
        <v>35</v>
      </c>
      <c r="C25" s="2" t="s">
        <v>38</v>
      </c>
      <c r="D25" s="3"/>
      <c r="E25" s="3"/>
      <c r="F25" s="3"/>
      <c r="G25" s="3"/>
      <c r="H25" s="3"/>
      <c r="I25" s="3"/>
      <c r="J25" s="3"/>
      <c r="K25" t="str">
        <f t="shared" si="0"/>
        <v>НЕ ПРОВЕРЕНО: покрытие или статус</v>
      </c>
    </row>
    <row r="26" spans="1:11" ht="24" customHeight="1" x14ac:dyDescent="0.25">
      <c r="A26" s="2">
        <v>25</v>
      </c>
      <c r="B26" s="2" t="s">
        <v>35</v>
      </c>
      <c r="C26" s="2" t="s">
        <v>39</v>
      </c>
      <c r="D26" s="3"/>
      <c r="E26" s="3"/>
      <c r="F26" s="3"/>
      <c r="G26" s="3"/>
      <c r="H26" s="3"/>
      <c r="I26" s="3"/>
      <c r="J26" s="3"/>
      <c r="K26" t="str">
        <f t="shared" si="0"/>
        <v>НЕ ПРОВЕРЕНО: покрытие или статус</v>
      </c>
    </row>
    <row r="27" spans="1:11" ht="24" customHeight="1" x14ac:dyDescent="0.25">
      <c r="A27" s="2">
        <v>26</v>
      </c>
      <c r="B27" s="2" t="s">
        <v>35</v>
      </c>
      <c r="C27" s="2" t="s">
        <v>40</v>
      </c>
      <c r="D27" s="3"/>
      <c r="E27" s="3"/>
      <c r="F27" s="3"/>
      <c r="G27" s="3"/>
      <c r="H27" s="3"/>
      <c r="I27" s="3"/>
      <c r="J27" s="3"/>
      <c r="K27" t="str">
        <f t="shared" si="0"/>
        <v>НЕ ПРОВЕРЕНО: покрытие или статус</v>
      </c>
    </row>
    <row r="28" spans="1:11" ht="24" customHeight="1" x14ac:dyDescent="0.25">
      <c r="A28" s="2">
        <v>27</v>
      </c>
      <c r="B28" s="2" t="s">
        <v>35</v>
      </c>
      <c r="C28" s="2" t="s">
        <v>41</v>
      </c>
      <c r="D28" s="3"/>
      <c r="E28" s="3"/>
      <c r="F28" s="3"/>
      <c r="G28" s="3"/>
      <c r="H28" s="3"/>
      <c r="I28" s="3"/>
      <c r="J28" s="3"/>
      <c r="K28" t="str">
        <f t="shared" si="0"/>
        <v>НЕ ПРОВЕРЕНО: покрытие или статус</v>
      </c>
    </row>
    <row r="29" spans="1:11" ht="24" customHeight="1" x14ac:dyDescent="0.25">
      <c r="A29" s="2">
        <v>28</v>
      </c>
      <c r="B29" s="2" t="s">
        <v>42</v>
      </c>
      <c r="C29" s="2" t="s">
        <v>43</v>
      </c>
      <c r="D29" s="3"/>
      <c r="E29" s="3"/>
      <c r="F29" s="3"/>
      <c r="G29" s="3"/>
      <c r="H29" s="3"/>
      <c r="I29" s="3"/>
      <c r="J29" s="3"/>
      <c r="K29" t="str">
        <f t="shared" si="0"/>
        <v>НЕ ПРОВЕРЕНО: покрытие или статус</v>
      </c>
    </row>
    <row r="30" spans="1:11" ht="24" customHeight="1" x14ac:dyDescent="0.25">
      <c r="A30" s="2">
        <v>29</v>
      </c>
      <c r="B30" s="2" t="s">
        <v>42</v>
      </c>
      <c r="C30" s="2" t="s">
        <v>44</v>
      </c>
      <c r="D30" s="3"/>
      <c r="E30" s="3"/>
      <c r="F30" s="3"/>
      <c r="G30" s="3"/>
      <c r="H30" s="3"/>
      <c r="I30" s="3"/>
      <c r="J30" s="3"/>
      <c r="K30" t="str">
        <f t="shared" si="0"/>
        <v>НЕ ПРОВЕРЕНО: покрытие или статус</v>
      </c>
    </row>
    <row r="31" spans="1:11" ht="24" customHeight="1" x14ac:dyDescent="0.25">
      <c r="A31" s="2">
        <v>30</v>
      </c>
      <c r="B31" s="2" t="s">
        <v>42</v>
      </c>
      <c r="C31" s="2" t="s">
        <v>45</v>
      </c>
      <c r="D31" s="3"/>
      <c r="E31" s="3"/>
      <c r="F31" s="3"/>
      <c r="G31" s="3"/>
      <c r="H31" s="3"/>
      <c r="I31" s="3"/>
      <c r="J31" s="3"/>
      <c r="K31" t="str">
        <f t="shared" si="0"/>
        <v>НЕ ПРОВЕРЕНО: покрытие или статус</v>
      </c>
    </row>
    <row r="32" spans="1:11" ht="24" customHeight="1" x14ac:dyDescent="0.25">
      <c r="A32" s="2">
        <v>31</v>
      </c>
      <c r="B32" s="2" t="s">
        <v>42</v>
      </c>
      <c r="C32" s="2" t="s">
        <v>46</v>
      </c>
      <c r="D32" s="3"/>
      <c r="E32" s="3"/>
      <c r="F32" s="3"/>
      <c r="G32" s="3"/>
      <c r="H32" s="3"/>
      <c r="I32" s="3"/>
      <c r="J32" s="3"/>
      <c r="K32" t="str">
        <f t="shared" si="0"/>
        <v>НЕ ПРОВЕРЕНО: покрытие или статус</v>
      </c>
    </row>
    <row r="33" spans="1:11" ht="24" customHeight="1" x14ac:dyDescent="0.25">
      <c r="A33" s="2">
        <v>32</v>
      </c>
      <c r="B33" s="2" t="s">
        <v>42</v>
      </c>
      <c r="C33" s="2" t="s">
        <v>47</v>
      </c>
      <c r="D33" s="3"/>
      <c r="E33" s="3"/>
      <c r="F33" s="3"/>
      <c r="G33" s="3"/>
      <c r="H33" s="3"/>
      <c r="I33" s="3"/>
      <c r="J33" s="3"/>
      <c r="K33" t="str">
        <f t="shared" si="0"/>
        <v>НЕ ПРОВЕРЕНО: покрытие или статус</v>
      </c>
    </row>
    <row r="34" spans="1:11" ht="24" customHeight="1" x14ac:dyDescent="0.25">
      <c r="A34" s="2">
        <v>33</v>
      </c>
      <c r="B34" s="2" t="s">
        <v>48</v>
      </c>
      <c r="C34" s="2" t="s">
        <v>49</v>
      </c>
      <c r="D34" s="3"/>
      <c r="E34" s="3"/>
      <c r="F34" s="3"/>
      <c r="G34" s="3"/>
      <c r="H34" s="3"/>
      <c r="I34" s="3"/>
      <c r="J34" s="3"/>
      <c r="K34" t="str">
        <f t="shared" ref="K34:K52" si="1">IF(OR(D34="",I34=""),"НЕ ПРОВЕРЕНО: покрытие или статус",IF(I34="покрыто, проверено",IF(AND(D34="да",E34&lt;&gt;"",G34&lt;&gt;"",ISNUMBER(H34),H34=0),"","ПРОТИВОРЕЧИЕ: полное покрытие не подтверждено"),IF(I34="не применяется",IF(D34="не применяется","","ПРОТИВОРЕЧИЕ: применимость"),IF(I34="принято",IF(G34&lt;&gt;"","","НЕ ПРОВЕРЕНО: основание принятия"),IF(IFERROR(AND(ISNUMBER(H34),H34&gt;=0),FALSE),"","НЕ ПРОВЕРЕНО: непокрытая сумма")))))</f>
        <v>НЕ ПРОВЕРЕНО: покрытие или статус</v>
      </c>
    </row>
    <row r="35" spans="1:11" ht="24" customHeight="1" x14ac:dyDescent="0.25">
      <c r="A35" s="2">
        <v>34</v>
      </c>
      <c r="B35" s="2" t="s">
        <v>48</v>
      </c>
      <c r="C35" s="2" t="s">
        <v>50</v>
      </c>
      <c r="D35" s="3"/>
      <c r="E35" s="3"/>
      <c r="F35" s="3"/>
      <c r="G35" s="3"/>
      <c r="H35" s="3"/>
      <c r="I35" s="3"/>
      <c r="J35" s="3"/>
      <c r="K35" t="str">
        <f t="shared" si="1"/>
        <v>НЕ ПРОВЕРЕНО: покрытие или статус</v>
      </c>
    </row>
    <row r="36" spans="1:11" ht="24" customHeight="1" x14ac:dyDescent="0.25">
      <c r="A36" s="2">
        <v>35</v>
      </c>
      <c r="B36" s="2" t="s">
        <v>48</v>
      </c>
      <c r="C36" s="2" t="s">
        <v>51</v>
      </c>
      <c r="D36" s="3"/>
      <c r="E36" s="3"/>
      <c r="F36" s="3"/>
      <c r="G36" s="3"/>
      <c r="H36" s="3"/>
      <c r="I36" s="3"/>
      <c r="J36" s="3"/>
      <c r="K36" t="str">
        <f t="shared" si="1"/>
        <v>НЕ ПРОВЕРЕНО: покрытие или статус</v>
      </c>
    </row>
    <row r="37" spans="1:11" ht="24" customHeight="1" x14ac:dyDescent="0.25">
      <c r="A37" s="2">
        <v>36</v>
      </c>
      <c r="B37" s="2" t="s">
        <v>48</v>
      </c>
      <c r="C37" s="2" t="s">
        <v>52</v>
      </c>
      <c r="D37" s="3"/>
      <c r="E37" s="3"/>
      <c r="F37" s="3"/>
      <c r="G37" s="3"/>
      <c r="H37" s="3"/>
      <c r="I37" s="3"/>
      <c r="J37" s="3"/>
      <c r="K37" t="str">
        <f t="shared" si="1"/>
        <v>НЕ ПРОВЕРЕНО: покрытие или статус</v>
      </c>
    </row>
    <row r="38" spans="1:11" ht="24" customHeight="1" x14ac:dyDescent="0.25">
      <c r="A38" s="2">
        <v>37</v>
      </c>
      <c r="B38" s="2" t="s">
        <v>48</v>
      </c>
      <c r="C38" s="2" t="s">
        <v>53</v>
      </c>
      <c r="D38" s="3"/>
      <c r="E38" s="3"/>
      <c r="F38" s="3"/>
      <c r="G38" s="3"/>
      <c r="H38" s="3"/>
      <c r="I38" s="3"/>
      <c r="J38" s="3"/>
      <c r="K38" t="str">
        <f t="shared" si="1"/>
        <v>НЕ ПРОВЕРЕНО: покрытие или статус</v>
      </c>
    </row>
    <row r="39" spans="1:11" ht="24" customHeight="1" x14ac:dyDescent="0.25">
      <c r="A39" s="2">
        <v>38</v>
      </c>
      <c r="B39" s="2" t="s">
        <v>54</v>
      </c>
      <c r="C39" s="2" t="s">
        <v>55</v>
      </c>
      <c r="D39" s="3"/>
      <c r="E39" s="3"/>
      <c r="F39" s="3"/>
      <c r="G39" s="3"/>
      <c r="H39" s="3"/>
      <c r="I39" s="3"/>
      <c r="J39" s="3"/>
      <c r="K39" t="str">
        <f t="shared" si="1"/>
        <v>НЕ ПРОВЕРЕНО: покрытие или статус</v>
      </c>
    </row>
    <row r="40" spans="1:11" ht="24" customHeight="1" x14ac:dyDescent="0.25">
      <c r="A40" s="2">
        <v>39</v>
      </c>
      <c r="B40" s="2" t="s">
        <v>54</v>
      </c>
      <c r="C40" s="2" t="s">
        <v>56</v>
      </c>
      <c r="D40" s="3"/>
      <c r="E40" s="3"/>
      <c r="F40" s="3"/>
      <c r="G40" s="3"/>
      <c r="H40" s="3"/>
      <c r="I40" s="3"/>
      <c r="J40" s="3"/>
      <c r="K40" t="str">
        <f t="shared" si="1"/>
        <v>НЕ ПРОВЕРЕНО: покрытие или статус</v>
      </c>
    </row>
    <row r="41" spans="1:11" ht="24" customHeight="1" x14ac:dyDescent="0.25">
      <c r="A41" s="2">
        <v>40</v>
      </c>
      <c r="B41" s="2" t="s">
        <v>54</v>
      </c>
      <c r="C41" s="2" t="s">
        <v>57</v>
      </c>
      <c r="D41" s="3"/>
      <c r="E41" s="3"/>
      <c r="F41" s="3"/>
      <c r="G41" s="3"/>
      <c r="H41" s="3"/>
      <c r="I41" s="3"/>
      <c r="J41" s="3"/>
      <c r="K41" t="str">
        <f t="shared" si="1"/>
        <v>НЕ ПРОВЕРЕНО: покрытие или статус</v>
      </c>
    </row>
    <row r="42" spans="1:11" ht="24" customHeight="1" x14ac:dyDescent="0.25">
      <c r="A42" s="2">
        <v>41</v>
      </c>
      <c r="B42" s="2" t="s">
        <v>54</v>
      </c>
      <c r="C42" s="2" t="s">
        <v>58</v>
      </c>
      <c r="D42" s="3"/>
      <c r="E42" s="3"/>
      <c r="F42" s="3"/>
      <c r="G42" s="3"/>
      <c r="H42" s="3"/>
      <c r="I42" s="3"/>
      <c r="J42" s="3"/>
      <c r="K42" t="str">
        <f t="shared" si="1"/>
        <v>НЕ ПРОВЕРЕНО: покрытие или статус</v>
      </c>
    </row>
    <row r="43" spans="1:11" ht="24" customHeight="1" x14ac:dyDescent="0.25">
      <c r="A43" s="2">
        <v>42</v>
      </c>
      <c r="B43" s="2" t="s">
        <v>54</v>
      </c>
      <c r="C43" s="2" t="s">
        <v>59</v>
      </c>
      <c r="D43" s="3"/>
      <c r="E43" s="3"/>
      <c r="F43" s="3"/>
      <c r="G43" s="3"/>
      <c r="H43" s="3"/>
      <c r="I43" s="3"/>
      <c r="J43" s="3"/>
      <c r="K43" t="str">
        <f t="shared" si="1"/>
        <v>НЕ ПРОВЕРЕНО: покрытие или статус</v>
      </c>
    </row>
    <row r="44" spans="1:11" ht="24" customHeight="1" x14ac:dyDescent="0.25">
      <c r="A44" s="2">
        <v>43</v>
      </c>
      <c r="B44" s="2" t="s">
        <v>54</v>
      </c>
      <c r="C44" s="2" t="s">
        <v>60</v>
      </c>
      <c r="D44" s="3"/>
      <c r="E44" s="3"/>
      <c r="F44" s="3"/>
      <c r="G44" s="3"/>
      <c r="H44" s="3"/>
      <c r="I44" s="3"/>
      <c r="J44" s="3"/>
      <c r="K44" t="str">
        <f t="shared" si="1"/>
        <v>НЕ ПРОВЕРЕНО: покрытие или статус</v>
      </c>
    </row>
    <row r="45" spans="1:11" ht="24" customHeight="1" x14ac:dyDescent="0.25">
      <c r="A45" s="2">
        <v>44</v>
      </c>
      <c r="B45" s="2" t="s">
        <v>61</v>
      </c>
      <c r="C45" s="2" t="s">
        <v>62</v>
      </c>
      <c r="D45" s="3"/>
      <c r="E45" s="3"/>
      <c r="F45" s="3"/>
      <c r="G45" s="3"/>
      <c r="H45" s="3"/>
      <c r="I45" s="3"/>
      <c r="J45" s="3"/>
      <c r="K45" t="str">
        <f t="shared" si="1"/>
        <v>НЕ ПРОВЕРЕНО: покрытие или статус</v>
      </c>
    </row>
    <row r="46" spans="1:11" ht="24" customHeight="1" x14ac:dyDescent="0.25">
      <c r="A46" s="2">
        <v>45</v>
      </c>
      <c r="B46" s="2" t="s">
        <v>61</v>
      </c>
      <c r="C46" s="2" t="s">
        <v>63</v>
      </c>
      <c r="D46" s="3"/>
      <c r="E46" s="3"/>
      <c r="F46" s="3"/>
      <c r="G46" s="3"/>
      <c r="H46" s="3"/>
      <c r="I46" s="3"/>
      <c r="J46" s="3"/>
      <c r="K46" t="str">
        <f t="shared" si="1"/>
        <v>НЕ ПРОВЕРЕНО: покрытие или статус</v>
      </c>
    </row>
    <row r="47" spans="1:11" ht="24" customHeight="1" x14ac:dyDescent="0.25">
      <c r="A47" s="2">
        <v>46</v>
      </c>
      <c r="B47" s="2" t="s">
        <v>61</v>
      </c>
      <c r="C47" s="2" t="s">
        <v>64</v>
      </c>
      <c r="D47" s="3"/>
      <c r="E47" s="3"/>
      <c r="F47" s="3"/>
      <c r="G47" s="3"/>
      <c r="H47" s="3"/>
      <c r="I47" s="3"/>
      <c r="J47" s="3"/>
      <c r="K47" t="str">
        <f t="shared" si="1"/>
        <v>НЕ ПРОВЕРЕНО: покрытие или статус</v>
      </c>
    </row>
    <row r="48" spans="1:11" ht="24" customHeight="1" x14ac:dyDescent="0.25">
      <c r="A48" s="2">
        <v>47</v>
      </c>
      <c r="B48" s="2" t="s">
        <v>61</v>
      </c>
      <c r="C48" s="2" t="s">
        <v>65</v>
      </c>
      <c r="D48" s="3"/>
      <c r="E48" s="3"/>
      <c r="F48" s="3"/>
      <c r="G48" s="3"/>
      <c r="H48" s="3"/>
      <c r="I48" s="3"/>
      <c r="J48" s="3"/>
      <c r="K48" t="str">
        <f t="shared" si="1"/>
        <v>НЕ ПРОВЕРЕНО: покрытие или статус</v>
      </c>
    </row>
    <row r="49" spans="1:11" ht="24" customHeight="1" x14ac:dyDescent="0.25">
      <c r="A49" s="2">
        <v>48</v>
      </c>
      <c r="B49" s="2" t="s">
        <v>61</v>
      </c>
      <c r="C49" s="2" t="s">
        <v>66</v>
      </c>
      <c r="D49" s="3"/>
      <c r="E49" s="3"/>
      <c r="F49" s="3"/>
      <c r="G49" s="3"/>
      <c r="H49" s="3"/>
      <c r="I49" s="3"/>
      <c r="J49" s="3"/>
      <c r="K49" t="str">
        <f t="shared" si="1"/>
        <v>НЕ ПРОВЕРЕНО: покрытие или статус</v>
      </c>
    </row>
    <row r="50" spans="1:11" ht="24" customHeight="1" x14ac:dyDescent="0.25">
      <c r="A50" s="2">
        <v>49</v>
      </c>
      <c r="B50" s="2" t="s">
        <v>61</v>
      </c>
      <c r="C50" s="2" t="s">
        <v>67</v>
      </c>
      <c r="D50" s="3"/>
      <c r="E50" s="3"/>
      <c r="F50" s="3"/>
      <c r="G50" s="3"/>
      <c r="H50" s="3"/>
      <c r="I50" s="3"/>
      <c r="J50" s="3"/>
      <c r="K50" t="str">
        <f t="shared" si="1"/>
        <v>НЕ ПРОВЕРЕНО: покрытие или статус</v>
      </c>
    </row>
    <row r="51" spans="1:11" ht="24" customHeight="1" x14ac:dyDescent="0.25">
      <c r="A51" s="2">
        <v>50</v>
      </c>
      <c r="B51" s="2" t="s">
        <v>68</v>
      </c>
      <c r="C51" s="2" t="s">
        <v>69</v>
      </c>
      <c r="D51" s="3"/>
      <c r="E51" s="3"/>
      <c r="F51" s="3"/>
      <c r="G51" s="3"/>
      <c r="H51" s="3"/>
      <c r="I51" s="3"/>
      <c r="J51" s="3"/>
      <c r="K51" t="str">
        <f t="shared" si="1"/>
        <v>НЕ ПРОВЕРЕНО: покрытие или статус</v>
      </c>
    </row>
    <row r="52" spans="1:11" ht="24" customHeight="1" x14ac:dyDescent="0.25">
      <c r="A52" s="2">
        <v>51</v>
      </c>
      <c r="B52" s="2" t="s">
        <v>68</v>
      </c>
      <c r="C52" s="2" t="s">
        <v>70</v>
      </c>
      <c r="D52" s="3"/>
      <c r="E52" s="3"/>
      <c r="F52" s="3"/>
      <c r="G52" s="3"/>
      <c r="H52" s="3"/>
      <c r="I52" s="3"/>
      <c r="J52" s="3"/>
      <c r="K52" t="str">
        <f t="shared" si="1"/>
        <v>НЕ ПРОВЕРЕНО: покрытие или статус</v>
      </c>
    </row>
    <row r="53" spans="1:11" ht="21.95" customHeight="1" x14ac:dyDescent="0.25">
      <c r="C53" s="12" t="str">
        <f>IF(COUNTIF(K2:K52,"ПРОТИВОРЕЧИЕ*")&gt;0,"ПРОТИВОРЕЧИЕ: проверьте покрытие и остаток",IF(COUNTIF(K2:K52,"НЕ ПРОВЕРЕНО*")&gt;0,"НЕ ПРОВЕРЕНО: заполните и сверьте строки","Проверка заполнена; решение о цене принимает руководитель"))</f>
        <v>НЕ ПРОВЕРЕНО: заполните и сверьте строки</v>
      </c>
      <c r="D53" s="13"/>
      <c r="E53" s="13"/>
      <c r="F53" s="13"/>
      <c r="G53" s="13"/>
      <c r="H53" s="13"/>
      <c r="I53" s="13"/>
      <c r="J53" s="13"/>
    </row>
    <row r="54" spans="1:11" x14ac:dyDescent="0.25">
      <c r="C54" s="7" t="s">
        <v>71</v>
      </c>
      <c r="H54" s="5">
        <f>SUMIFS(H2:H52,I2:I52,"&lt;&gt;принято",I2:I52,"&lt;&gt;не применяется")</f>
        <v>0</v>
      </c>
    </row>
    <row r="55" spans="1:11" x14ac:dyDescent="0.25">
      <c r="C55" s="8" t="s">
        <v>72</v>
      </c>
      <c r="H55" s="4"/>
    </row>
    <row r="56" spans="1:11" x14ac:dyDescent="0.25">
      <c r="C56" s="8" t="s">
        <v>73</v>
      </c>
      <c r="H56" s="6" t="str">
        <f>IF(OR(H55="",H55&lt;=0),"",H54/H55)</f>
        <v/>
      </c>
    </row>
  </sheetData>
  <mergeCells count="1">
    <mergeCell ref="C53:J53"/>
  </mergeCells>
  <dataValidations count="4">
    <dataValidation type="list" allowBlank="1" showErrorMessage="1" errorTitle="Проверьте значение" error="Выберите значение из списка; для денежной графы введите число не меньше нуля." sqref="D2:D52">
      <formula1>"да,частично,нет,уточнить,не применяется"</formula1>
    </dataValidation>
    <dataValidation type="list" allowBlank="1" showErrorMessage="1" errorTitle="Проверьте значение" error="Выберите значение из списка; для денежной графы введите число не меньше нуля." sqref="F2:F52">
      <formula1>"подрядчик,генподрядчик,заказчик,не распределено"</formula1>
    </dataValidation>
    <dataValidation type="decimal" operator="greaterThanOrEqual" allowBlank="1" showErrorMessage="1" errorTitle="Проверьте значение" error="Выберите значение из списка; для денежной графы введите число не меньше нуля." sqref="H2:H52">
      <formula1>0</formula1>
    </dataValidation>
    <dataValidation type="decimal" operator="greaterThanOrEqual" allowBlank="1" showErrorMessage="1" errorTitle="Проверьте значение" error="Выберите значение из списка; для денежной графы введите число не меньше нуля." sqref="H55">
      <formula1>0</formula1>
    </dataValidation>
  </dataValidations>
  <pageMargins left="0.75" right="0.75" top="1" bottom="1" header="0.5" footer="0.5"/>
  <pageSetup paperSize="8" scale="73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Проверьте значение" error="Выберите значение из списка; для денежной графы введите число не меньше нуля.">
          <x14:formula1>
            <xm:f>'Как заполнять'!$D$2:$D$8</xm:f>
          </x14:formula1>
          <xm:sqref>I2:I52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workbookViewId="0"/>
  </sheetViews>
  <sheetFormatPr defaultRowHeight="15" x14ac:dyDescent="0.25"/>
  <cols>
    <col min="1" max="1" width="24" customWidth="1"/>
    <col min="2" max="2" width="96" customWidth="1"/>
  </cols>
  <sheetData>
    <row r="1" spans="1:4" x14ac:dyDescent="0.25">
      <c r="A1" s="9" t="s">
        <v>74</v>
      </c>
      <c r="B1" s="9" t="s">
        <v>75</v>
      </c>
      <c r="D1" t="s">
        <v>76</v>
      </c>
    </row>
    <row r="2" spans="1:4" ht="38.1" customHeight="1" x14ac:dyDescent="0.25">
      <c r="A2" s="10" t="s">
        <v>3</v>
      </c>
      <c r="B2" s="11" t="s">
        <v>77</v>
      </c>
      <c r="D2" t="s">
        <v>78</v>
      </c>
    </row>
    <row r="3" spans="1:4" ht="27.95" customHeight="1" x14ac:dyDescent="0.25">
      <c r="A3" s="10" t="s">
        <v>4</v>
      </c>
      <c r="B3" s="11" t="s">
        <v>79</v>
      </c>
      <c r="D3" t="s">
        <v>80</v>
      </c>
    </row>
    <row r="4" spans="1:4" ht="38.1" customHeight="1" x14ac:dyDescent="0.25">
      <c r="A4" s="10" t="s">
        <v>5</v>
      </c>
      <c r="B4" s="11" t="s">
        <v>81</v>
      </c>
      <c r="D4" t="s">
        <v>82</v>
      </c>
    </row>
    <row r="5" spans="1:4" ht="38.1" customHeight="1" x14ac:dyDescent="0.25">
      <c r="A5" s="10" t="s">
        <v>6</v>
      </c>
      <c r="B5" s="11" t="s">
        <v>83</v>
      </c>
      <c r="D5" t="s">
        <v>84</v>
      </c>
    </row>
    <row r="6" spans="1:4" ht="38.1" customHeight="1" x14ac:dyDescent="0.25">
      <c r="A6" s="10" t="s">
        <v>85</v>
      </c>
      <c r="B6" s="11" t="s">
        <v>86</v>
      </c>
      <c r="D6" t="s">
        <v>87</v>
      </c>
    </row>
    <row r="7" spans="1:4" ht="57.95" customHeight="1" x14ac:dyDescent="0.25">
      <c r="A7" s="10" t="s">
        <v>8</v>
      </c>
      <c r="B7" s="11" t="s">
        <v>88</v>
      </c>
      <c r="D7" t="s">
        <v>89</v>
      </c>
    </row>
    <row r="8" spans="1:4" ht="48" customHeight="1" x14ac:dyDescent="0.25">
      <c r="A8" s="10" t="s">
        <v>90</v>
      </c>
      <c r="B8" s="11" t="s">
        <v>91</v>
      </c>
      <c r="D8" t="s">
        <v>92</v>
      </c>
    </row>
    <row r="9" spans="1:4" ht="57.95" customHeight="1" x14ac:dyDescent="0.25">
      <c r="A9" s="10" t="s">
        <v>93</v>
      </c>
      <c r="B9" s="11" t="s">
        <v>94</v>
      </c>
    </row>
  </sheetData>
  <pageMargins left="0.75" right="0.75" top="1" bottom="1" header="0.5" footer="0.5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Реестр затрат</vt:lpstr>
      <vt:lpstr>Как заполнять</vt:lpstr>
      <vt:lpstr>'Как заполнять'!Print_Area</vt:lpstr>
      <vt:lpstr>'Реестр затрат'!Print_Area</vt:lpstr>
      <vt:lpstr>'Как заполнять'!Print_Titles</vt:lpstr>
      <vt:lpstr>'Реестр затрат'!Print_Titles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2026-10-22T16:18:38Z</cp:lastPrinted>
  <dcterms:created xsi:type="dcterms:W3CDTF">2026-08-11T04:36:30Z</dcterms:created>
  <dcterms:modified xsi:type="dcterms:W3CDTF">2026-10-22T16:18:38Z</dcterms:modified>
</cp:coreProperties>
</file>