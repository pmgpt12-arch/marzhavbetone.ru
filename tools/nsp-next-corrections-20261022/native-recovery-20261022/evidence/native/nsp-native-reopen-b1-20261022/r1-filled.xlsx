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native-reopen-b1-20261022\"/>
    </mc:Choice>
  </mc:AlternateContent>
  <bookViews>
    <workbookView xWindow="0" yWindow="0" windowWidth="19710" windowHeight="6810"/>
  </bookViews>
  <sheets>
    <sheet name="Объект и должник" sheetId="1" r:id="rId1"/>
    <sheet name="Реестр документов" sheetId="2" r:id="rId2"/>
    <sheet name="Итоги" sheetId="3" r:id="rId3"/>
    <sheet name="Пример заполнения" sheetId="4" r:id="rId4"/>
  </sheets>
  <definedNames>
    <definedName name="Print_Area" localSheetId="2">Итоги!$A$1:$C$19</definedName>
    <definedName name="Print_Area" localSheetId="0">'Объект и должник'!$A$1:$C$39</definedName>
    <definedName name="Print_Area" localSheetId="3">'Пример заполнения'!$A$1:$M$22</definedName>
    <definedName name="Print_Area" localSheetId="1">'Реестр документов'!$A$1:$M$205</definedName>
    <definedName name="Print_Titles" localSheetId="0">'Объект и должник'!$1:$3</definedName>
    <definedName name="Print_Titles" localSheetId="1">'Реестр документов'!$1:$3</definedName>
  </definedNames>
  <calcPr calcId="162913" forceFullCalc="1"/>
</workbook>
</file>

<file path=xl/calcChain.xml><?xml version="1.0" encoding="utf-8"?>
<calcChain xmlns="http://schemas.openxmlformats.org/spreadsheetml/2006/main">
  <c r="B10" i="3" l="1"/>
  <c r="B8" i="3"/>
  <c r="B5" i="3"/>
  <c r="B4" i="3"/>
  <c r="M203" i="2"/>
  <c r="L203" i="2"/>
  <c r="A203" i="2"/>
  <c r="M202" i="2"/>
  <c r="L202" i="2"/>
  <c r="A202" i="2"/>
  <c r="M201" i="2"/>
  <c r="L201" i="2"/>
  <c r="A201" i="2"/>
  <c r="M200" i="2"/>
  <c r="L200" i="2"/>
  <c r="A200" i="2"/>
  <c r="M199" i="2"/>
  <c r="L199" i="2"/>
  <c r="A199" i="2"/>
  <c r="M198" i="2"/>
  <c r="L198" i="2"/>
  <c r="A198" i="2"/>
  <c r="M197" i="2"/>
  <c r="L197" i="2"/>
  <c r="A197" i="2"/>
  <c r="M196" i="2"/>
  <c r="L196" i="2"/>
  <c r="A196" i="2"/>
  <c r="M195" i="2"/>
  <c r="L195" i="2"/>
  <c r="A195" i="2"/>
  <c r="M194" i="2"/>
  <c r="L194" i="2"/>
  <c r="A194" i="2"/>
  <c r="M193" i="2"/>
  <c r="L193" i="2"/>
  <c r="A193" i="2"/>
  <c r="M192" i="2"/>
  <c r="L192" i="2"/>
  <c r="A192" i="2"/>
  <c r="M191" i="2"/>
  <c r="L191" i="2"/>
  <c r="A191" i="2"/>
  <c r="M190" i="2"/>
  <c r="L190" i="2"/>
  <c r="A190" i="2"/>
  <c r="M189" i="2"/>
  <c r="L189" i="2"/>
  <c r="A189" i="2"/>
  <c r="M188" i="2"/>
  <c r="L188" i="2"/>
  <c r="A188" i="2"/>
  <c r="M187" i="2"/>
  <c r="L187" i="2"/>
  <c r="A187" i="2"/>
  <c r="M186" i="2"/>
  <c r="L186" i="2"/>
  <c r="A186" i="2"/>
  <c r="M185" i="2"/>
  <c r="L185" i="2"/>
  <c r="A185" i="2"/>
  <c r="M184" i="2"/>
  <c r="L184" i="2"/>
  <c r="A184" i="2"/>
  <c r="M183" i="2"/>
  <c r="L183" i="2"/>
  <c r="A183" i="2"/>
  <c r="M182" i="2"/>
  <c r="L182" i="2"/>
  <c r="A182" i="2"/>
  <c r="M181" i="2"/>
  <c r="L181" i="2"/>
  <c r="A181" i="2"/>
  <c r="M180" i="2"/>
  <c r="L180" i="2"/>
  <c r="A180" i="2"/>
  <c r="M179" i="2"/>
  <c r="L179" i="2"/>
  <c r="A179" i="2"/>
  <c r="M178" i="2"/>
  <c r="L178" i="2"/>
  <c r="A178" i="2"/>
  <c r="M177" i="2"/>
  <c r="L177" i="2"/>
  <c r="A177" i="2"/>
  <c r="M176" i="2"/>
  <c r="L176" i="2"/>
  <c r="A176" i="2"/>
  <c r="M175" i="2"/>
  <c r="L175" i="2"/>
  <c r="A175" i="2"/>
  <c r="M174" i="2"/>
  <c r="L174" i="2"/>
  <c r="A174" i="2"/>
  <c r="M173" i="2"/>
  <c r="L173" i="2"/>
  <c r="A173" i="2"/>
  <c r="M172" i="2"/>
  <c r="L172" i="2"/>
  <c r="A172" i="2"/>
  <c r="M171" i="2"/>
  <c r="L171" i="2"/>
  <c r="A171" i="2"/>
  <c r="M170" i="2"/>
  <c r="L170" i="2"/>
  <c r="A170" i="2"/>
  <c r="M169" i="2"/>
  <c r="L169" i="2"/>
  <c r="A169" i="2"/>
  <c r="M168" i="2"/>
  <c r="L168" i="2"/>
  <c r="A168" i="2"/>
  <c r="M167" i="2"/>
  <c r="L167" i="2"/>
  <c r="A167" i="2"/>
  <c r="M166" i="2"/>
  <c r="L166" i="2"/>
  <c r="A166" i="2"/>
  <c r="M165" i="2"/>
  <c r="L165" i="2"/>
  <c r="A165" i="2"/>
  <c r="M164" i="2"/>
  <c r="L164" i="2"/>
  <c r="A164" i="2"/>
  <c r="M163" i="2"/>
  <c r="L163" i="2"/>
  <c r="A163" i="2"/>
  <c r="M162" i="2"/>
  <c r="L162" i="2"/>
  <c r="A162" i="2"/>
  <c r="M161" i="2"/>
  <c r="L161" i="2"/>
  <c r="A161" i="2"/>
  <c r="M160" i="2"/>
  <c r="L160" i="2"/>
  <c r="A160" i="2"/>
  <c r="M159" i="2"/>
  <c r="L159" i="2"/>
  <c r="A159" i="2"/>
  <c r="M158" i="2"/>
  <c r="L158" i="2"/>
  <c r="A158" i="2"/>
  <c r="M157" i="2"/>
  <c r="L157" i="2"/>
  <c r="A157" i="2"/>
  <c r="M156" i="2"/>
  <c r="L156" i="2"/>
  <c r="A156" i="2"/>
  <c r="M155" i="2"/>
  <c r="L155" i="2"/>
  <c r="A155" i="2"/>
  <c r="M154" i="2"/>
  <c r="L154" i="2"/>
  <c r="A154" i="2"/>
  <c r="M153" i="2"/>
  <c r="L153" i="2"/>
  <c r="A153" i="2"/>
  <c r="M152" i="2"/>
  <c r="L152" i="2"/>
  <c r="A152" i="2"/>
  <c r="M151" i="2"/>
  <c r="L151" i="2"/>
  <c r="A151" i="2"/>
  <c r="M150" i="2"/>
  <c r="L150" i="2"/>
  <c r="A150" i="2"/>
  <c r="M149" i="2"/>
  <c r="L149" i="2"/>
  <c r="A149" i="2"/>
  <c r="M148" i="2"/>
  <c r="L148" i="2"/>
  <c r="A148" i="2"/>
  <c r="M147" i="2"/>
  <c r="L147" i="2"/>
  <c r="A147" i="2"/>
  <c r="M146" i="2"/>
  <c r="L146" i="2"/>
  <c r="A146" i="2"/>
  <c r="M145" i="2"/>
  <c r="L145" i="2"/>
  <c r="A145" i="2"/>
  <c r="M144" i="2"/>
  <c r="L144" i="2"/>
  <c r="A144" i="2"/>
  <c r="M143" i="2"/>
  <c r="L143" i="2"/>
  <c r="A143" i="2"/>
  <c r="M142" i="2"/>
  <c r="L142" i="2"/>
  <c r="A142" i="2"/>
  <c r="M141" i="2"/>
  <c r="L141" i="2"/>
  <c r="A141" i="2"/>
  <c r="M140" i="2"/>
  <c r="L140" i="2"/>
  <c r="A140" i="2"/>
  <c r="M139" i="2"/>
  <c r="L139" i="2"/>
  <c r="A139" i="2"/>
  <c r="M138" i="2"/>
  <c r="L138" i="2"/>
  <c r="A138" i="2"/>
  <c r="M137" i="2"/>
  <c r="L137" i="2"/>
  <c r="A137" i="2"/>
  <c r="M136" i="2"/>
  <c r="L136" i="2"/>
  <c r="A136" i="2"/>
  <c r="M135" i="2"/>
  <c r="L135" i="2"/>
  <c r="A135" i="2"/>
  <c r="M134" i="2"/>
  <c r="L134" i="2"/>
  <c r="A134" i="2"/>
  <c r="M133" i="2"/>
  <c r="L133" i="2"/>
  <c r="A133" i="2"/>
  <c r="M132" i="2"/>
  <c r="L132" i="2"/>
  <c r="A132" i="2"/>
  <c r="M131" i="2"/>
  <c r="L131" i="2"/>
  <c r="A131" i="2"/>
  <c r="M130" i="2"/>
  <c r="L130" i="2"/>
  <c r="A130" i="2"/>
  <c r="M129" i="2"/>
  <c r="L129" i="2"/>
  <c r="A129" i="2"/>
  <c r="M128" i="2"/>
  <c r="L128" i="2"/>
  <c r="A128" i="2"/>
  <c r="M127" i="2"/>
  <c r="L127" i="2"/>
  <c r="A127" i="2"/>
  <c r="M126" i="2"/>
  <c r="L126" i="2"/>
  <c r="A126" i="2"/>
  <c r="M125" i="2"/>
  <c r="L125" i="2"/>
  <c r="A125" i="2"/>
  <c r="M124" i="2"/>
  <c r="L124" i="2"/>
  <c r="A124" i="2"/>
  <c r="M123" i="2"/>
  <c r="L123" i="2"/>
  <c r="A123" i="2"/>
  <c r="M122" i="2"/>
  <c r="L122" i="2"/>
  <c r="A122" i="2"/>
  <c r="M121" i="2"/>
  <c r="L121" i="2"/>
  <c r="A121" i="2"/>
  <c r="M120" i="2"/>
  <c r="L120" i="2"/>
  <c r="A120" i="2"/>
  <c r="M119" i="2"/>
  <c r="L119" i="2"/>
  <c r="A119" i="2"/>
  <c r="M118" i="2"/>
  <c r="L118" i="2"/>
  <c r="A118" i="2"/>
  <c r="M117" i="2"/>
  <c r="L117" i="2"/>
  <c r="A117" i="2"/>
  <c r="M116" i="2"/>
  <c r="L116" i="2"/>
  <c r="A116" i="2"/>
  <c r="M115" i="2"/>
  <c r="L115" i="2"/>
  <c r="A115" i="2"/>
  <c r="M114" i="2"/>
  <c r="L114" i="2"/>
  <c r="A114" i="2"/>
  <c r="M113" i="2"/>
  <c r="L113" i="2"/>
  <c r="A113" i="2"/>
  <c r="M112" i="2"/>
  <c r="L112" i="2"/>
  <c r="A112" i="2"/>
  <c r="M111" i="2"/>
  <c r="L111" i="2"/>
  <c r="A111" i="2"/>
  <c r="M110" i="2"/>
  <c r="L110" i="2"/>
  <c r="A110" i="2"/>
  <c r="M109" i="2"/>
  <c r="L109" i="2"/>
  <c r="A109" i="2"/>
  <c r="M108" i="2"/>
  <c r="L108" i="2"/>
  <c r="A108" i="2"/>
  <c r="M107" i="2"/>
  <c r="L107" i="2"/>
  <c r="A107" i="2"/>
  <c r="M106" i="2"/>
  <c r="L106" i="2"/>
  <c r="A106" i="2"/>
  <c r="M105" i="2"/>
  <c r="L105" i="2"/>
  <c r="A105" i="2"/>
  <c r="M104" i="2"/>
  <c r="L104" i="2"/>
  <c r="A104" i="2"/>
  <c r="M103" i="2"/>
  <c r="L103" i="2"/>
  <c r="A103" i="2"/>
  <c r="M102" i="2"/>
  <c r="L102" i="2"/>
  <c r="A102" i="2"/>
  <c r="M101" i="2"/>
  <c r="L101" i="2"/>
  <c r="A101" i="2"/>
  <c r="M100" i="2"/>
  <c r="L100" i="2"/>
  <c r="A100" i="2"/>
  <c r="M99" i="2"/>
  <c r="L99" i="2"/>
  <c r="A99" i="2"/>
  <c r="M98" i="2"/>
  <c r="L98" i="2"/>
  <c r="A98" i="2"/>
  <c r="M97" i="2"/>
  <c r="L97" i="2"/>
  <c r="A97" i="2"/>
  <c r="M96" i="2"/>
  <c r="L96" i="2"/>
  <c r="A96" i="2"/>
  <c r="M95" i="2"/>
  <c r="L95" i="2"/>
  <c r="A95" i="2"/>
  <c r="M94" i="2"/>
  <c r="L94" i="2"/>
  <c r="A94" i="2"/>
  <c r="M93" i="2"/>
  <c r="L93" i="2"/>
  <c r="A93" i="2"/>
  <c r="M92" i="2"/>
  <c r="L92" i="2"/>
  <c r="A92" i="2"/>
  <c r="M91" i="2"/>
  <c r="L91" i="2"/>
  <c r="A91" i="2"/>
  <c r="M90" i="2"/>
  <c r="L90" i="2"/>
  <c r="A90" i="2"/>
  <c r="M89" i="2"/>
  <c r="L89" i="2"/>
  <c r="A89" i="2"/>
  <c r="M88" i="2"/>
  <c r="L88" i="2"/>
  <c r="A88" i="2"/>
  <c r="M87" i="2"/>
  <c r="L87" i="2"/>
  <c r="A87" i="2"/>
  <c r="M86" i="2"/>
  <c r="L86" i="2"/>
  <c r="A86" i="2"/>
  <c r="M85" i="2"/>
  <c r="L85" i="2"/>
  <c r="A85" i="2"/>
  <c r="M84" i="2"/>
  <c r="L84" i="2"/>
  <c r="A84" i="2"/>
  <c r="M83" i="2"/>
  <c r="L83" i="2"/>
  <c r="A83" i="2"/>
  <c r="M82" i="2"/>
  <c r="L82" i="2"/>
  <c r="A82" i="2"/>
  <c r="M81" i="2"/>
  <c r="L81" i="2"/>
  <c r="A81" i="2"/>
  <c r="M80" i="2"/>
  <c r="L80" i="2"/>
  <c r="A80" i="2"/>
  <c r="M79" i="2"/>
  <c r="L79" i="2"/>
  <c r="A79" i="2"/>
  <c r="M78" i="2"/>
  <c r="L78" i="2"/>
  <c r="A78" i="2"/>
  <c r="M77" i="2"/>
  <c r="L77" i="2"/>
  <c r="A77" i="2"/>
  <c r="M76" i="2"/>
  <c r="L76" i="2"/>
  <c r="A76" i="2"/>
  <c r="M75" i="2"/>
  <c r="L75" i="2"/>
  <c r="A75" i="2"/>
  <c r="M74" i="2"/>
  <c r="L74" i="2"/>
  <c r="A74" i="2"/>
  <c r="M73" i="2"/>
  <c r="L73" i="2"/>
  <c r="A73" i="2"/>
  <c r="M72" i="2"/>
  <c r="L72" i="2"/>
  <c r="A72" i="2"/>
  <c r="M71" i="2"/>
  <c r="L71" i="2"/>
  <c r="A71" i="2"/>
  <c r="M70" i="2"/>
  <c r="L70" i="2"/>
  <c r="A70" i="2"/>
  <c r="M69" i="2"/>
  <c r="L69" i="2"/>
  <c r="A69" i="2"/>
  <c r="M68" i="2"/>
  <c r="L68" i="2"/>
  <c r="A68" i="2"/>
  <c r="M67" i="2"/>
  <c r="L67" i="2"/>
  <c r="A67" i="2"/>
  <c r="M66" i="2"/>
  <c r="L66" i="2"/>
  <c r="A66" i="2"/>
  <c r="M65" i="2"/>
  <c r="L65" i="2"/>
  <c r="A65" i="2"/>
  <c r="M64" i="2"/>
  <c r="L64" i="2"/>
  <c r="A64" i="2"/>
  <c r="M63" i="2"/>
  <c r="L63" i="2"/>
  <c r="A63" i="2"/>
  <c r="M62" i="2"/>
  <c r="L62" i="2"/>
  <c r="A62" i="2"/>
  <c r="M61" i="2"/>
  <c r="L61" i="2"/>
  <c r="A61" i="2"/>
  <c r="M60" i="2"/>
  <c r="L60" i="2"/>
  <c r="A60" i="2"/>
  <c r="M59" i="2"/>
  <c r="L59" i="2"/>
  <c r="A59" i="2"/>
  <c r="M58" i="2"/>
  <c r="L58" i="2"/>
  <c r="A58" i="2"/>
  <c r="M57" i="2"/>
  <c r="L57" i="2"/>
  <c r="A57" i="2"/>
  <c r="M56" i="2"/>
  <c r="L56" i="2"/>
  <c r="A56" i="2"/>
  <c r="M55" i="2"/>
  <c r="L55" i="2"/>
  <c r="A55" i="2"/>
  <c r="M54" i="2"/>
  <c r="L54" i="2"/>
  <c r="A54" i="2"/>
  <c r="M53" i="2"/>
  <c r="L53" i="2"/>
  <c r="A53" i="2"/>
  <c r="M52" i="2"/>
  <c r="L52" i="2"/>
  <c r="A52" i="2"/>
  <c r="M51" i="2"/>
  <c r="L51" i="2"/>
  <c r="A51" i="2"/>
  <c r="M50" i="2"/>
  <c r="L50" i="2"/>
  <c r="A50" i="2"/>
  <c r="M49" i="2"/>
  <c r="L49" i="2"/>
  <c r="A49" i="2"/>
  <c r="M48" i="2"/>
  <c r="L48" i="2"/>
  <c r="A48" i="2"/>
  <c r="M47" i="2"/>
  <c r="L47" i="2"/>
  <c r="A47" i="2"/>
  <c r="M46" i="2"/>
  <c r="L46" i="2"/>
  <c r="A46" i="2"/>
  <c r="M45" i="2"/>
  <c r="L45" i="2"/>
  <c r="A45" i="2"/>
  <c r="M44" i="2"/>
  <c r="L44" i="2"/>
  <c r="A44" i="2"/>
  <c r="M43" i="2"/>
  <c r="L43" i="2"/>
  <c r="A43" i="2"/>
  <c r="M42" i="2"/>
  <c r="L42" i="2"/>
  <c r="A42" i="2"/>
  <c r="M41" i="2"/>
  <c r="L41" i="2"/>
  <c r="A41" i="2"/>
  <c r="M40" i="2"/>
  <c r="L40" i="2"/>
  <c r="A40" i="2"/>
  <c r="M39" i="2"/>
  <c r="L39" i="2"/>
  <c r="A39" i="2"/>
  <c r="M38" i="2"/>
  <c r="L38" i="2"/>
  <c r="A38" i="2"/>
  <c r="M37" i="2"/>
  <c r="L37" i="2"/>
  <c r="A37" i="2"/>
  <c r="M36" i="2"/>
  <c r="L36" i="2"/>
  <c r="A36" i="2"/>
  <c r="M35" i="2"/>
  <c r="L35" i="2"/>
  <c r="A35" i="2"/>
  <c r="M34" i="2"/>
  <c r="L34" i="2"/>
  <c r="A34" i="2"/>
  <c r="M33" i="2"/>
  <c r="L33" i="2"/>
  <c r="A33" i="2"/>
  <c r="M32" i="2"/>
  <c r="L32" i="2"/>
  <c r="A32" i="2"/>
  <c r="M31" i="2"/>
  <c r="L31" i="2"/>
  <c r="A31" i="2"/>
  <c r="M30" i="2"/>
  <c r="L30" i="2"/>
  <c r="A30" i="2"/>
  <c r="M29" i="2"/>
  <c r="L29" i="2"/>
  <c r="A29" i="2"/>
  <c r="M28" i="2"/>
  <c r="L28" i="2"/>
  <c r="A28" i="2"/>
  <c r="M27" i="2"/>
  <c r="L27" i="2"/>
  <c r="A27" i="2"/>
  <c r="M26" i="2"/>
  <c r="L26" i="2"/>
  <c r="A26" i="2"/>
  <c r="M25" i="2"/>
  <c r="L25" i="2"/>
  <c r="A25" i="2"/>
  <c r="M24" i="2"/>
  <c r="L24" i="2"/>
  <c r="A24" i="2"/>
  <c r="M23" i="2"/>
  <c r="L23" i="2"/>
  <c r="A23" i="2"/>
  <c r="M22" i="2"/>
  <c r="L22" i="2"/>
  <c r="A22" i="2"/>
  <c r="M21" i="2"/>
  <c r="L21" i="2"/>
  <c r="A21" i="2"/>
  <c r="M20" i="2"/>
  <c r="L20" i="2"/>
  <c r="A20" i="2"/>
  <c r="M19" i="2"/>
  <c r="L19" i="2"/>
  <c r="A19" i="2"/>
  <c r="M18" i="2"/>
  <c r="L18" i="2"/>
  <c r="A18" i="2"/>
  <c r="M17" i="2"/>
  <c r="L17" i="2"/>
  <c r="A17" i="2"/>
  <c r="M16" i="2"/>
  <c r="L16" i="2"/>
  <c r="A16" i="2"/>
  <c r="M15" i="2"/>
  <c r="L15" i="2"/>
  <c r="A15" i="2"/>
  <c r="M14" i="2"/>
  <c r="L14" i="2"/>
  <c r="A14" i="2"/>
  <c r="M13" i="2"/>
  <c r="L13" i="2"/>
  <c r="A13" i="2"/>
  <c r="M12" i="2"/>
  <c r="L12" i="2"/>
  <c r="A12" i="2"/>
  <c r="M11" i="2"/>
  <c r="L11" i="2"/>
  <c r="A11" i="2"/>
  <c r="M10" i="2"/>
  <c r="L10" i="2"/>
  <c r="A10" i="2"/>
  <c r="M9" i="2"/>
  <c r="L9" i="2"/>
  <c r="A9" i="2"/>
  <c r="M8" i="2"/>
  <c r="L8" i="2"/>
  <c r="A8" i="2"/>
  <c r="M7" i="2"/>
  <c r="L7" i="2"/>
  <c r="A7" i="2"/>
  <c r="M6" i="2"/>
  <c r="L6" i="2"/>
  <c r="A6" i="2"/>
  <c r="L5" i="2"/>
  <c r="M5" i="2" s="1"/>
  <c r="A5" i="2"/>
  <c r="L4" i="2"/>
  <c r="M4" i="2" s="1"/>
  <c r="A4" i="2"/>
  <c r="B27" i="1"/>
  <c r="B13" i="3" s="1"/>
  <c r="B7" i="3" l="1"/>
  <c r="B9" i="3"/>
  <c r="B6" i="3"/>
</calcChain>
</file>

<file path=xl/comments1.xml><?xml version="1.0" encoding="utf-8"?>
<comments xmlns="http://schemas.openxmlformats.org/spreadsheetml/2006/main">
  <authors>
    <author>Маржа в бетоне</author>
  </authors>
  <commentList>
    <comment ref="B14" authorId="0" shapeId="0">
      <text>
        <r>
          <rPr>
            <sz val="11"/>
            <color theme="1"/>
            <rFont val="Calibri"/>
            <family val="2"/>
            <scheme val="minor"/>
          </rPr>
          <t>Дата принятия заявления, а не дата введения процедуры. Это разные даты, и путаница между ними меняет вывод по каждому акту.</t>
        </r>
      </text>
    </comment>
  </commentList>
</comments>
</file>

<file path=xl/sharedStrings.xml><?xml version="1.0" encoding="utf-8"?>
<sst xmlns="http://schemas.openxmlformats.org/spreadsheetml/2006/main" count="162" uniqueCount="124">
  <si>
    <t>Объект, должник и контрольные даты</t>
  </si>
  <si>
    <t>Внесите сведения из судебного акта и официальной публикации. Жёлтые ячейки предназначены для ввода, расчётные показатели формируются автоматически.</t>
  </si>
  <si>
    <t>Ваш объект и договор</t>
  </si>
  <si>
    <t>Объект</t>
  </si>
  <si>
    <t>Наименование и адрес объекта строительства</t>
  </si>
  <si>
    <t>Договор субподряда № и дата</t>
  </si>
  <si>
    <t>Титульный лист договора</t>
  </si>
  <si>
    <t>Наименование должника (генподрядчика)</t>
  </si>
  <si>
    <t>Полное наименование по ЕГРЮЛ</t>
  </si>
  <si>
    <t>ИНН должника</t>
  </si>
  <si>
    <t>Используйте ИНН для однозначной идентификации должника в публичных источниках.</t>
  </si>
  <si>
    <t>ОГРН должника</t>
  </si>
  <si>
    <t>Выписка ЕГРЮЛ</t>
  </si>
  <si>
    <t>Дело о банкротстве</t>
  </si>
  <si>
    <t>Номер дела о банкротстве</t>
  </si>
  <si>
    <t>Из карточки дела kad.arbitr.ru</t>
  </si>
  <si>
    <t>Арбитражный суд, рассматривающий дело</t>
  </si>
  <si>
    <t>Из судебного акта</t>
  </si>
  <si>
    <t>Дата принятия судом заявления о признании банкротом</t>
  </si>
  <si>
    <t>Ключевая дата для деления требований на реестровые и текущие (ст. 5 Закона о банкротстве). Лист «Реестр документов» сравнивает с ней дату каждого документа</t>
  </si>
  <si>
    <t>Введённая процедура</t>
  </si>
  <si>
    <t>Наблюдение, внешнее управление, конкурсное производство — как названо в судебном акте</t>
  </si>
  <si>
    <t>Дата введения процедуры</t>
  </si>
  <si>
    <t>Дата публикации сведений</t>
  </si>
  <si>
    <t>От неё считается срок заявления требования. Сохраните саму публикацию</t>
  </si>
  <si>
    <t>Источник публикации и ссылка</t>
  </si>
  <si>
    <t>ЕФРСБ (bankrot.fedresurs.ru) либо официальное издание. Укажите номер сообщения или ссылку</t>
  </si>
  <si>
    <t>Определение срока заявления требования</t>
  </si>
  <si>
    <t>Определите применимую процедуру и срок по ст. 71, 100 или 142 Закона № 127-ФЗ; сверьте дату и источник публикации, поставьте контрольную дату.</t>
  </si>
  <si>
    <t>Норма, по которой проверен срок</t>
  </si>
  <si>
    <t>Например: ст. 71 Закона о банкротстве, редакция на дату проверки</t>
  </si>
  <si>
    <t>Дата, до которой требование должно быть заявлено</t>
  </si>
  <si>
    <t>Укажите предельную дату по применимой процедуре и назначьте дату внутреннего контроля до её истечения.</t>
  </si>
  <si>
    <t>Кем и когда проверен срок</t>
  </si>
  <si>
    <t>Фамилия ответственного, дата проверки и ссылка на источник.</t>
  </si>
  <si>
    <t>Проверка</t>
  </si>
  <si>
    <t>Арбитражный управляющий</t>
  </si>
  <si>
    <t>Фамилия, имя, отчество</t>
  </si>
  <si>
    <t>Из публикации сведений</t>
  </si>
  <si>
    <t>Адрес для корреспонденции</t>
  </si>
  <si>
    <t>Адрес для корреспонденции из официальной публикации или судебного акта. Сохраните подтверждение направления.</t>
  </si>
  <si>
    <t>Электронная почта</t>
  </si>
  <si>
    <t>Если указана в публикации</t>
  </si>
  <si>
    <t>Саморегулируемая организация</t>
  </si>
  <si>
    <t>Квалификация требования</t>
  </si>
  <si>
    <t>Сопоставьте даты возникновения обязательств с датой принятия заявления о банкротстве. Квалификацию требования определите по статье 5 Закона № 127-ФЗ и судебным материалам.</t>
  </si>
  <si>
    <t>Контроль перед заполнением</t>
  </si>
  <si>
    <t>Сверьте реестр, расчёт и опубликованные сведения с судебными актами. Заявление направляется в суд отдельно.</t>
  </si>
  <si>
    <t>Хронология: что подписано, когда направлено, чем подтверждается</t>
  </si>
  <si>
    <t>По каждой позиции внесите реквизиты и период. Колонки «Период» и «Проверка» показывают строки для дополнительной сверки.</t>
  </si>
  <si>
    <t>№</t>
  </si>
  <si>
    <t>Тип документа</t>
  </si>
  <si>
    <t>Номер</t>
  </si>
  <si>
    <t>Дата документа</t>
  </si>
  <si>
    <t>Сумма, руб.</t>
  </si>
  <si>
    <t>Подписан обеими сторонами</t>
  </si>
  <si>
    <t>Направлен: дата</t>
  </si>
  <si>
    <t>Способ направления</t>
  </si>
  <si>
    <t>Подтверждение направления</t>
  </si>
  <si>
    <t>Место хранения оригинала</t>
  </si>
  <si>
    <t>Копия в пакет</t>
  </si>
  <si>
    <t>Дата документа / принятие заявления</t>
  </si>
  <si>
    <t>Проверьте строки с замечанием в колонке «Проверка» по первичным документам до составления требования.</t>
  </si>
  <si>
    <t>Итоги комплектования документов</t>
  </si>
  <si>
    <t>Показатели формируются по листу «Реестр документов». Сверьте их с расчётом требования и перечнем приложений.</t>
  </si>
  <si>
    <t>Строк заполнено</t>
  </si>
  <si>
    <t>Каждая строка — один документ</t>
  </si>
  <si>
    <t>Отмечено «копия в пакет»</t>
  </si>
  <si>
    <t>Сверяйте с файлом «Перечень пакета для заявления требования»</t>
  </si>
  <si>
    <t>Сумма по документам до принятия заявления, руб.</t>
  </si>
  <si>
    <t>Группировка по датам документов, а не готовая реестровая часть долга</t>
  </si>
  <si>
    <t>Сумма по документам после принятия заявления, руб.</t>
  </si>
  <si>
    <t>Дата документа сама по себе не определяет текущий платёж. Проверьте возникновение обязательства.</t>
  </si>
  <si>
    <t>Сумма значений документов в пакете, руб.</t>
  </si>
  <si>
    <t>Не размер долга: КС-2 и КС-3 на одни работы по 100 000 дают здесь 200 000. Долг в этом примере 100 000 до оплат. Не складывайте повторные подтверждения.</t>
  </si>
  <si>
    <t>Строк с непустой колонкой «Проверка»</t>
  </si>
  <si>
    <t>Проверьте каждую отмеченную строку и устраните ошибки до подачи заявления.</t>
  </si>
  <si>
    <t>Направлено, но подтверждение не указано</t>
  </si>
  <si>
    <t>По каждой отмеченной строке проверьте реквизиты, даты и подтверждающие документы до подачи заявления.</t>
  </si>
  <si>
    <t>Срок</t>
  </si>
  <si>
    <t>Сопоставление с расчётом требования</t>
  </si>
  <si>
    <t>Основной долг и финансовые санкции рассчитайте раздельно с учётом статьи 137 Закона № 127-ФЗ. Суммы реестра документов используйте для сверки полноты исходных данных.</t>
  </si>
  <si>
    <t>После установления требования контролируйте расчёты по судебным актам, реестру кредиторов и сообщениям управляющего. Фактическое удовлетворение зависит от процедуры и имущества должника.</t>
  </si>
  <si>
    <t>Статья 5 п. 1–2 Закона №127-ФЗ: квалификация зависит от возникновения обязательства, а не только даты КС. Модель не решает вопрос за суд. Основание и процедуру сверяйте с файлами 02, 05, 08, 09.</t>
  </si>
  <si>
    <t>Заявление о включении требования подаётся в арбитражный суд в установленном порядке.</t>
  </si>
  <si>
    <t>Пример: как выглядят заполненные строки</t>
  </si>
  <si>
    <t>Учебный пример показывает заполнение реквизитов и строк реестра. Рабочие сведения внесите по документам своего объекта и должника.</t>
  </si>
  <si>
    <t>Лист «Объект и должник»</t>
  </si>
  <si>
    <t>ООО «Условный генподрядчик»</t>
  </si>
  <si>
    <t>12.02.2026</t>
  </si>
  <si>
    <t>наблюдение</t>
  </si>
  <si>
    <t>05.03.2026</t>
  </si>
  <si>
    <t>ст. 71 Закона о банкротстве, редакция на дату проверки</t>
  </si>
  <si>
    <t>дата, полученная вашей проверкой</t>
  </si>
  <si>
    <t>Иванов И. И., 06.03.2026</t>
  </si>
  <si>
    <t>Предельную дату заявления требования определите по судебному акту, публикации и применимой норме. Зафиксируйте расчёт срока и дату проверки.</t>
  </si>
  <si>
    <t>Лист «Реестр документов»</t>
  </si>
  <si>
    <t>Период</t>
  </si>
  <si>
    <t>1</t>
  </si>
  <si>
    <t>Договор субподряда</t>
  </si>
  <si>
    <t>СП-14</t>
  </si>
  <si>
    <t>11.06.2025</t>
  </si>
  <si>
    <t>да</t>
  </si>
  <si>
    <t>папка «Договоры», оригинал</t>
  </si>
  <si>
    <t>считается</t>
  </si>
  <si>
    <t>2</t>
  </si>
  <si>
    <t>Акт КС-2</t>
  </si>
  <si>
    <t>3</t>
  </si>
  <si>
    <t>31.10.2025</t>
  </si>
  <si>
    <t>1 250 000,00</t>
  </si>
  <si>
    <t>папка объекта</t>
  </si>
  <si>
    <t>Претензия</t>
  </si>
  <si>
    <t>48</t>
  </si>
  <si>
    <t>20.01.2026</t>
  </si>
  <si>
    <t>нет</t>
  </si>
  <si>
    <t>21.01.2026</t>
  </si>
  <si>
    <t>ценное письмо с описью</t>
  </si>
  <si>
    <t>опись, трек 000000000000</t>
  </si>
  <si>
    <t>папка «Переписка»</t>
  </si>
  <si>
    <t>4</t>
  </si>
  <si>
    <t>5</t>
  </si>
  <si>
    <t>28.02.2026</t>
  </si>
  <si>
    <t>410 000,00</t>
  </si>
  <si>
    <t>Для документа после принятия заявления отдельно проверьте признаки текущего платежа и основание обязательства.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</si>
</sst>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0" x14ac:knownFonts="1">
    <font>
      <sz val="11"/>
      <color theme="1"/>
      <name val="Calibri"/>
      <family val="2"/>
      <scheme val="minor"/>
    </font>
    <font>
      <b/>
      <sz val="14"/>
      <name val="Times New Roman"/>
    </font>
    <font>
      <i/>
      <sz val="10"/>
      <color rgb="FF595959"/>
      <name val="Times New Roman"/>
    </font>
    <font>
      <b/>
      <sz val="11"/>
      <name val="Times New Roman"/>
    </font>
    <font>
      <sz val="11"/>
      <color rgb="FF0000FF"/>
      <name val="Times New Roman"/>
    </font>
    <font>
      <sz val="10"/>
      <color rgb="FFC00000"/>
      <name val="Times New Roman"/>
    </font>
    <font>
      <b/>
      <sz val="11"/>
      <color rgb="FFC00000"/>
      <name val="Times New Roman"/>
    </font>
    <font>
      <sz val="11"/>
      <name val="Times New Roman"/>
    </font>
    <font>
      <sz val="11"/>
      <color rgb="FF008000"/>
      <name val="Times New Roman"/>
    </font>
    <font>
      <i/>
      <sz val="10"/>
      <color rgb="FFC00000"/>
      <name val="Times New Roman"/>
    </font>
  </fonts>
  <fills count="5">
    <fill>
      <patternFill patternType="none"/>
    </fill>
    <fill>
      <patternFill patternType="gray125"/>
    </fill>
    <fill>
      <patternFill patternType="solid">
        <fgColor rgb="FFFFF2CC"/>
      </patternFill>
    </fill>
    <fill>
      <patternFill patternType="solid">
        <fgColor rgb="FFFCE4E4"/>
      </patternFill>
    </fill>
    <fill>
      <patternFill patternType="solid">
        <fgColor rgb="FFE7E6E6"/>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2" fillId="0" borderId="0" xfId="0" applyFont="1" applyAlignment="1">
      <alignment vertical="top" wrapText="1"/>
    </xf>
    <xf numFmtId="164" fontId="4" fillId="2" borderId="1" xfId="0" applyNumberFormat="1" applyFont="1" applyFill="1" applyBorder="1"/>
    <xf numFmtId="0" fontId="3" fillId="4" borderId="1" xfId="0" applyFont="1" applyFill="1" applyBorder="1" applyAlignment="1">
      <alignment vertical="center" wrapText="1"/>
    </xf>
    <xf numFmtId="0" fontId="7" fillId="0" borderId="1" xfId="0" applyFont="1" applyBorder="1"/>
    <xf numFmtId="4" fontId="4" fillId="2" borderId="1" xfId="0" applyNumberFormat="1" applyFont="1" applyFill="1" applyBorder="1"/>
    <xf numFmtId="0" fontId="5" fillId="0" borderId="1" xfId="0" applyFont="1" applyBorder="1"/>
    <xf numFmtId="0" fontId="3" fillId="0" borderId="1" xfId="0" applyFont="1" applyBorder="1"/>
    <xf numFmtId="1" fontId="8" fillId="0" borderId="1" xfId="0" applyNumberFormat="1" applyFont="1" applyBorder="1"/>
    <xf numFmtId="4" fontId="8" fillId="0" borderId="1" xfId="0" applyNumberFormat="1" applyFont="1" applyBorder="1"/>
    <xf numFmtId="0" fontId="7" fillId="0" borderId="0" xfId="0" applyFont="1"/>
    <xf numFmtId="0" fontId="4" fillId="0" borderId="1" xfId="0" applyFont="1" applyBorder="1" applyAlignment="1">
      <alignment vertical="top" wrapText="1"/>
    </xf>
    <xf numFmtId="0" fontId="2" fillId="0" borderId="1" xfId="0" applyFont="1" applyBorder="1" applyAlignment="1">
      <alignment vertical="top" wrapText="1"/>
    </xf>
    <xf numFmtId="0" fontId="2" fillId="0" borderId="0" xfId="0" applyFont="1" applyAlignment="1">
      <alignment vertical="top" wrapText="1"/>
    </xf>
    <xf numFmtId="0" fontId="0" fillId="0" borderId="0" xfId="0"/>
    <xf numFmtId="0" fontId="5" fillId="0" borderId="0" xfId="0" applyFont="1" applyAlignment="1">
      <alignment vertical="top" wrapText="1"/>
    </xf>
    <xf numFmtId="0" fontId="6" fillId="3" borderId="1" xfId="0" applyFont="1" applyFill="1" applyBorder="1"/>
    <xf numFmtId="0" fontId="0" fillId="0" borderId="2" xfId="0" applyBorder="1"/>
    <xf numFmtId="0" fontId="2" fillId="0" borderId="0" xfId="0" applyFont="1"/>
    <xf numFmtId="0" fontId="4" fillId="0" borderId="0" xfId="0" applyFont="1"/>
    <xf numFmtId="0" fontId="9" fillId="0" borderId="0" xfId="0" applyFo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C39"/>
  <sheetViews>
    <sheetView tabSelected="1" workbookViewId="0"/>
  </sheetViews>
  <sheetFormatPr defaultRowHeight="15" x14ac:dyDescent="0.25"/>
  <cols>
    <col min="1" max="1" width="46" customWidth="1"/>
    <col min="2" max="2" width="28" customWidth="1"/>
    <col min="3" max="3" width="72" customWidth="1"/>
  </cols>
  <sheetData>
    <row r="1" spans="1:3" ht="16.899999999999999" customHeight="1" x14ac:dyDescent="0.3">
      <c r="A1" s="1" t="s">
        <v>0</v>
      </c>
    </row>
    <row r="2" spans="1:3" x14ac:dyDescent="0.25">
      <c r="A2" s="22" t="s">
        <v>1</v>
      </c>
      <c r="B2" s="18"/>
      <c r="C2" s="18"/>
    </row>
    <row r="4" spans="1:3" x14ac:dyDescent="0.25">
      <c r="A4" s="3" t="s">
        <v>2</v>
      </c>
    </row>
    <row r="5" spans="1:3" x14ac:dyDescent="0.25">
      <c r="A5" s="3" t="s">
        <v>3</v>
      </c>
      <c r="B5" s="4"/>
      <c r="C5" s="5" t="s">
        <v>4</v>
      </c>
    </row>
    <row r="6" spans="1:3" x14ac:dyDescent="0.25">
      <c r="A6" s="3" t="s">
        <v>5</v>
      </c>
      <c r="B6" s="4"/>
      <c r="C6" s="5" t="s">
        <v>6</v>
      </c>
    </row>
    <row r="7" spans="1:3" x14ac:dyDescent="0.25">
      <c r="A7" s="3" t="s">
        <v>7</v>
      </c>
      <c r="B7" s="4"/>
      <c r="C7" s="5" t="s">
        <v>8</v>
      </c>
    </row>
    <row r="8" spans="1:3" ht="25.5" x14ac:dyDescent="0.25">
      <c r="A8" s="3" t="s">
        <v>9</v>
      </c>
      <c r="B8" s="4"/>
      <c r="C8" s="5" t="s">
        <v>10</v>
      </c>
    </row>
    <row r="9" spans="1:3" x14ac:dyDescent="0.25">
      <c r="A9" s="3" t="s">
        <v>11</v>
      </c>
      <c r="B9" s="4"/>
      <c r="C9" s="5" t="s">
        <v>12</v>
      </c>
    </row>
    <row r="11" spans="1:3" x14ac:dyDescent="0.25">
      <c r="A11" s="3" t="s">
        <v>13</v>
      </c>
    </row>
    <row r="12" spans="1:3" x14ac:dyDescent="0.25">
      <c r="A12" s="3" t="s">
        <v>14</v>
      </c>
      <c r="B12" s="4"/>
      <c r="C12" s="5" t="s">
        <v>15</v>
      </c>
    </row>
    <row r="13" spans="1:3" x14ac:dyDescent="0.25">
      <c r="A13" s="3" t="s">
        <v>16</v>
      </c>
      <c r="B13" s="4"/>
      <c r="C13" s="5" t="s">
        <v>17</v>
      </c>
    </row>
    <row r="14" spans="1:3" ht="38.25" x14ac:dyDescent="0.25">
      <c r="A14" s="3" t="s">
        <v>18</v>
      </c>
      <c r="B14" s="6"/>
      <c r="C14" s="5" t="s">
        <v>19</v>
      </c>
    </row>
    <row r="15" spans="1:3" ht="25.5" x14ac:dyDescent="0.25">
      <c r="A15" s="3" t="s">
        <v>20</v>
      </c>
      <c r="B15" s="4"/>
      <c r="C15" s="5" t="s">
        <v>21</v>
      </c>
    </row>
    <row r="16" spans="1:3" x14ac:dyDescent="0.25">
      <c r="A16" s="3" t="s">
        <v>22</v>
      </c>
      <c r="B16" s="6"/>
      <c r="C16" s="5" t="s">
        <v>17</v>
      </c>
    </row>
    <row r="17" spans="1:3" x14ac:dyDescent="0.25">
      <c r="A17" s="3" t="s">
        <v>23</v>
      </c>
      <c r="B17" s="6"/>
      <c r="C17" s="5" t="s">
        <v>24</v>
      </c>
    </row>
    <row r="18" spans="1:3" ht="25.5" x14ac:dyDescent="0.25">
      <c r="A18" s="3" t="s">
        <v>25</v>
      </c>
      <c r="B18" s="4"/>
      <c r="C18" s="5" t="s">
        <v>26</v>
      </c>
    </row>
    <row r="20" spans="1:3" x14ac:dyDescent="0.25">
      <c r="A20" s="3" t="s">
        <v>27</v>
      </c>
    </row>
    <row r="21" spans="1:3" ht="78" customHeight="1" x14ac:dyDescent="0.25">
      <c r="A21" s="19" t="s">
        <v>28</v>
      </c>
      <c r="B21" s="18"/>
      <c r="C21" s="18"/>
    </row>
    <row r="23" spans="1:3" x14ac:dyDescent="0.25">
      <c r="A23" s="3" t="s">
        <v>29</v>
      </c>
      <c r="B23" s="4"/>
      <c r="C23" s="5" t="s">
        <v>30</v>
      </c>
    </row>
    <row r="24" spans="1:3" ht="24" customHeight="1" x14ac:dyDescent="0.25">
      <c r="A24" s="3" t="s">
        <v>31</v>
      </c>
      <c r="B24" s="6"/>
      <c r="C24" s="5" t="s">
        <v>32</v>
      </c>
    </row>
    <row r="25" spans="1:3" x14ac:dyDescent="0.25">
      <c r="A25" s="3" t="s">
        <v>33</v>
      </c>
      <c r="B25" s="4"/>
      <c r="C25" s="5" t="s">
        <v>34</v>
      </c>
    </row>
    <row r="27" spans="1:3" x14ac:dyDescent="0.25">
      <c r="A27" s="3" t="s">
        <v>35</v>
      </c>
      <c r="B27" s="20" t="str">
        <f ca="1">IF($B$24="","срок не проверен — заполните строки 23–25",IF($B$25="","дата записана, но не указано, кем и когда проверена",IF($B$24&lt;TODAY(),"Указанная контрольная дата истекла: проверьте срок и процессуальный порядок по файлу 09.","Дней до контрольной даты: "&amp;($B$24-TODAY()))))</f>
        <v>срок не проверен — заполните строки 23–25</v>
      </c>
      <c r="C27" s="21"/>
    </row>
    <row r="29" spans="1:3" x14ac:dyDescent="0.25">
      <c r="A29" s="3" t="s">
        <v>36</v>
      </c>
    </row>
    <row r="30" spans="1:3" x14ac:dyDescent="0.25">
      <c r="A30" s="3" t="s">
        <v>37</v>
      </c>
      <c r="B30" s="4"/>
      <c r="C30" s="5" t="s">
        <v>38</v>
      </c>
    </row>
    <row r="31" spans="1:3" ht="24" customHeight="1" x14ac:dyDescent="0.25">
      <c r="A31" s="3" t="s">
        <v>39</v>
      </c>
      <c r="B31" s="4"/>
      <c r="C31" s="5" t="s">
        <v>40</v>
      </c>
    </row>
    <row r="32" spans="1:3" x14ac:dyDescent="0.25">
      <c r="A32" s="3" t="s">
        <v>41</v>
      </c>
      <c r="B32" s="4"/>
      <c r="C32" s="5" t="s">
        <v>42</v>
      </c>
    </row>
    <row r="33" spans="1:3" x14ac:dyDescent="0.25">
      <c r="A33" s="3" t="s">
        <v>43</v>
      </c>
      <c r="B33" s="4"/>
      <c r="C33" s="5" t="s">
        <v>38</v>
      </c>
    </row>
    <row r="35" spans="1:3" x14ac:dyDescent="0.25">
      <c r="A35" s="3" t="s">
        <v>44</v>
      </c>
    </row>
    <row r="36" spans="1:3" ht="60" customHeight="1" x14ac:dyDescent="0.25">
      <c r="A36" s="17" t="s">
        <v>45</v>
      </c>
      <c r="B36" s="18"/>
      <c r="C36" s="18"/>
    </row>
    <row r="38" spans="1:3" x14ac:dyDescent="0.25">
      <c r="A38" s="3" t="s">
        <v>46</v>
      </c>
    </row>
    <row r="39" spans="1:3" ht="90" customHeight="1" x14ac:dyDescent="0.25">
      <c r="A39" s="17" t="s">
        <v>47</v>
      </c>
      <c r="B39" s="18"/>
      <c r="C39" s="18"/>
    </row>
  </sheetData>
  <mergeCells count="5">
    <mergeCell ref="A36:C36"/>
    <mergeCell ref="A21:C21"/>
    <mergeCell ref="A39:C39"/>
    <mergeCell ref="B27:C27"/>
    <mergeCell ref="A2:C2"/>
  </mergeCells>
  <pageMargins left="0.75" right="0.75" top="1" bottom="1" header="0.5" footer="0.5"/>
  <pageSetup paperSize="9" scale="89"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5"/>
  <sheetViews>
    <sheetView workbookViewId="0">
      <pane ySplit="3" topLeftCell="A4" activePane="bottomLeft" state="frozen"/>
      <selection pane="bottomLeft"/>
    </sheetView>
  </sheetViews>
  <sheetFormatPr defaultRowHeight="15" x14ac:dyDescent="0.25"/>
  <cols>
    <col min="1" max="1" width="5" customWidth="1"/>
    <col min="2" max="2" width="30" customWidth="1"/>
    <col min="3" max="3" width="14" customWidth="1"/>
    <col min="4" max="4" width="15" customWidth="1"/>
    <col min="5" max="5" width="16" customWidth="1"/>
    <col min="6" max="7" width="14" customWidth="1"/>
    <col min="8" max="8" width="18" customWidth="1"/>
    <col min="9" max="9" width="24" customWidth="1"/>
    <col min="10" max="10" width="22" customWidth="1"/>
    <col min="11" max="11" width="12" customWidth="1"/>
    <col min="12" max="12" width="22" customWidth="1"/>
    <col min="13" max="13" width="44" customWidth="1"/>
  </cols>
  <sheetData>
    <row r="1" spans="1:13" ht="18.75" x14ac:dyDescent="0.3">
      <c r="A1" s="1" t="s">
        <v>48</v>
      </c>
    </row>
    <row r="2" spans="1:13" x14ac:dyDescent="0.25">
      <c r="A2" s="22" t="s">
        <v>49</v>
      </c>
      <c r="B2" s="18"/>
      <c r="C2" s="18"/>
      <c r="D2" s="18"/>
      <c r="E2" s="18"/>
      <c r="F2" s="18"/>
      <c r="G2" s="18"/>
      <c r="H2" s="18"/>
      <c r="I2" s="18"/>
      <c r="J2" s="18"/>
      <c r="K2" s="18"/>
      <c r="L2" s="18"/>
      <c r="M2" s="18"/>
    </row>
    <row r="3" spans="1:13" ht="26.45" customHeight="1" x14ac:dyDescent="0.25">
      <c r="A3" s="7" t="s">
        <v>50</v>
      </c>
      <c r="B3" s="7" t="s">
        <v>51</v>
      </c>
      <c r="C3" s="7" t="s">
        <v>52</v>
      </c>
      <c r="D3" s="7" t="s">
        <v>53</v>
      </c>
      <c r="E3" s="7" t="s">
        <v>54</v>
      </c>
      <c r="F3" s="7" t="s">
        <v>55</v>
      </c>
      <c r="G3" s="7" t="s">
        <v>56</v>
      </c>
      <c r="H3" s="7" t="s">
        <v>57</v>
      </c>
      <c r="I3" s="7" t="s">
        <v>58</v>
      </c>
      <c r="J3" s="7" t="s">
        <v>59</v>
      </c>
      <c r="K3" s="7" t="s">
        <v>60</v>
      </c>
      <c r="L3" s="7" t="s">
        <v>61</v>
      </c>
      <c r="M3" s="7" t="s">
        <v>35</v>
      </c>
    </row>
    <row r="4" spans="1:13" x14ac:dyDescent="0.25">
      <c r="A4" s="8" t="str">
        <f t="shared" ref="A4:A35" si="0">IF($B4="","",ROW()-3)</f>
        <v/>
      </c>
      <c r="B4" s="4"/>
      <c r="C4" s="4"/>
      <c r="D4" s="6"/>
      <c r="E4" s="9"/>
      <c r="F4" s="4"/>
      <c r="G4" s="6"/>
      <c r="H4" s="4"/>
      <c r="I4" s="4"/>
      <c r="J4" s="4"/>
      <c r="K4" s="4"/>
      <c r="L4" s="8" t="str">
        <f>IF($D4="","",IF('Объект и должник'!$B$14="","дата принятия заявления не заполнена",IF($D4&lt;'Объект и должник'!$B$14,"до принятия заявления","после принятия заявления")))</f>
        <v/>
      </c>
      <c r="M4" s="10" t="str">
        <f t="shared" ref="M4:M35" si="1">IF($B4="",IF(COUNTA($C4:$K4)&gt;0,"НЕ ЗАВЕРШЕНО: укажите тип документа",""),IF(IFERROR(OR($C4="",NOT(ISNUMBER($D4)),$D4&lt;=0,$D4&lt;&gt;INT($D4),AND($K4&lt;&gt;"да",$K4&lt;&gt;"нет")),TRUE),"НЕ ЗАВЕРШЕНО: реквизиты, дата или включение копии",IF(AND($G4&lt;&gt;"",OR(NOT(ISNUMBER($G4)),$H4="",$I4="")),"НЕ ЗАВЕРШЕНО: направление и подтверждение",IF($B4="","",IF(AND($E4&gt;0,LOWER($F4)&lt;&gt;"да"),"Акт не подписан обеими сторонами: проверьте подтверждения выполнения и сдачи.",IF(AND($G4&lt;&gt;"",$I4=""),"направлено, но подтверждение направления не указано",IF($K4="","Отметьте включение копии в перечень приложений.",IF($L4="после принятия заявления","Проверьте признаки текущего платежа по статье 5 Закона № 127-ФЗ.",""))))))))</f>
        <v/>
      </c>
    </row>
    <row r="5" spans="1:13" x14ac:dyDescent="0.25">
      <c r="A5" s="8" t="str">
        <f t="shared" si="0"/>
        <v/>
      </c>
      <c r="B5" s="4"/>
      <c r="C5" s="4"/>
      <c r="D5" s="6"/>
      <c r="E5" s="9"/>
      <c r="F5" s="4"/>
      <c r="G5" s="6"/>
      <c r="H5" s="4"/>
      <c r="I5" s="4"/>
      <c r="J5" s="4"/>
      <c r="K5" s="4"/>
      <c r="L5" s="8" t="str">
        <f>IF($D5="","",IF('Объект и должник'!$B$14="","дата принятия заявления не заполнена",IF($D5&lt;'Объект и должник'!$B$14,"до принятия заявления","после принятия заявления")))</f>
        <v/>
      </c>
      <c r="M5" s="10" t="str">
        <f t="shared" si="1"/>
        <v/>
      </c>
    </row>
    <row r="6" spans="1:13" x14ac:dyDescent="0.25">
      <c r="A6" s="8" t="str">
        <f t="shared" si="0"/>
        <v/>
      </c>
      <c r="B6" s="4"/>
      <c r="C6" s="4"/>
      <c r="D6" s="6"/>
      <c r="E6" s="9"/>
      <c r="F6" s="4"/>
      <c r="G6" s="6"/>
      <c r="H6" s="4"/>
      <c r="I6" s="4"/>
      <c r="J6" s="4"/>
      <c r="K6" s="4"/>
      <c r="L6" s="8" t="str">
        <f>IF($D6="","",IF('Объект и должник'!$B$14="","дата принятия заявления не заполнена",IF($D6&lt;'Объект и должник'!$B$14,"до принятия заявления","после принятия заявления")))</f>
        <v/>
      </c>
      <c r="M6" s="10" t="str">
        <f t="shared" si="1"/>
        <v/>
      </c>
    </row>
    <row r="7" spans="1:13" x14ac:dyDescent="0.25">
      <c r="A7" s="8" t="str">
        <f t="shared" si="0"/>
        <v/>
      </c>
      <c r="B7" s="4"/>
      <c r="C7" s="4"/>
      <c r="D7" s="6"/>
      <c r="E7" s="9"/>
      <c r="F7" s="4"/>
      <c r="G7" s="6"/>
      <c r="H7" s="4"/>
      <c r="I7" s="4"/>
      <c r="J7" s="4"/>
      <c r="K7" s="4"/>
      <c r="L7" s="8" t="str">
        <f>IF($D7="","",IF('Объект и должник'!$B$14="","дата принятия заявления не заполнена",IF($D7&lt;'Объект и должник'!$B$14,"до принятия заявления","после принятия заявления")))</f>
        <v/>
      </c>
      <c r="M7" s="10" t="str">
        <f t="shared" si="1"/>
        <v/>
      </c>
    </row>
    <row r="8" spans="1:13" x14ac:dyDescent="0.25">
      <c r="A8" s="8" t="str">
        <f t="shared" si="0"/>
        <v/>
      </c>
      <c r="B8" s="4"/>
      <c r="C8" s="4"/>
      <c r="D8" s="6"/>
      <c r="E8" s="9"/>
      <c r="F8" s="4"/>
      <c r="G8" s="6"/>
      <c r="H8" s="4"/>
      <c r="I8" s="4"/>
      <c r="J8" s="4"/>
      <c r="K8" s="4"/>
      <c r="L8" s="8" t="str">
        <f>IF($D8="","",IF('Объект и должник'!$B$14="","дата принятия заявления не заполнена",IF($D8&lt;'Объект и должник'!$B$14,"до принятия заявления","после принятия заявления")))</f>
        <v/>
      </c>
      <c r="M8" s="10" t="str">
        <f t="shared" si="1"/>
        <v/>
      </c>
    </row>
    <row r="9" spans="1:13" x14ac:dyDescent="0.25">
      <c r="A9" s="8" t="str">
        <f t="shared" si="0"/>
        <v/>
      </c>
      <c r="B9" s="4"/>
      <c r="C9" s="4"/>
      <c r="D9" s="6"/>
      <c r="E9" s="9"/>
      <c r="F9" s="4"/>
      <c r="G9" s="6"/>
      <c r="H9" s="4"/>
      <c r="I9" s="4"/>
      <c r="J9" s="4"/>
      <c r="K9" s="4"/>
      <c r="L9" s="8" t="str">
        <f>IF($D9="","",IF('Объект и должник'!$B$14="","дата принятия заявления не заполнена",IF($D9&lt;'Объект и должник'!$B$14,"до принятия заявления","после принятия заявления")))</f>
        <v/>
      </c>
      <c r="M9" s="10" t="str">
        <f t="shared" si="1"/>
        <v/>
      </c>
    </row>
    <row r="10" spans="1:13" x14ac:dyDescent="0.25">
      <c r="A10" s="8" t="str">
        <f t="shared" si="0"/>
        <v/>
      </c>
      <c r="B10" s="4"/>
      <c r="C10" s="4"/>
      <c r="D10" s="6"/>
      <c r="E10" s="9"/>
      <c r="F10" s="4"/>
      <c r="G10" s="6"/>
      <c r="H10" s="4"/>
      <c r="I10" s="4"/>
      <c r="J10" s="4"/>
      <c r="K10" s="4"/>
      <c r="L10" s="8" t="str">
        <f>IF($D10="","",IF('Объект и должник'!$B$14="","дата принятия заявления не заполнена",IF($D10&lt;'Объект и должник'!$B$14,"до принятия заявления","после принятия заявления")))</f>
        <v/>
      </c>
      <c r="M10" s="10" t="str">
        <f t="shared" si="1"/>
        <v/>
      </c>
    </row>
    <row r="11" spans="1:13" x14ac:dyDescent="0.25">
      <c r="A11" s="8" t="str">
        <f t="shared" si="0"/>
        <v/>
      </c>
      <c r="B11" s="4"/>
      <c r="C11" s="4"/>
      <c r="D11" s="6"/>
      <c r="E11" s="9"/>
      <c r="F11" s="4"/>
      <c r="G11" s="6"/>
      <c r="H11" s="4"/>
      <c r="I11" s="4"/>
      <c r="J11" s="4"/>
      <c r="K11" s="4"/>
      <c r="L11" s="8" t="str">
        <f>IF($D11="","",IF('Объект и должник'!$B$14="","дата принятия заявления не заполнена",IF($D11&lt;'Объект и должник'!$B$14,"до принятия заявления","после принятия заявления")))</f>
        <v/>
      </c>
      <c r="M11" s="10" t="str">
        <f t="shared" si="1"/>
        <v/>
      </c>
    </row>
    <row r="12" spans="1:13" x14ac:dyDescent="0.25">
      <c r="A12" s="8" t="str">
        <f t="shared" si="0"/>
        <v/>
      </c>
      <c r="B12" s="4"/>
      <c r="C12" s="4"/>
      <c r="D12" s="6"/>
      <c r="E12" s="9"/>
      <c r="F12" s="4"/>
      <c r="G12" s="6"/>
      <c r="H12" s="4"/>
      <c r="I12" s="4"/>
      <c r="J12" s="4"/>
      <c r="K12" s="4"/>
      <c r="L12" s="8" t="str">
        <f>IF($D12="","",IF('Объект и должник'!$B$14="","дата принятия заявления не заполнена",IF($D12&lt;'Объект и должник'!$B$14,"до принятия заявления","после принятия заявления")))</f>
        <v/>
      </c>
      <c r="M12" s="10" t="str">
        <f t="shared" si="1"/>
        <v/>
      </c>
    </row>
    <row r="13" spans="1:13" x14ac:dyDescent="0.25">
      <c r="A13" s="8" t="str">
        <f t="shared" si="0"/>
        <v/>
      </c>
      <c r="B13" s="4"/>
      <c r="C13" s="4"/>
      <c r="D13" s="6"/>
      <c r="E13" s="9"/>
      <c r="F13" s="4"/>
      <c r="G13" s="6"/>
      <c r="H13" s="4"/>
      <c r="I13" s="4"/>
      <c r="J13" s="4"/>
      <c r="K13" s="4"/>
      <c r="L13" s="8" t="str">
        <f>IF($D13="","",IF('Объект и должник'!$B$14="","дата принятия заявления не заполнена",IF($D13&lt;'Объект и должник'!$B$14,"до принятия заявления","после принятия заявления")))</f>
        <v/>
      </c>
      <c r="M13" s="10" t="str">
        <f t="shared" si="1"/>
        <v/>
      </c>
    </row>
    <row r="14" spans="1:13" x14ac:dyDescent="0.25">
      <c r="A14" s="8" t="str">
        <f t="shared" si="0"/>
        <v/>
      </c>
      <c r="B14" s="4"/>
      <c r="C14" s="4"/>
      <c r="D14" s="6"/>
      <c r="E14" s="9"/>
      <c r="F14" s="4"/>
      <c r="G14" s="6"/>
      <c r="H14" s="4"/>
      <c r="I14" s="4"/>
      <c r="J14" s="4"/>
      <c r="K14" s="4"/>
      <c r="L14" s="8" t="str">
        <f>IF($D14="","",IF('Объект и должник'!$B$14="","дата принятия заявления не заполнена",IF($D14&lt;'Объект и должник'!$B$14,"до принятия заявления","после принятия заявления")))</f>
        <v/>
      </c>
      <c r="M14" s="10" t="str">
        <f t="shared" si="1"/>
        <v/>
      </c>
    </row>
    <row r="15" spans="1:13" x14ac:dyDescent="0.25">
      <c r="A15" s="8" t="str">
        <f t="shared" si="0"/>
        <v/>
      </c>
      <c r="B15" s="4"/>
      <c r="C15" s="4"/>
      <c r="D15" s="6"/>
      <c r="E15" s="9"/>
      <c r="F15" s="4"/>
      <c r="G15" s="6"/>
      <c r="H15" s="4"/>
      <c r="I15" s="4"/>
      <c r="J15" s="4"/>
      <c r="K15" s="4"/>
      <c r="L15" s="8" t="str">
        <f>IF($D15="","",IF('Объект и должник'!$B$14="","дата принятия заявления не заполнена",IF($D15&lt;'Объект и должник'!$B$14,"до принятия заявления","после принятия заявления")))</f>
        <v/>
      </c>
      <c r="M15" s="10" t="str">
        <f t="shared" si="1"/>
        <v/>
      </c>
    </row>
    <row r="16" spans="1:13" x14ac:dyDescent="0.25">
      <c r="A16" s="8" t="str">
        <f t="shared" si="0"/>
        <v/>
      </c>
      <c r="B16" s="4"/>
      <c r="C16" s="4"/>
      <c r="D16" s="6"/>
      <c r="E16" s="9"/>
      <c r="F16" s="4"/>
      <c r="G16" s="6"/>
      <c r="H16" s="4"/>
      <c r="I16" s="4"/>
      <c r="J16" s="4"/>
      <c r="K16" s="4"/>
      <c r="L16" s="8" t="str">
        <f>IF($D16="","",IF('Объект и должник'!$B$14="","дата принятия заявления не заполнена",IF($D16&lt;'Объект и должник'!$B$14,"до принятия заявления","после принятия заявления")))</f>
        <v/>
      </c>
      <c r="M16" s="10" t="str">
        <f t="shared" si="1"/>
        <v/>
      </c>
    </row>
    <row r="17" spans="1:13" x14ac:dyDescent="0.25">
      <c r="A17" s="8" t="str">
        <f t="shared" si="0"/>
        <v/>
      </c>
      <c r="B17" s="4"/>
      <c r="C17" s="4"/>
      <c r="D17" s="6"/>
      <c r="E17" s="9"/>
      <c r="F17" s="4"/>
      <c r="G17" s="6"/>
      <c r="H17" s="4"/>
      <c r="I17" s="4"/>
      <c r="J17" s="4"/>
      <c r="K17" s="4"/>
      <c r="L17" s="8" t="str">
        <f>IF($D17="","",IF('Объект и должник'!$B$14="","дата принятия заявления не заполнена",IF($D17&lt;'Объект и должник'!$B$14,"до принятия заявления","после принятия заявления")))</f>
        <v/>
      </c>
      <c r="M17" s="10" t="str">
        <f t="shared" si="1"/>
        <v/>
      </c>
    </row>
    <row r="18" spans="1:13" x14ac:dyDescent="0.25">
      <c r="A18" s="8" t="str">
        <f t="shared" si="0"/>
        <v/>
      </c>
      <c r="B18" s="4"/>
      <c r="C18" s="4"/>
      <c r="D18" s="6"/>
      <c r="E18" s="9"/>
      <c r="F18" s="4"/>
      <c r="G18" s="6"/>
      <c r="H18" s="4"/>
      <c r="I18" s="4"/>
      <c r="J18" s="4"/>
      <c r="K18" s="4"/>
      <c r="L18" s="8" t="str">
        <f>IF($D18="","",IF('Объект и должник'!$B$14="","дата принятия заявления не заполнена",IF($D18&lt;'Объект и должник'!$B$14,"до принятия заявления","после принятия заявления")))</f>
        <v/>
      </c>
      <c r="M18" s="10" t="str">
        <f t="shared" si="1"/>
        <v/>
      </c>
    </row>
    <row r="19" spans="1:13" x14ac:dyDescent="0.25">
      <c r="A19" s="8" t="str">
        <f t="shared" si="0"/>
        <v/>
      </c>
      <c r="B19" s="4"/>
      <c r="C19" s="4"/>
      <c r="D19" s="6"/>
      <c r="E19" s="9"/>
      <c r="F19" s="4"/>
      <c r="G19" s="6"/>
      <c r="H19" s="4"/>
      <c r="I19" s="4"/>
      <c r="J19" s="4"/>
      <c r="K19" s="4"/>
      <c r="L19" s="8" t="str">
        <f>IF($D19="","",IF('Объект и должник'!$B$14="","дата принятия заявления не заполнена",IF($D19&lt;'Объект и должник'!$B$14,"до принятия заявления","после принятия заявления")))</f>
        <v/>
      </c>
      <c r="M19" s="10" t="str">
        <f t="shared" si="1"/>
        <v/>
      </c>
    </row>
    <row r="20" spans="1:13" x14ac:dyDescent="0.25">
      <c r="A20" s="8" t="str">
        <f t="shared" si="0"/>
        <v/>
      </c>
      <c r="B20" s="4"/>
      <c r="C20" s="4"/>
      <c r="D20" s="6"/>
      <c r="E20" s="9"/>
      <c r="F20" s="4"/>
      <c r="G20" s="6"/>
      <c r="H20" s="4"/>
      <c r="I20" s="4"/>
      <c r="J20" s="4"/>
      <c r="K20" s="4"/>
      <c r="L20" s="8" t="str">
        <f>IF($D20="","",IF('Объект и должник'!$B$14="","дата принятия заявления не заполнена",IF($D20&lt;'Объект и должник'!$B$14,"до принятия заявления","после принятия заявления")))</f>
        <v/>
      </c>
      <c r="M20" s="10" t="str">
        <f t="shared" si="1"/>
        <v/>
      </c>
    </row>
    <row r="21" spans="1:13" x14ac:dyDescent="0.25">
      <c r="A21" s="8" t="str">
        <f t="shared" si="0"/>
        <v/>
      </c>
      <c r="B21" s="4"/>
      <c r="C21" s="4"/>
      <c r="D21" s="6"/>
      <c r="E21" s="9"/>
      <c r="F21" s="4"/>
      <c r="G21" s="6"/>
      <c r="H21" s="4"/>
      <c r="I21" s="4"/>
      <c r="J21" s="4"/>
      <c r="K21" s="4"/>
      <c r="L21" s="8" t="str">
        <f>IF($D21="","",IF('Объект и должник'!$B$14="","дата принятия заявления не заполнена",IF($D21&lt;'Объект и должник'!$B$14,"до принятия заявления","после принятия заявления")))</f>
        <v/>
      </c>
      <c r="M21" s="10" t="str">
        <f t="shared" si="1"/>
        <v/>
      </c>
    </row>
    <row r="22" spans="1:13" x14ac:dyDescent="0.25">
      <c r="A22" s="8" t="str">
        <f t="shared" si="0"/>
        <v/>
      </c>
      <c r="B22" s="4"/>
      <c r="C22" s="4"/>
      <c r="D22" s="6"/>
      <c r="E22" s="9"/>
      <c r="F22" s="4"/>
      <c r="G22" s="6"/>
      <c r="H22" s="4"/>
      <c r="I22" s="4"/>
      <c r="J22" s="4"/>
      <c r="K22" s="4"/>
      <c r="L22" s="8" t="str">
        <f>IF($D22="","",IF('Объект и должник'!$B$14="","дата принятия заявления не заполнена",IF($D22&lt;'Объект и должник'!$B$14,"до принятия заявления","после принятия заявления")))</f>
        <v/>
      </c>
      <c r="M22" s="10" t="str">
        <f t="shared" si="1"/>
        <v/>
      </c>
    </row>
    <row r="23" spans="1:13" x14ac:dyDescent="0.25">
      <c r="A23" s="8" t="str">
        <f t="shared" si="0"/>
        <v/>
      </c>
      <c r="B23" s="4"/>
      <c r="C23" s="4"/>
      <c r="D23" s="6"/>
      <c r="E23" s="9"/>
      <c r="F23" s="4"/>
      <c r="G23" s="6"/>
      <c r="H23" s="4"/>
      <c r="I23" s="4"/>
      <c r="J23" s="4"/>
      <c r="K23" s="4"/>
      <c r="L23" s="8" t="str">
        <f>IF($D23="","",IF('Объект и должник'!$B$14="","дата принятия заявления не заполнена",IF($D23&lt;'Объект и должник'!$B$14,"до принятия заявления","после принятия заявления")))</f>
        <v/>
      </c>
      <c r="M23" s="10" t="str">
        <f t="shared" si="1"/>
        <v/>
      </c>
    </row>
    <row r="24" spans="1:13" x14ac:dyDescent="0.25">
      <c r="A24" s="8" t="str">
        <f t="shared" si="0"/>
        <v/>
      </c>
      <c r="B24" s="4"/>
      <c r="C24" s="4"/>
      <c r="D24" s="6"/>
      <c r="E24" s="9"/>
      <c r="F24" s="4"/>
      <c r="G24" s="6"/>
      <c r="H24" s="4"/>
      <c r="I24" s="4"/>
      <c r="J24" s="4"/>
      <c r="K24" s="4"/>
      <c r="L24" s="8" t="str">
        <f>IF($D24="","",IF('Объект и должник'!$B$14="","дата принятия заявления не заполнена",IF($D24&lt;'Объект и должник'!$B$14,"до принятия заявления","после принятия заявления")))</f>
        <v/>
      </c>
      <c r="M24" s="10" t="str">
        <f t="shared" si="1"/>
        <v/>
      </c>
    </row>
    <row r="25" spans="1:13" x14ac:dyDescent="0.25">
      <c r="A25" s="8" t="str">
        <f t="shared" si="0"/>
        <v/>
      </c>
      <c r="B25" s="4"/>
      <c r="C25" s="4"/>
      <c r="D25" s="6"/>
      <c r="E25" s="9"/>
      <c r="F25" s="4"/>
      <c r="G25" s="6"/>
      <c r="H25" s="4"/>
      <c r="I25" s="4"/>
      <c r="J25" s="4"/>
      <c r="K25" s="4"/>
      <c r="L25" s="8" t="str">
        <f>IF($D25="","",IF('Объект и должник'!$B$14="","дата принятия заявления не заполнена",IF($D25&lt;'Объект и должник'!$B$14,"до принятия заявления","после принятия заявления")))</f>
        <v/>
      </c>
      <c r="M25" s="10" t="str">
        <f t="shared" si="1"/>
        <v/>
      </c>
    </row>
    <row r="26" spans="1:13" x14ac:dyDescent="0.25">
      <c r="A26" s="8" t="str">
        <f t="shared" si="0"/>
        <v/>
      </c>
      <c r="B26" s="4"/>
      <c r="C26" s="4"/>
      <c r="D26" s="6"/>
      <c r="E26" s="9"/>
      <c r="F26" s="4"/>
      <c r="G26" s="6"/>
      <c r="H26" s="4"/>
      <c r="I26" s="4"/>
      <c r="J26" s="4"/>
      <c r="K26" s="4"/>
      <c r="L26" s="8" t="str">
        <f>IF($D26="","",IF('Объект и должник'!$B$14="","дата принятия заявления не заполнена",IF($D26&lt;'Объект и должник'!$B$14,"до принятия заявления","после принятия заявления")))</f>
        <v/>
      </c>
      <c r="M26" s="10" t="str">
        <f t="shared" si="1"/>
        <v/>
      </c>
    </row>
    <row r="27" spans="1:13" x14ac:dyDescent="0.25">
      <c r="A27" s="8" t="str">
        <f t="shared" si="0"/>
        <v/>
      </c>
      <c r="B27" s="4"/>
      <c r="C27" s="4"/>
      <c r="D27" s="6"/>
      <c r="E27" s="9"/>
      <c r="F27" s="4"/>
      <c r="G27" s="6"/>
      <c r="H27" s="4"/>
      <c r="I27" s="4"/>
      <c r="J27" s="4"/>
      <c r="K27" s="4"/>
      <c r="L27" s="8" t="str">
        <f>IF($D27="","",IF('Объект и должник'!$B$14="","дата принятия заявления не заполнена",IF($D27&lt;'Объект и должник'!$B$14,"до принятия заявления","после принятия заявления")))</f>
        <v/>
      </c>
      <c r="M27" s="10" t="str">
        <f t="shared" si="1"/>
        <v/>
      </c>
    </row>
    <row r="28" spans="1:13" x14ac:dyDescent="0.25">
      <c r="A28" s="8" t="str">
        <f t="shared" si="0"/>
        <v/>
      </c>
      <c r="B28" s="4"/>
      <c r="C28" s="4"/>
      <c r="D28" s="6"/>
      <c r="E28" s="9"/>
      <c r="F28" s="4"/>
      <c r="G28" s="6"/>
      <c r="H28" s="4"/>
      <c r="I28" s="4"/>
      <c r="J28" s="4"/>
      <c r="K28" s="4"/>
      <c r="L28" s="8" t="str">
        <f>IF($D28="","",IF('Объект и должник'!$B$14="","дата принятия заявления не заполнена",IF($D28&lt;'Объект и должник'!$B$14,"до принятия заявления","после принятия заявления")))</f>
        <v/>
      </c>
      <c r="M28" s="10" t="str">
        <f t="shared" si="1"/>
        <v/>
      </c>
    </row>
    <row r="29" spans="1:13" x14ac:dyDescent="0.25">
      <c r="A29" s="8" t="str">
        <f t="shared" si="0"/>
        <v/>
      </c>
      <c r="B29" s="4"/>
      <c r="C29" s="4"/>
      <c r="D29" s="6"/>
      <c r="E29" s="9"/>
      <c r="F29" s="4"/>
      <c r="G29" s="6"/>
      <c r="H29" s="4"/>
      <c r="I29" s="4"/>
      <c r="J29" s="4"/>
      <c r="K29" s="4"/>
      <c r="L29" s="8" t="str">
        <f>IF($D29="","",IF('Объект и должник'!$B$14="","дата принятия заявления не заполнена",IF($D29&lt;'Объект и должник'!$B$14,"до принятия заявления","после принятия заявления")))</f>
        <v/>
      </c>
      <c r="M29" s="10" t="str">
        <f t="shared" si="1"/>
        <v/>
      </c>
    </row>
    <row r="30" spans="1:13" x14ac:dyDescent="0.25">
      <c r="A30" s="8" t="str">
        <f t="shared" si="0"/>
        <v/>
      </c>
      <c r="B30" s="4"/>
      <c r="C30" s="4"/>
      <c r="D30" s="6"/>
      <c r="E30" s="9"/>
      <c r="F30" s="4"/>
      <c r="G30" s="6"/>
      <c r="H30" s="4"/>
      <c r="I30" s="4"/>
      <c r="J30" s="4"/>
      <c r="K30" s="4"/>
      <c r="L30" s="8" t="str">
        <f>IF($D30="","",IF('Объект и должник'!$B$14="","дата принятия заявления не заполнена",IF($D30&lt;'Объект и должник'!$B$14,"до принятия заявления","после принятия заявления")))</f>
        <v/>
      </c>
      <c r="M30" s="10" t="str">
        <f t="shared" si="1"/>
        <v/>
      </c>
    </row>
    <row r="31" spans="1:13" x14ac:dyDescent="0.25">
      <c r="A31" s="8" t="str">
        <f t="shared" si="0"/>
        <v/>
      </c>
      <c r="B31" s="4"/>
      <c r="C31" s="4"/>
      <c r="D31" s="6"/>
      <c r="E31" s="9"/>
      <c r="F31" s="4"/>
      <c r="G31" s="6"/>
      <c r="H31" s="4"/>
      <c r="I31" s="4"/>
      <c r="J31" s="4"/>
      <c r="K31" s="4"/>
      <c r="L31" s="8" t="str">
        <f>IF($D31="","",IF('Объект и должник'!$B$14="","дата принятия заявления не заполнена",IF($D31&lt;'Объект и должник'!$B$14,"до принятия заявления","после принятия заявления")))</f>
        <v/>
      </c>
      <c r="M31" s="10" t="str">
        <f t="shared" si="1"/>
        <v/>
      </c>
    </row>
    <row r="32" spans="1:13" x14ac:dyDescent="0.25">
      <c r="A32" s="8" t="str">
        <f t="shared" si="0"/>
        <v/>
      </c>
      <c r="B32" s="4"/>
      <c r="C32" s="4"/>
      <c r="D32" s="6"/>
      <c r="E32" s="9"/>
      <c r="F32" s="4"/>
      <c r="G32" s="6"/>
      <c r="H32" s="4"/>
      <c r="I32" s="4"/>
      <c r="J32" s="4"/>
      <c r="K32" s="4"/>
      <c r="L32" s="8" t="str">
        <f>IF($D32="","",IF('Объект и должник'!$B$14="","дата принятия заявления не заполнена",IF($D32&lt;'Объект и должник'!$B$14,"до принятия заявления","после принятия заявления")))</f>
        <v/>
      </c>
      <c r="M32" s="10" t="str">
        <f t="shared" si="1"/>
        <v/>
      </c>
    </row>
    <row r="33" spans="1:13" x14ac:dyDescent="0.25">
      <c r="A33" s="8" t="str">
        <f t="shared" si="0"/>
        <v/>
      </c>
      <c r="B33" s="4"/>
      <c r="C33" s="4"/>
      <c r="D33" s="6"/>
      <c r="E33" s="9"/>
      <c r="F33" s="4"/>
      <c r="G33" s="6"/>
      <c r="H33" s="4"/>
      <c r="I33" s="4"/>
      <c r="J33" s="4"/>
      <c r="K33" s="4"/>
      <c r="L33" s="8" t="str">
        <f>IF($D33="","",IF('Объект и должник'!$B$14="","дата принятия заявления не заполнена",IF($D33&lt;'Объект и должник'!$B$14,"до принятия заявления","после принятия заявления")))</f>
        <v/>
      </c>
      <c r="M33" s="10" t="str">
        <f t="shared" si="1"/>
        <v/>
      </c>
    </row>
    <row r="34" spans="1:13" x14ac:dyDescent="0.25">
      <c r="A34" s="8" t="str">
        <f t="shared" si="0"/>
        <v/>
      </c>
      <c r="B34" s="4"/>
      <c r="C34" s="4"/>
      <c r="D34" s="6"/>
      <c r="E34" s="9"/>
      <c r="F34" s="4"/>
      <c r="G34" s="6"/>
      <c r="H34" s="4"/>
      <c r="I34" s="4"/>
      <c r="J34" s="4"/>
      <c r="K34" s="4"/>
      <c r="L34" s="8" t="str">
        <f>IF($D34="","",IF('Объект и должник'!$B$14="","дата принятия заявления не заполнена",IF($D34&lt;'Объект и должник'!$B$14,"до принятия заявления","после принятия заявления")))</f>
        <v/>
      </c>
      <c r="M34" s="10" t="str">
        <f t="shared" si="1"/>
        <v/>
      </c>
    </row>
    <row r="35" spans="1:13" x14ac:dyDescent="0.25">
      <c r="A35" s="8" t="str">
        <f t="shared" si="0"/>
        <v/>
      </c>
      <c r="B35" s="4"/>
      <c r="C35" s="4"/>
      <c r="D35" s="6"/>
      <c r="E35" s="9"/>
      <c r="F35" s="4"/>
      <c r="G35" s="6"/>
      <c r="H35" s="4"/>
      <c r="I35" s="4"/>
      <c r="J35" s="4"/>
      <c r="K35" s="4"/>
      <c r="L35" s="8" t="str">
        <f>IF($D35="","",IF('Объект и должник'!$B$14="","дата принятия заявления не заполнена",IF($D35&lt;'Объект и должник'!$B$14,"до принятия заявления","после принятия заявления")))</f>
        <v/>
      </c>
      <c r="M35" s="10" t="str">
        <f t="shared" si="1"/>
        <v/>
      </c>
    </row>
    <row r="36" spans="1:13" x14ac:dyDescent="0.25">
      <c r="A36" s="8" t="str">
        <f t="shared" ref="A36:A67" si="2">IF($B36="","",ROW()-3)</f>
        <v/>
      </c>
      <c r="B36" s="4"/>
      <c r="C36" s="4"/>
      <c r="D36" s="6"/>
      <c r="E36" s="9"/>
      <c r="F36" s="4"/>
      <c r="G36" s="6"/>
      <c r="H36" s="4"/>
      <c r="I36" s="4"/>
      <c r="J36" s="4"/>
      <c r="K36" s="4"/>
      <c r="L36" s="8" t="str">
        <f>IF($D36="","",IF('Объект и должник'!$B$14="","дата принятия заявления не заполнена",IF($D36&lt;'Объект и должник'!$B$14,"до принятия заявления","после принятия заявления")))</f>
        <v/>
      </c>
      <c r="M36" s="10" t="str">
        <f t="shared" ref="M36:M67" si="3">IF($B36="",IF(COUNTA($C36:$K36)&gt;0,"НЕ ЗАВЕРШЕНО: укажите тип документа",""),IF(IFERROR(OR($C36="",NOT(ISNUMBER($D36)),$D36&lt;=0,$D36&lt;&gt;INT($D36),AND($K36&lt;&gt;"да",$K36&lt;&gt;"нет")),TRUE),"НЕ ЗАВЕРШЕНО: реквизиты, дата или включение копии",IF(AND($G36&lt;&gt;"",OR(NOT(ISNUMBER($G36)),$H36="",$I36="")),"НЕ ЗАВЕРШЕНО: направление и подтверждение",IF($B36="","",IF(AND($E36&gt;0,LOWER($F36)&lt;&gt;"да"),"Акт не подписан обеими сторонами: проверьте подтверждения выполнения и сдачи.",IF(AND($G36&lt;&gt;"",$I36=""),"направлено, но подтверждение направления не указано",IF($K36="","Отметьте включение копии в перечень приложений.",IF($L36="после принятия заявления","Проверьте признаки текущего платежа по статье 5 Закона № 127-ФЗ.",""))))))))</f>
        <v/>
      </c>
    </row>
    <row r="37" spans="1:13" x14ac:dyDescent="0.25">
      <c r="A37" s="8" t="str">
        <f t="shared" si="2"/>
        <v/>
      </c>
      <c r="B37" s="4"/>
      <c r="C37" s="4"/>
      <c r="D37" s="6"/>
      <c r="E37" s="9"/>
      <c r="F37" s="4"/>
      <c r="G37" s="6"/>
      <c r="H37" s="4"/>
      <c r="I37" s="4"/>
      <c r="J37" s="4"/>
      <c r="K37" s="4"/>
      <c r="L37" s="8" t="str">
        <f>IF($D37="","",IF('Объект и должник'!$B$14="","дата принятия заявления не заполнена",IF($D37&lt;'Объект и должник'!$B$14,"до принятия заявления","после принятия заявления")))</f>
        <v/>
      </c>
      <c r="M37" s="10" t="str">
        <f t="shared" si="3"/>
        <v/>
      </c>
    </row>
    <row r="38" spans="1:13" x14ac:dyDescent="0.25">
      <c r="A38" s="8" t="str">
        <f t="shared" si="2"/>
        <v/>
      </c>
      <c r="B38" s="4"/>
      <c r="C38" s="4"/>
      <c r="D38" s="6"/>
      <c r="E38" s="9"/>
      <c r="F38" s="4"/>
      <c r="G38" s="6"/>
      <c r="H38" s="4"/>
      <c r="I38" s="4"/>
      <c r="J38" s="4"/>
      <c r="K38" s="4"/>
      <c r="L38" s="8" t="str">
        <f>IF($D38="","",IF('Объект и должник'!$B$14="","дата принятия заявления не заполнена",IF($D38&lt;'Объект и должник'!$B$14,"до принятия заявления","после принятия заявления")))</f>
        <v/>
      </c>
      <c r="M38" s="10" t="str">
        <f t="shared" si="3"/>
        <v/>
      </c>
    </row>
    <row r="39" spans="1:13" x14ac:dyDescent="0.25">
      <c r="A39" s="8" t="str">
        <f t="shared" si="2"/>
        <v/>
      </c>
      <c r="B39" s="4"/>
      <c r="C39" s="4"/>
      <c r="D39" s="6"/>
      <c r="E39" s="9"/>
      <c r="F39" s="4"/>
      <c r="G39" s="6"/>
      <c r="H39" s="4"/>
      <c r="I39" s="4"/>
      <c r="J39" s="4"/>
      <c r="K39" s="4"/>
      <c r="L39" s="8" t="str">
        <f>IF($D39="","",IF('Объект и должник'!$B$14="","дата принятия заявления не заполнена",IF($D39&lt;'Объект и должник'!$B$14,"до принятия заявления","после принятия заявления")))</f>
        <v/>
      </c>
      <c r="M39" s="10" t="str">
        <f t="shared" si="3"/>
        <v/>
      </c>
    </row>
    <row r="40" spans="1:13" x14ac:dyDescent="0.25">
      <c r="A40" s="8" t="str">
        <f t="shared" si="2"/>
        <v/>
      </c>
      <c r="B40" s="4"/>
      <c r="C40" s="4"/>
      <c r="D40" s="6"/>
      <c r="E40" s="9"/>
      <c r="F40" s="4"/>
      <c r="G40" s="6"/>
      <c r="H40" s="4"/>
      <c r="I40" s="4"/>
      <c r="J40" s="4"/>
      <c r="K40" s="4"/>
      <c r="L40" s="8" t="str">
        <f>IF($D40="","",IF('Объект и должник'!$B$14="","дата принятия заявления не заполнена",IF($D40&lt;'Объект и должник'!$B$14,"до принятия заявления","после принятия заявления")))</f>
        <v/>
      </c>
      <c r="M40" s="10" t="str">
        <f t="shared" si="3"/>
        <v/>
      </c>
    </row>
    <row r="41" spans="1:13" x14ac:dyDescent="0.25">
      <c r="A41" s="8" t="str">
        <f t="shared" si="2"/>
        <v/>
      </c>
      <c r="B41" s="4"/>
      <c r="C41" s="4"/>
      <c r="D41" s="6"/>
      <c r="E41" s="9"/>
      <c r="F41" s="4"/>
      <c r="G41" s="6"/>
      <c r="H41" s="4"/>
      <c r="I41" s="4"/>
      <c r="J41" s="4"/>
      <c r="K41" s="4"/>
      <c r="L41" s="8" t="str">
        <f>IF($D41="","",IF('Объект и должник'!$B$14="","дата принятия заявления не заполнена",IF($D41&lt;'Объект и должник'!$B$14,"до принятия заявления","после принятия заявления")))</f>
        <v/>
      </c>
      <c r="M41" s="10" t="str">
        <f t="shared" si="3"/>
        <v/>
      </c>
    </row>
    <row r="42" spans="1:13" x14ac:dyDescent="0.25">
      <c r="A42" s="8" t="str">
        <f t="shared" si="2"/>
        <v/>
      </c>
      <c r="B42" s="4"/>
      <c r="C42" s="4"/>
      <c r="D42" s="6"/>
      <c r="E42" s="9"/>
      <c r="F42" s="4"/>
      <c r="G42" s="6"/>
      <c r="H42" s="4"/>
      <c r="I42" s="4"/>
      <c r="J42" s="4"/>
      <c r="K42" s="4"/>
      <c r="L42" s="8" t="str">
        <f>IF($D42="","",IF('Объект и должник'!$B$14="","дата принятия заявления не заполнена",IF($D42&lt;'Объект и должник'!$B$14,"до принятия заявления","после принятия заявления")))</f>
        <v/>
      </c>
      <c r="M42" s="10" t="str">
        <f t="shared" si="3"/>
        <v/>
      </c>
    </row>
    <row r="43" spans="1:13" x14ac:dyDescent="0.25">
      <c r="A43" s="8" t="str">
        <f t="shared" si="2"/>
        <v/>
      </c>
      <c r="B43" s="4"/>
      <c r="C43" s="4"/>
      <c r="D43" s="6"/>
      <c r="E43" s="9"/>
      <c r="F43" s="4"/>
      <c r="G43" s="6"/>
      <c r="H43" s="4"/>
      <c r="I43" s="4"/>
      <c r="J43" s="4"/>
      <c r="K43" s="4"/>
      <c r="L43" s="8" t="str">
        <f>IF($D43="","",IF('Объект и должник'!$B$14="","дата принятия заявления не заполнена",IF($D43&lt;'Объект и должник'!$B$14,"до принятия заявления","после принятия заявления")))</f>
        <v/>
      </c>
      <c r="M43" s="10" t="str">
        <f t="shared" si="3"/>
        <v/>
      </c>
    </row>
    <row r="44" spans="1:13" x14ac:dyDescent="0.25">
      <c r="A44" s="8" t="str">
        <f t="shared" si="2"/>
        <v/>
      </c>
      <c r="B44" s="4"/>
      <c r="C44" s="4"/>
      <c r="D44" s="6"/>
      <c r="E44" s="9"/>
      <c r="F44" s="4"/>
      <c r="G44" s="6"/>
      <c r="H44" s="4"/>
      <c r="I44" s="4"/>
      <c r="J44" s="4"/>
      <c r="K44" s="4"/>
      <c r="L44" s="8" t="str">
        <f>IF($D44="","",IF('Объект и должник'!$B$14="","дата принятия заявления не заполнена",IF($D44&lt;'Объект и должник'!$B$14,"до принятия заявления","после принятия заявления")))</f>
        <v/>
      </c>
      <c r="M44" s="10" t="str">
        <f t="shared" si="3"/>
        <v/>
      </c>
    </row>
    <row r="45" spans="1:13" x14ac:dyDescent="0.25">
      <c r="A45" s="8" t="str">
        <f t="shared" si="2"/>
        <v/>
      </c>
      <c r="B45" s="4"/>
      <c r="C45" s="4"/>
      <c r="D45" s="6"/>
      <c r="E45" s="9"/>
      <c r="F45" s="4"/>
      <c r="G45" s="6"/>
      <c r="H45" s="4"/>
      <c r="I45" s="4"/>
      <c r="J45" s="4"/>
      <c r="K45" s="4"/>
      <c r="L45" s="8" t="str">
        <f>IF($D45="","",IF('Объект и должник'!$B$14="","дата принятия заявления не заполнена",IF($D45&lt;'Объект и должник'!$B$14,"до принятия заявления","после принятия заявления")))</f>
        <v/>
      </c>
      <c r="M45" s="10" t="str">
        <f t="shared" si="3"/>
        <v/>
      </c>
    </row>
    <row r="46" spans="1:13" x14ac:dyDescent="0.25">
      <c r="A46" s="8" t="str">
        <f t="shared" si="2"/>
        <v/>
      </c>
      <c r="B46" s="4"/>
      <c r="C46" s="4"/>
      <c r="D46" s="6"/>
      <c r="E46" s="9"/>
      <c r="F46" s="4"/>
      <c r="G46" s="6"/>
      <c r="H46" s="4"/>
      <c r="I46" s="4"/>
      <c r="J46" s="4"/>
      <c r="K46" s="4"/>
      <c r="L46" s="8" t="str">
        <f>IF($D46="","",IF('Объект и должник'!$B$14="","дата принятия заявления не заполнена",IF($D46&lt;'Объект и должник'!$B$14,"до принятия заявления","после принятия заявления")))</f>
        <v/>
      </c>
      <c r="M46" s="10" t="str">
        <f t="shared" si="3"/>
        <v/>
      </c>
    </row>
    <row r="47" spans="1:13" x14ac:dyDescent="0.25">
      <c r="A47" s="8" t="str">
        <f t="shared" si="2"/>
        <v/>
      </c>
      <c r="B47" s="4"/>
      <c r="C47" s="4"/>
      <c r="D47" s="6"/>
      <c r="E47" s="9"/>
      <c r="F47" s="4"/>
      <c r="G47" s="6"/>
      <c r="H47" s="4"/>
      <c r="I47" s="4"/>
      <c r="J47" s="4"/>
      <c r="K47" s="4"/>
      <c r="L47" s="8" t="str">
        <f>IF($D47="","",IF('Объект и должник'!$B$14="","дата принятия заявления не заполнена",IF($D47&lt;'Объект и должник'!$B$14,"до принятия заявления","после принятия заявления")))</f>
        <v/>
      </c>
      <c r="M47" s="10" t="str">
        <f t="shared" si="3"/>
        <v/>
      </c>
    </row>
    <row r="48" spans="1:13" x14ac:dyDescent="0.25">
      <c r="A48" s="8" t="str">
        <f t="shared" si="2"/>
        <v/>
      </c>
      <c r="B48" s="4"/>
      <c r="C48" s="4"/>
      <c r="D48" s="6"/>
      <c r="E48" s="9"/>
      <c r="F48" s="4"/>
      <c r="G48" s="6"/>
      <c r="H48" s="4"/>
      <c r="I48" s="4"/>
      <c r="J48" s="4"/>
      <c r="K48" s="4"/>
      <c r="L48" s="8" t="str">
        <f>IF($D48="","",IF('Объект и должник'!$B$14="","дата принятия заявления не заполнена",IF($D48&lt;'Объект и должник'!$B$14,"до принятия заявления","после принятия заявления")))</f>
        <v/>
      </c>
      <c r="M48" s="10" t="str">
        <f t="shared" si="3"/>
        <v/>
      </c>
    </row>
    <row r="49" spans="1:13" x14ac:dyDescent="0.25">
      <c r="A49" s="8" t="str">
        <f t="shared" si="2"/>
        <v/>
      </c>
      <c r="B49" s="4"/>
      <c r="C49" s="4"/>
      <c r="D49" s="6"/>
      <c r="E49" s="9"/>
      <c r="F49" s="4"/>
      <c r="G49" s="6"/>
      <c r="H49" s="4"/>
      <c r="I49" s="4"/>
      <c r="J49" s="4"/>
      <c r="K49" s="4"/>
      <c r="L49" s="8" t="str">
        <f>IF($D49="","",IF('Объект и должник'!$B$14="","дата принятия заявления не заполнена",IF($D49&lt;'Объект и должник'!$B$14,"до принятия заявления","после принятия заявления")))</f>
        <v/>
      </c>
      <c r="M49" s="10" t="str">
        <f t="shared" si="3"/>
        <v/>
      </c>
    </row>
    <row r="50" spans="1:13" x14ac:dyDescent="0.25">
      <c r="A50" s="8" t="str">
        <f t="shared" si="2"/>
        <v/>
      </c>
      <c r="B50" s="4"/>
      <c r="C50" s="4"/>
      <c r="D50" s="6"/>
      <c r="E50" s="9"/>
      <c r="F50" s="4"/>
      <c r="G50" s="6"/>
      <c r="H50" s="4"/>
      <c r="I50" s="4"/>
      <c r="J50" s="4"/>
      <c r="K50" s="4"/>
      <c r="L50" s="8" t="str">
        <f>IF($D50="","",IF('Объект и должник'!$B$14="","дата принятия заявления не заполнена",IF($D50&lt;'Объект и должник'!$B$14,"до принятия заявления","после принятия заявления")))</f>
        <v/>
      </c>
      <c r="M50" s="10" t="str">
        <f t="shared" si="3"/>
        <v/>
      </c>
    </row>
    <row r="51" spans="1:13" x14ac:dyDescent="0.25">
      <c r="A51" s="8" t="str">
        <f t="shared" si="2"/>
        <v/>
      </c>
      <c r="B51" s="4"/>
      <c r="C51" s="4"/>
      <c r="D51" s="6"/>
      <c r="E51" s="9"/>
      <c r="F51" s="4"/>
      <c r="G51" s="6"/>
      <c r="H51" s="4"/>
      <c r="I51" s="4"/>
      <c r="J51" s="4"/>
      <c r="K51" s="4"/>
      <c r="L51" s="8" t="str">
        <f>IF($D51="","",IF('Объект и должник'!$B$14="","дата принятия заявления не заполнена",IF($D51&lt;'Объект и должник'!$B$14,"до принятия заявления","после принятия заявления")))</f>
        <v/>
      </c>
      <c r="M51" s="10" t="str">
        <f t="shared" si="3"/>
        <v/>
      </c>
    </row>
    <row r="52" spans="1:13" x14ac:dyDescent="0.25">
      <c r="A52" s="8" t="str">
        <f t="shared" si="2"/>
        <v/>
      </c>
      <c r="B52" s="4"/>
      <c r="C52" s="4"/>
      <c r="D52" s="6"/>
      <c r="E52" s="9"/>
      <c r="F52" s="4"/>
      <c r="G52" s="6"/>
      <c r="H52" s="4"/>
      <c r="I52" s="4"/>
      <c r="J52" s="4"/>
      <c r="K52" s="4"/>
      <c r="L52" s="8" t="str">
        <f>IF($D52="","",IF('Объект и должник'!$B$14="","дата принятия заявления не заполнена",IF($D52&lt;'Объект и должник'!$B$14,"до принятия заявления","после принятия заявления")))</f>
        <v/>
      </c>
      <c r="M52" s="10" t="str">
        <f t="shared" si="3"/>
        <v/>
      </c>
    </row>
    <row r="53" spans="1:13" x14ac:dyDescent="0.25">
      <c r="A53" s="8" t="str">
        <f t="shared" si="2"/>
        <v/>
      </c>
      <c r="B53" s="4"/>
      <c r="C53" s="4"/>
      <c r="D53" s="6"/>
      <c r="E53" s="9"/>
      <c r="F53" s="4"/>
      <c r="G53" s="6"/>
      <c r="H53" s="4"/>
      <c r="I53" s="4"/>
      <c r="J53" s="4"/>
      <c r="K53" s="4"/>
      <c r="L53" s="8" t="str">
        <f>IF($D53="","",IF('Объект и должник'!$B$14="","дата принятия заявления не заполнена",IF($D53&lt;'Объект и должник'!$B$14,"до принятия заявления","после принятия заявления")))</f>
        <v/>
      </c>
      <c r="M53" s="10" t="str">
        <f t="shared" si="3"/>
        <v/>
      </c>
    </row>
    <row r="54" spans="1:13" x14ac:dyDescent="0.25">
      <c r="A54" s="8" t="str">
        <f t="shared" si="2"/>
        <v/>
      </c>
      <c r="B54" s="4"/>
      <c r="C54" s="4"/>
      <c r="D54" s="6"/>
      <c r="E54" s="9"/>
      <c r="F54" s="4"/>
      <c r="G54" s="6"/>
      <c r="H54" s="4"/>
      <c r="I54" s="4"/>
      <c r="J54" s="4"/>
      <c r="K54" s="4"/>
      <c r="L54" s="8" t="str">
        <f>IF($D54="","",IF('Объект и должник'!$B$14="","дата принятия заявления не заполнена",IF($D54&lt;'Объект и должник'!$B$14,"до принятия заявления","после принятия заявления")))</f>
        <v/>
      </c>
      <c r="M54" s="10" t="str">
        <f t="shared" si="3"/>
        <v/>
      </c>
    </row>
    <row r="55" spans="1:13" x14ac:dyDescent="0.25">
      <c r="A55" s="8" t="str">
        <f t="shared" si="2"/>
        <v/>
      </c>
      <c r="B55" s="4"/>
      <c r="C55" s="4"/>
      <c r="D55" s="6"/>
      <c r="E55" s="9"/>
      <c r="F55" s="4"/>
      <c r="G55" s="6"/>
      <c r="H55" s="4"/>
      <c r="I55" s="4"/>
      <c r="J55" s="4"/>
      <c r="K55" s="4"/>
      <c r="L55" s="8" t="str">
        <f>IF($D55="","",IF('Объект и должник'!$B$14="","дата принятия заявления не заполнена",IF($D55&lt;'Объект и должник'!$B$14,"до принятия заявления","после принятия заявления")))</f>
        <v/>
      </c>
      <c r="M55" s="10" t="str">
        <f t="shared" si="3"/>
        <v/>
      </c>
    </row>
    <row r="56" spans="1:13" x14ac:dyDescent="0.25">
      <c r="A56" s="8" t="str">
        <f t="shared" si="2"/>
        <v/>
      </c>
      <c r="B56" s="4"/>
      <c r="C56" s="4"/>
      <c r="D56" s="6"/>
      <c r="E56" s="9"/>
      <c r="F56" s="4"/>
      <c r="G56" s="6"/>
      <c r="H56" s="4"/>
      <c r="I56" s="4"/>
      <c r="J56" s="4"/>
      <c r="K56" s="4"/>
      <c r="L56" s="8" t="str">
        <f>IF($D56="","",IF('Объект и должник'!$B$14="","дата принятия заявления не заполнена",IF($D56&lt;'Объект и должник'!$B$14,"до принятия заявления","после принятия заявления")))</f>
        <v/>
      </c>
      <c r="M56" s="10" t="str">
        <f t="shared" si="3"/>
        <v/>
      </c>
    </row>
    <row r="57" spans="1:13" x14ac:dyDescent="0.25">
      <c r="A57" s="8" t="str">
        <f t="shared" si="2"/>
        <v/>
      </c>
      <c r="B57" s="4"/>
      <c r="C57" s="4"/>
      <c r="D57" s="6"/>
      <c r="E57" s="9"/>
      <c r="F57" s="4"/>
      <c r="G57" s="6"/>
      <c r="H57" s="4"/>
      <c r="I57" s="4"/>
      <c r="J57" s="4"/>
      <c r="K57" s="4"/>
      <c r="L57" s="8" t="str">
        <f>IF($D57="","",IF('Объект и должник'!$B$14="","дата принятия заявления не заполнена",IF($D57&lt;'Объект и должник'!$B$14,"до принятия заявления","после принятия заявления")))</f>
        <v/>
      </c>
      <c r="M57" s="10" t="str">
        <f t="shared" si="3"/>
        <v/>
      </c>
    </row>
    <row r="58" spans="1:13" x14ac:dyDescent="0.25">
      <c r="A58" s="8" t="str">
        <f t="shared" si="2"/>
        <v/>
      </c>
      <c r="B58" s="4"/>
      <c r="C58" s="4"/>
      <c r="D58" s="6"/>
      <c r="E58" s="9"/>
      <c r="F58" s="4"/>
      <c r="G58" s="6"/>
      <c r="H58" s="4"/>
      <c r="I58" s="4"/>
      <c r="J58" s="4"/>
      <c r="K58" s="4"/>
      <c r="L58" s="8" t="str">
        <f>IF($D58="","",IF('Объект и должник'!$B$14="","дата принятия заявления не заполнена",IF($D58&lt;'Объект и должник'!$B$14,"до принятия заявления","после принятия заявления")))</f>
        <v/>
      </c>
      <c r="M58" s="10" t="str">
        <f t="shared" si="3"/>
        <v/>
      </c>
    </row>
    <row r="59" spans="1:13" x14ac:dyDescent="0.25">
      <c r="A59" s="8" t="str">
        <f t="shared" si="2"/>
        <v/>
      </c>
      <c r="B59" s="4"/>
      <c r="C59" s="4"/>
      <c r="D59" s="6"/>
      <c r="E59" s="9"/>
      <c r="F59" s="4"/>
      <c r="G59" s="6"/>
      <c r="H59" s="4"/>
      <c r="I59" s="4"/>
      <c r="J59" s="4"/>
      <c r="K59" s="4"/>
      <c r="L59" s="8" t="str">
        <f>IF($D59="","",IF('Объект и должник'!$B$14="","дата принятия заявления не заполнена",IF($D59&lt;'Объект и должник'!$B$14,"до принятия заявления","после принятия заявления")))</f>
        <v/>
      </c>
      <c r="M59" s="10" t="str">
        <f t="shared" si="3"/>
        <v/>
      </c>
    </row>
    <row r="60" spans="1:13" x14ac:dyDescent="0.25">
      <c r="A60" s="8" t="str">
        <f t="shared" si="2"/>
        <v/>
      </c>
      <c r="B60" s="4"/>
      <c r="C60" s="4"/>
      <c r="D60" s="6"/>
      <c r="E60" s="9"/>
      <c r="F60" s="4"/>
      <c r="G60" s="6"/>
      <c r="H60" s="4"/>
      <c r="I60" s="4"/>
      <c r="J60" s="4"/>
      <c r="K60" s="4"/>
      <c r="L60" s="8" t="str">
        <f>IF($D60="","",IF('Объект и должник'!$B$14="","дата принятия заявления не заполнена",IF($D60&lt;'Объект и должник'!$B$14,"до принятия заявления","после принятия заявления")))</f>
        <v/>
      </c>
      <c r="M60" s="10" t="str">
        <f t="shared" si="3"/>
        <v/>
      </c>
    </row>
    <row r="61" spans="1:13" x14ac:dyDescent="0.25">
      <c r="A61" s="8" t="str">
        <f t="shared" si="2"/>
        <v/>
      </c>
      <c r="B61" s="4"/>
      <c r="C61" s="4"/>
      <c r="D61" s="6"/>
      <c r="E61" s="9"/>
      <c r="F61" s="4"/>
      <c r="G61" s="6"/>
      <c r="H61" s="4"/>
      <c r="I61" s="4"/>
      <c r="J61" s="4"/>
      <c r="K61" s="4"/>
      <c r="L61" s="8" t="str">
        <f>IF($D61="","",IF('Объект и должник'!$B$14="","дата принятия заявления не заполнена",IF($D61&lt;'Объект и должник'!$B$14,"до принятия заявления","после принятия заявления")))</f>
        <v/>
      </c>
      <c r="M61" s="10" t="str">
        <f t="shared" si="3"/>
        <v/>
      </c>
    </row>
    <row r="62" spans="1:13" x14ac:dyDescent="0.25">
      <c r="A62" s="8" t="str">
        <f t="shared" si="2"/>
        <v/>
      </c>
      <c r="B62" s="4"/>
      <c r="C62" s="4"/>
      <c r="D62" s="6"/>
      <c r="E62" s="9"/>
      <c r="F62" s="4"/>
      <c r="G62" s="6"/>
      <c r="H62" s="4"/>
      <c r="I62" s="4"/>
      <c r="J62" s="4"/>
      <c r="K62" s="4"/>
      <c r="L62" s="8" t="str">
        <f>IF($D62="","",IF('Объект и должник'!$B$14="","дата принятия заявления не заполнена",IF($D62&lt;'Объект и должник'!$B$14,"до принятия заявления","после принятия заявления")))</f>
        <v/>
      </c>
      <c r="M62" s="10" t="str">
        <f t="shared" si="3"/>
        <v/>
      </c>
    </row>
    <row r="63" spans="1:13" x14ac:dyDescent="0.25">
      <c r="A63" s="8" t="str">
        <f t="shared" si="2"/>
        <v/>
      </c>
      <c r="B63" s="4"/>
      <c r="C63" s="4"/>
      <c r="D63" s="6"/>
      <c r="E63" s="9"/>
      <c r="F63" s="4"/>
      <c r="G63" s="6"/>
      <c r="H63" s="4"/>
      <c r="I63" s="4"/>
      <c r="J63" s="4"/>
      <c r="K63" s="4"/>
      <c r="L63" s="8" t="str">
        <f>IF($D63="","",IF('Объект и должник'!$B$14="","дата принятия заявления не заполнена",IF($D63&lt;'Объект и должник'!$B$14,"до принятия заявления","после принятия заявления")))</f>
        <v/>
      </c>
      <c r="M63" s="10" t="str">
        <f t="shared" si="3"/>
        <v/>
      </c>
    </row>
    <row r="64" spans="1:13" x14ac:dyDescent="0.25">
      <c r="A64" s="8" t="str">
        <f t="shared" si="2"/>
        <v/>
      </c>
      <c r="B64" s="4"/>
      <c r="C64" s="4"/>
      <c r="D64" s="6"/>
      <c r="E64" s="9"/>
      <c r="F64" s="4"/>
      <c r="G64" s="6"/>
      <c r="H64" s="4"/>
      <c r="I64" s="4"/>
      <c r="J64" s="4"/>
      <c r="K64" s="4"/>
      <c r="L64" s="8" t="str">
        <f>IF($D64="","",IF('Объект и должник'!$B$14="","дата принятия заявления не заполнена",IF($D64&lt;'Объект и должник'!$B$14,"до принятия заявления","после принятия заявления")))</f>
        <v/>
      </c>
      <c r="M64" s="10" t="str">
        <f t="shared" si="3"/>
        <v/>
      </c>
    </row>
    <row r="65" spans="1:13" x14ac:dyDescent="0.25">
      <c r="A65" s="8" t="str">
        <f t="shared" si="2"/>
        <v/>
      </c>
      <c r="B65" s="4"/>
      <c r="C65" s="4"/>
      <c r="D65" s="6"/>
      <c r="E65" s="9"/>
      <c r="F65" s="4"/>
      <c r="G65" s="6"/>
      <c r="H65" s="4"/>
      <c r="I65" s="4"/>
      <c r="J65" s="4"/>
      <c r="K65" s="4"/>
      <c r="L65" s="8" t="str">
        <f>IF($D65="","",IF('Объект и должник'!$B$14="","дата принятия заявления не заполнена",IF($D65&lt;'Объект и должник'!$B$14,"до принятия заявления","после принятия заявления")))</f>
        <v/>
      </c>
      <c r="M65" s="10" t="str">
        <f t="shared" si="3"/>
        <v/>
      </c>
    </row>
    <row r="66" spans="1:13" x14ac:dyDescent="0.25">
      <c r="A66" s="8" t="str">
        <f t="shared" si="2"/>
        <v/>
      </c>
      <c r="B66" s="4"/>
      <c r="C66" s="4"/>
      <c r="D66" s="6"/>
      <c r="E66" s="9"/>
      <c r="F66" s="4"/>
      <c r="G66" s="6"/>
      <c r="H66" s="4"/>
      <c r="I66" s="4"/>
      <c r="J66" s="4"/>
      <c r="K66" s="4"/>
      <c r="L66" s="8" t="str">
        <f>IF($D66="","",IF('Объект и должник'!$B$14="","дата принятия заявления не заполнена",IF($D66&lt;'Объект и должник'!$B$14,"до принятия заявления","после принятия заявления")))</f>
        <v/>
      </c>
      <c r="M66" s="10" t="str">
        <f t="shared" si="3"/>
        <v/>
      </c>
    </row>
    <row r="67" spans="1:13" x14ac:dyDescent="0.25">
      <c r="A67" s="8" t="str">
        <f t="shared" si="2"/>
        <v/>
      </c>
      <c r="B67" s="4"/>
      <c r="C67" s="4"/>
      <c r="D67" s="6"/>
      <c r="E67" s="9"/>
      <c r="F67" s="4"/>
      <c r="G67" s="6"/>
      <c r="H67" s="4"/>
      <c r="I67" s="4"/>
      <c r="J67" s="4"/>
      <c r="K67" s="4"/>
      <c r="L67" s="8" t="str">
        <f>IF($D67="","",IF('Объект и должник'!$B$14="","дата принятия заявления не заполнена",IF($D67&lt;'Объект и должник'!$B$14,"до принятия заявления","после принятия заявления")))</f>
        <v/>
      </c>
      <c r="M67" s="10" t="str">
        <f t="shared" si="3"/>
        <v/>
      </c>
    </row>
    <row r="68" spans="1:13" x14ac:dyDescent="0.25">
      <c r="A68" s="8" t="str">
        <f t="shared" ref="A68:A99" si="4">IF($B68="","",ROW()-3)</f>
        <v/>
      </c>
      <c r="B68" s="4"/>
      <c r="C68" s="4"/>
      <c r="D68" s="6"/>
      <c r="E68" s="9"/>
      <c r="F68" s="4"/>
      <c r="G68" s="6"/>
      <c r="H68" s="4"/>
      <c r="I68" s="4"/>
      <c r="J68" s="4"/>
      <c r="K68" s="4"/>
      <c r="L68" s="8" t="str">
        <f>IF($D68="","",IF('Объект и должник'!$B$14="","дата принятия заявления не заполнена",IF($D68&lt;'Объект и должник'!$B$14,"до принятия заявления","после принятия заявления")))</f>
        <v/>
      </c>
      <c r="M68" s="10" t="str">
        <f t="shared" ref="M68:M99" si="5">IF($B68="",IF(COUNTA($C68:$K68)&gt;0,"НЕ ЗАВЕРШЕНО: укажите тип документа",""),IF(IFERROR(OR($C68="",NOT(ISNUMBER($D68)),$D68&lt;=0,$D68&lt;&gt;INT($D68),AND($K68&lt;&gt;"да",$K68&lt;&gt;"нет")),TRUE),"НЕ ЗАВЕРШЕНО: реквизиты, дата или включение копии",IF(AND($G68&lt;&gt;"",OR(NOT(ISNUMBER($G68)),$H68="",$I68="")),"НЕ ЗАВЕРШЕНО: направление и подтверждение",IF($B68="","",IF(AND($E68&gt;0,LOWER($F68)&lt;&gt;"да"),"Акт не подписан обеими сторонами: проверьте подтверждения выполнения и сдачи.",IF(AND($G68&lt;&gt;"",$I68=""),"направлено, но подтверждение направления не указано",IF($K68="","Отметьте включение копии в перечень приложений.",IF($L68="после принятия заявления","Проверьте признаки текущего платежа по статье 5 Закона № 127-ФЗ.",""))))))))</f>
        <v/>
      </c>
    </row>
    <row r="69" spans="1:13" x14ac:dyDescent="0.25">
      <c r="A69" s="8" t="str">
        <f t="shared" si="4"/>
        <v/>
      </c>
      <c r="B69" s="4"/>
      <c r="C69" s="4"/>
      <c r="D69" s="6"/>
      <c r="E69" s="9"/>
      <c r="F69" s="4"/>
      <c r="G69" s="6"/>
      <c r="H69" s="4"/>
      <c r="I69" s="4"/>
      <c r="J69" s="4"/>
      <c r="K69" s="4"/>
      <c r="L69" s="8" t="str">
        <f>IF($D69="","",IF('Объект и должник'!$B$14="","дата принятия заявления не заполнена",IF($D69&lt;'Объект и должник'!$B$14,"до принятия заявления","после принятия заявления")))</f>
        <v/>
      </c>
      <c r="M69" s="10" t="str">
        <f t="shared" si="5"/>
        <v/>
      </c>
    </row>
    <row r="70" spans="1:13" x14ac:dyDescent="0.25">
      <c r="A70" s="8" t="str">
        <f t="shared" si="4"/>
        <v/>
      </c>
      <c r="B70" s="4"/>
      <c r="C70" s="4"/>
      <c r="D70" s="6"/>
      <c r="E70" s="9"/>
      <c r="F70" s="4"/>
      <c r="G70" s="6"/>
      <c r="H70" s="4"/>
      <c r="I70" s="4"/>
      <c r="J70" s="4"/>
      <c r="K70" s="4"/>
      <c r="L70" s="8" t="str">
        <f>IF($D70="","",IF('Объект и должник'!$B$14="","дата принятия заявления не заполнена",IF($D70&lt;'Объект и должник'!$B$14,"до принятия заявления","после принятия заявления")))</f>
        <v/>
      </c>
      <c r="M70" s="10" t="str">
        <f t="shared" si="5"/>
        <v/>
      </c>
    </row>
    <row r="71" spans="1:13" x14ac:dyDescent="0.25">
      <c r="A71" s="8" t="str">
        <f t="shared" si="4"/>
        <v/>
      </c>
      <c r="B71" s="4"/>
      <c r="C71" s="4"/>
      <c r="D71" s="6"/>
      <c r="E71" s="9"/>
      <c r="F71" s="4"/>
      <c r="G71" s="6"/>
      <c r="H71" s="4"/>
      <c r="I71" s="4"/>
      <c r="J71" s="4"/>
      <c r="K71" s="4"/>
      <c r="L71" s="8" t="str">
        <f>IF($D71="","",IF('Объект и должник'!$B$14="","дата принятия заявления не заполнена",IF($D71&lt;'Объект и должник'!$B$14,"до принятия заявления","после принятия заявления")))</f>
        <v/>
      </c>
      <c r="M71" s="10" t="str">
        <f t="shared" si="5"/>
        <v/>
      </c>
    </row>
    <row r="72" spans="1:13" x14ac:dyDescent="0.25">
      <c r="A72" s="8" t="str">
        <f t="shared" si="4"/>
        <v/>
      </c>
      <c r="B72" s="4"/>
      <c r="C72" s="4"/>
      <c r="D72" s="6"/>
      <c r="E72" s="9"/>
      <c r="F72" s="4"/>
      <c r="G72" s="6"/>
      <c r="H72" s="4"/>
      <c r="I72" s="4"/>
      <c r="J72" s="4"/>
      <c r="K72" s="4"/>
      <c r="L72" s="8" t="str">
        <f>IF($D72="","",IF('Объект и должник'!$B$14="","дата принятия заявления не заполнена",IF($D72&lt;'Объект и должник'!$B$14,"до принятия заявления","после принятия заявления")))</f>
        <v/>
      </c>
      <c r="M72" s="10" t="str">
        <f t="shared" si="5"/>
        <v/>
      </c>
    </row>
    <row r="73" spans="1:13" x14ac:dyDescent="0.25">
      <c r="A73" s="8" t="str">
        <f t="shared" si="4"/>
        <v/>
      </c>
      <c r="B73" s="4"/>
      <c r="C73" s="4"/>
      <c r="D73" s="6"/>
      <c r="E73" s="9"/>
      <c r="F73" s="4"/>
      <c r="G73" s="6"/>
      <c r="H73" s="4"/>
      <c r="I73" s="4"/>
      <c r="J73" s="4"/>
      <c r="K73" s="4"/>
      <c r="L73" s="8" t="str">
        <f>IF($D73="","",IF('Объект и должник'!$B$14="","дата принятия заявления не заполнена",IF($D73&lt;'Объект и должник'!$B$14,"до принятия заявления","после принятия заявления")))</f>
        <v/>
      </c>
      <c r="M73" s="10" t="str">
        <f t="shared" si="5"/>
        <v/>
      </c>
    </row>
    <row r="74" spans="1:13" x14ac:dyDescent="0.25">
      <c r="A74" s="8" t="str">
        <f t="shared" si="4"/>
        <v/>
      </c>
      <c r="B74" s="4"/>
      <c r="C74" s="4"/>
      <c r="D74" s="6"/>
      <c r="E74" s="9"/>
      <c r="F74" s="4"/>
      <c r="G74" s="6"/>
      <c r="H74" s="4"/>
      <c r="I74" s="4"/>
      <c r="J74" s="4"/>
      <c r="K74" s="4"/>
      <c r="L74" s="8" t="str">
        <f>IF($D74="","",IF('Объект и должник'!$B$14="","дата принятия заявления не заполнена",IF($D74&lt;'Объект и должник'!$B$14,"до принятия заявления","после принятия заявления")))</f>
        <v/>
      </c>
      <c r="M74" s="10" t="str">
        <f t="shared" si="5"/>
        <v/>
      </c>
    </row>
    <row r="75" spans="1:13" x14ac:dyDescent="0.25">
      <c r="A75" s="8" t="str">
        <f t="shared" si="4"/>
        <v/>
      </c>
      <c r="B75" s="4"/>
      <c r="C75" s="4"/>
      <c r="D75" s="6"/>
      <c r="E75" s="9"/>
      <c r="F75" s="4"/>
      <c r="G75" s="6"/>
      <c r="H75" s="4"/>
      <c r="I75" s="4"/>
      <c r="J75" s="4"/>
      <c r="K75" s="4"/>
      <c r="L75" s="8" t="str">
        <f>IF($D75="","",IF('Объект и должник'!$B$14="","дата принятия заявления не заполнена",IF($D75&lt;'Объект и должник'!$B$14,"до принятия заявления","после принятия заявления")))</f>
        <v/>
      </c>
      <c r="M75" s="10" t="str">
        <f t="shared" si="5"/>
        <v/>
      </c>
    </row>
    <row r="76" spans="1:13" x14ac:dyDescent="0.25">
      <c r="A76" s="8" t="str">
        <f t="shared" si="4"/>
        <v/>
      </c>
      <c r="B76" s="4"/>
      <c r="C76" s="4"/>
      <c r="D76" s="6"/>
      <c r="E76" s="9"/>
      <c r="F76" s="4"/>
      <c r="G76" s="6"/>
      <c r="H76" s="4"/>
      <c r="I76" s="4"/>
      <c r="J76" s="4"/>
      <c r="K76" s="4"/>
      <c r="L76" s="8" t="str">
        <f>IF($D76="","",IF('Объект и должник'!$B$14="","дата принятия заявления не заполнена",IF($D76&lt;'Объект и должник'!$B$14,"до принятия заявления","после принятия заявления")))</f>
        <v/>
      </c>
      <c r="M76" s="10" t="str">
        <f t="shared" si="5"/>
        <v/>
      </c>
    </row>
    <row r="77" spans="1:13" x14ac:dyDescent="0.25">
      <c r="A77" s="8" t="str">
        <f t="shared" si="4"/>
        <v/>
      </c>
      <c r="B77" s="4"/>
      <c r="C77" s="4"/>
      <c r="D77" s="6"/>
      <c r="E77" s="9"/>
      <c r="F77" s="4"/>
      <c r="G77" s="6"/>
      <c r="H77" s="4"/>
      <c r="I77" s="4"/>
      <c r="J77" s="4"/>
      <c r="K77" s="4"/>
      <c r="L77" s="8" t="str">
        <f>IF($D77="","",IF('Объект и должник'!$B$14="","дата принятия заявления не заполнена",IF($D77&lt;'Объект и должник'!$B$14,"до принятия заявления","после принятия заявления")))</f>
        <v/>
      </c>
      <c r="M77" s="10" t="str">
        <f t="shared" si="5"/>
        <v/>
      </c>
    </row>
    <row r="78" spans="1:13" x14ac:dyDescent="0.25">
      <c r="A78" s="8" t="str">
        <f t="shared" si="4"/>
        <v/>
      </c>
      <c r="B78" s="4"/>
      <c r="C78" s="4"/>
      <c r="D78" s="6"/>
      <c r="E78" s="9"/>
      <c r="F78" s="4"/>
      <c r="G78" s="6"/>
      <c r="H78" s="4"/>
      <c r="I78" s="4"/>
      <c r="J78" s="4"/>
      <c r="K78" s="4"/>
      <c r="L78" s="8" t="str">
        <f>IF($D78="","",IF('Объект и должник'!$B$14="","дата принятия заявления не заполнена",IF($D78&lt;'Объект и должник'!$B$14,"до принятия заявления","после принятия заявления")))</f>
        <v/>
      </c>
      <c r="M78" s="10" t="str">
        <f t="shared" si="5"/>
        <v/>
      </c>
    </row>
    <row r="79" spans="1:13" x14ac:dyDescent="0.25">
      <c r="A79" s="8" t="str">
        <f t="shared" si="4"/>
        <v/>
      </c>
      <c r="B79" s="4"/>
      <c r="C79" s="4"/>
      <c r="D79" s="6"/>
      <c r="E79" s="9"/>
      <c r="F79" s="4"/>
      <c r="G79" s="6"/>
      <c r="H79" s="4"/>
      <c r="I79" s="4"/>
      <c r="J79" s="4"/>
      <c r="K79" s="4"/>
      <c r="L79" s="8" t="str">
        <f>IF($D79="","",IF('Объект и должник'!$B$14="","дата принятия заявления не заполнена",IF($D79&lt;'Объект и должник'!$B$14,"до принятия заявления","после принятия заявления")))</f>
        <v/>
      </c>
      <c r="M79" s="10" t="str">
        <f t="shared" si="5"/>
        <v/>
      </c>
    </row>
    <row r="80" spans="1:13" x14ac:dyDescent="0.25">
      <c r="A80" s="8" t="str">
        <f t="shared" si="4"/>
        <v/>
      </c>
      <c r="B80" s="4"/>
      <c r="C80" s="4"/>
      <c r="D80" s="6"/>
      <c r="E80" s="9"/>
      <c r="F80" s="4"/>
      <c r="G80" s="6"/>
      <c r="H80" s="4"/>
      <c r="I80" s="4"/>
      <c r="J80" s="4"/>
      <c r="K80" s="4"/>
      <c r="L80" s="8" t="str">
        <f>IF($D80="","",IF('Объект и должник'!$B$14="","дата принятия заявления не заполнена",IF($D80&lt;'Объект и должник'!$B$14,"до принятия заявления","после принятия заявления")))</f>
        <v/>
      </c>
      <c r="M80" s="10" t="str">
        <f t="shared" si="5"/>
        <v/>
      </c>
    </row>
    <row r="81" spans="1:13" x14ac:dyDescent="0.25">
      <c r="A81" s="8" t="str">
        <f t="shared" si="4"/>
        <v/>
      </c>
      <c r="B81" s="4"/>
      <c r="C81" s="4"/>
      <c r="D81" s="6"/>
      <c r="E81" s="9"/>
      <c r="F81" s="4"/>
      <c r="G81" s="6"/>
      <c r="H81" s="4"/>
      <c r="I81" s="4"/>
      <c r="J81" s="4"/>
      <c r="K81" s="4"/>
      <c r="L81" s="8" t="str">
        <f>IF($D81="","",IF('Объект и должник'!$B$14="","дата принятия заявления не заполнена",IF($D81&lt;'Объект и должник'!$B$14,"до принятия заявления","после принятия заявления")))</f>
        <v/>
      </c>
      <c r="M81" s="10" t="str">
        <f t="shared" si="5"/>
        <v/>
      </c>
    </row>
    <row r="82" spans="1:13" x14ac:dyDescent="0.25">
      <c r="A82" s="8" t="str">
        <f t="shared" si="4"/>
        <v/>
      </c>
      <c r="B82" s="4"/>
      <c r="C82" s="4"/>
      <c r="D82" s="6"/>
      <c r="E82" s="9"/>
      <c r="F82" s="4"/>
      <c r="G82" s="6"/>
      <c r="H82" s="4"/>
      <c r="I82" s="4"/>
      <c r="J82" s="4"/>
      <c r="K82" s="4"/>
      <c r="L82" s="8" t="str">
        <f>IF($D82="","",IF('Объект и должник'!$B$14="","дата принятия заявления не заполнена",IF($D82&lt;'Объект и должник'!$B$14,"до принятия заявления","после принятия заявления")))</f>
        <v/>
      </c>
      <c r="M82" s="10" t="str">
        <f t="shared" si="5"/>
        <v/>
      </c>
    </row>
    <row r="83" spans="1:13" x14ac:dyDescent="0.25">
      <c r="A83" s="8" t="str">
        <f t="shared" si="4"/>
        <v/>
      </c>
      <c r="B83" s="4"/>
      <c r="C83" s="4"/>
      <c r="D83" s="6"/>
      <c r="E83" s="9"/>
      <c r="F83" s="4"/>
      <c r="G83" s="6"/>
      <c r="H83" s="4"/>
      <c r="I83" s="4"/>
      <c r="J83" s="4"/>
      <c r="K83" s="4"/>
      <c r="L83" s="8" t="str">
        <f>IF($D83="","",IF('Объект и должник'!$B$14="","дата принятия заявления не заполнена",IF($D83&lt;'Объект и должник'!$B$14,"до принятия заявления","после принятия заявления")))</f>
        <v/>
      </c>
      <c r="M83" s="10" t="str">
        <f t="shared" si="5"/>
        <v/>
      </c>
    </row>
    <row r="84" spans="1:13" x14ac:dyDescent="0.25">
      <c r="A84" s="8" t="str">
        <f t="shared" si="4"/>
        <v/>
      </c>
      <c r="B84" s="4"/>
      <c r="C84" s="4"/>
      <c r="D84" s="6"/>
      <c r="E84" s="9"/>
      <c r="F84" s="4"/>
      <c r="G84" s="6"/>
      <c r="H84" s="4"/>
      <c r="I84" s="4"/>
      <c r="J84" s="4"/>
      <c r="K84" s="4"/>
      <c r="L84" s="8" t="str">
        <f>IF($D84="","",IF('Объект и должник'!$B$14="","дата принятия заявления не заполнена",IF($D84&lt;'Объект и должник'!$B$14,"до принятия заявления","после принятия заявления")))</f>
        <v/>
      </c>
      <c r="M84" s="10" t="str">
        <f t="shared" si="5"/>
        <v/>
      </c>
    </row>
    <row r="85" spans="1:13" x14ac:dyDescent="0.25">
      <c r="A85" s="8" t="str">
        <f t="shared" si="4"/>
        <v/>
      </c>
      <c r="B85" s="4"/>
      <c r="C85" s="4"/>
      <c r="D85" s="6"/>
      <c r="E85" s="9"/>
      <c r="F85" s="4"/>
      <c r="G85" s="6"/>
      <c r="H85" s="4"/>
      <c r="I85" s="4"/>
      <c r="J85" s="4"/>
      <c r="K85" s="4"/>
      <c r="L85" s="8" t="str">
        <f>IF($D85="","",IF('Объект и должник'!$B$14="","дата принятия заявления не заполнена",IF($D85&lt;'Объект и должник'!$B$14,"до принятия заявления","после принятия заявления")))</f>
        <v/>
      </c>
      <c r="M85" s="10" t="str">
        <f t="shared" si="5"/>
        <v/>
      </c>
    </row>
    <row r="86" spans="1:13" x14ac:dyDescent="0.25">
      <c r="A86" s="8" t="str">
        <f t="shared" si="4"/>
        <v/>
      </c>
      <c r="B86" s="4"/>
      <c r="C86" s="4"/>
      <c r="D86" s="6"/>
      <c r="E86" s="9"/>
      <c r="F86" s="4"/>
      <c r="G86" s="6"/>
      <c r="H86" s="4"/>
      <c r="I86" s="4"/>
      <c r="J86" s="4"/>
      <c r="K86" s="4"/>
      <c r="L86" s="8" t="str">
        <f>IF($D86="","",IF('Объект и должник'!$B$14="","дата принятия заявления не заполнена",IF($D86&lt;'Объект и должник'!$B$14,"до принятия заявления","после принятия заявления")))</f>
        <v/>
      </c>
      <c r="M86" s="10" t="str">
        <f t="shared" si="5"/>
        <v/>
      </c>
    </row>
    <row r="87" spans="1:13" x14ac:dyDescent="0.25">
      <c r="A87" s="8" t="str">
        <f t="shared" si="4"/>
        <v/>
      </c>
      <c r="B87" s="4"/>
      <c r="C87" s="4"/>
      <c r="D87" s="6"/>
      <c r="E87" s="9"/>
      <c r="F87" s="4"/>
      <c r="G87" s="6"/>
      <c r="H87" s="4"/>
      <c r="I87" s="4"/>
      <c r="J87" s="4"/>
      <c r="K87" s="4"/>
      <c r="L87" s="8" t="str">
        <f>IF($D87="","",IF('Объект и должник'!$B$14="","дата принятия заявления не заполнена",IF($D87&lt;'Объект и должник'!$B$14,"до принятия заявления","после принятия заявления")))</f>
        <v/>
      </c>
      <c r="M87" s="10" t="str">
        <f t="shared" si="5"/>
        <v/>
      </c>
    </row>
    <row r="88" spans="1:13" x14ac:dyDescent="0.25">
      <c r="A88" s="8" t="str">
        <f t="shared" si="4"/>
        <v/>
      </c>
      <c r="B88" s="4"/>
      <c r="C88" s="4"/>
      <c r="D88" s="6"/>
      <c r="E88" s="9"/>
      <c r="F88" s="4"/>
      <c r="G88" s="6"/>
      <c r="H88" s="4"/>
      <c r="I88" s="4"/>
      <c r="J88" s="4"/>
      <c r="K88" s="4"/>
      <c r="L88" s="8" t="str">
        <f>IF($D88="","",IF('Объект и должник'!$B$14="","дата принятия заявления не заполнена",IF($D88&lt;'Объект и должник'!$B$14,"до принятия заявления","после принятия заявления")))</f>
        <v/>
      </c>
      <c r="M88" s="10" t="str">
        <f t="shared" si="5"/>
        <v/>
      </c>
    </row>
    <row r="89" spans="1:13" x14ac:dyDescent="0.25">
      <c r="A89" s="8" t="str">
        <f t="shared" si="4"/>
        <v/>
      </c>
      <c r="B89" s="4"/>
      <c r="C89" s="4"/>
      <c r="D89" s="6"/>
      <c r="E89" s="9"/>
      <c r="F89" s="4"/>
      <c r="G89" s="6"/>
      <c r="H89" s="4"/>
      <c r="I89" s="4"/>
      <c r="J89" s="4"/>
      <c r="K89" s="4"/>
      <c r="L89" s="8" t="str">
        <f>IF($D89="","",IF('Объект и должник'!$B$14="","дата принятия заявления не заполнена",IF($D89&lt;'Объект и должник'!$B$14,"до принятия заявления","после принятия заявления")))</f>
        <v/>
      </c>
      <c r="M89" s="10" t="str">
        <f t="shared" si="5"/>
        <v/>
      </c>
    </row>
    <row r="90" spans="1:13" x14ac:dyDescent="0.25">
      <c r="A90" s="8" t="str">
        <f t="shared" si="4"/>
        <v/>
      </c>
      <c r="B90" s="4"/>
      <c r="C90" s="4"/>
      <c r="D90" s="6"/>
      <c r="E90" s="9"/>
      <c r="F90" s="4"/>
      <c r="G90" s="6"/>
      <c r="H90" s="4"/>
      <c r="I90" s="4"/>
      <c r="J90" s="4"/>
      <c r="K90" s="4"/>
      <c r="L90" s="8" t="str">
        <f>IF($D90="","",IF('Объект и должник'!$B$14="","дата принятия заявления не заполнена",IF($D90&lt;'Объект и должник'!$B$14,"до принятия заявления","после принятия заявления")))</f>
        <v/>
      </c>
      <c r="M90" s="10" t="str">
        <f t="shared" si="5"/>
        <v/>
      </c>
    </row>
    <row r="91" spans="1:13" x14ac:dyDescent="0.25">
      <c r="A91" s="8" t="str">
        <f t="shared" si="4"/>
        <v/>
      </c>
      <c r="B91" s="4"/>
      <c r="C91" s="4"/>
      <c r="D91" s="6"/>
      <c r="E91" s="9"/>
      <c r="F91" s="4"/>
      <c r="G91" s="6"/>
      <c r="H91" s="4"/>
      <c r="I91" s="4"/>
      <c r="J91" s="4"/>
      <c r="K91" s="4"/>
      <c r="L91" s="8" t="str">
        <f>IF($D91="","",IF('Объект и должник'!$B$14="","дата принятия заявления не заполнена",IF($D91&lt;'Объект и должник'!$B$14,"до принятия заявления","после принятия заявления")))</f>
        <v/>
      </c>
      <c r="M91" s="10" t="str">
        <f t="shared" si="5"/>
        <v/>
      </c>
    </row>
    <row r="92" spans="1:13" x14ac:dyDescent="0.25">
      <c r="A92" s="8" t="str">
        <f t="shared" si="4"/>
        <v/>
      </c>
      <c r="B92" s="4"/>
      <c r="C92" s="4"/>
      <c r="D92" s="6"/>
      <c r="E92" s="9"/>
      <c r="F92" s="4"/>
      <c r="G92" s="6"/>
      <c r="H92" s="4"/>
      <c r="I92" s="4"/>
      <c r="J92" s="4"/>
      <c r="K92" s="4"/>
      <c r="L92" s="8" t="str">
        <f>IF($D92="","",IF('Объект и должник'!$B$14="","дата принятия заявления не заполнена",IF($D92&lt;'Объект и должник'!$B$14,"до принятия заявления","после принятия заявления")))</f>
        <v/>
      </c>
      <c r="M92" s="10" t="str">
        <f t="shared" si="5"/>
        <v/>
      </c>
    </row>
    <row r="93" spans="1:13" x14ac:dyDescent="0.25">
      <c r="A93" s="8" t="str">
        <f t="shared" si="4"/>
        <v/>
      </c>
      <c r="B93" s="4"/>
      <c r="C93" s="4"/>
      <c r="D93" s="6"/>
      <c r="E93" s="9"/>
      <c r="F93" s="4"/>
      <c r="G93" s="6"/>
      <c r="H93" s="4"/>
      <c r="I93" s="4"/>
      <c r="J93" s="4"/>
      <c r="K93" s="4"/>
      <c r="L93" s="8" t="str">
        <f>IF($D93="","",IF('Объект и должник'!$B$14="","дата принятия заявления не заполнена",IF($D93&lt;'Объект и должник'!$B$14,"до принятия заявления","после принятия заявления")))</f>
        <v/>
      </c>
      <c r="M93" s="10" t="str">
        <f t="shared" si="5"/>
        <v/>
      </c>
    </row>
    <row r="94" spans="1:13" x14ac:dyDescent="0.25">
      <c r="A94" s="8" t="str">
        <f t="shared" si="4"/>
        <v/>
      </c>
      <c r="B94" s="4"/>
      <c r="C94" s="4"/>
      <c r="D94" s="6"/>
      <c r="E94" s="9"/>
      <c r="F94" s="4"/>
      <c r="G94" s="6"/>
      <c r="H94" s="4"/>
      <c r="I94" s="4"/>
      <c r="J94" s="4"/>
      <c r="K94" s="4"/>
      <c r="L94" s="8" t="str">
        <f>IF($D94="","",IF('Объект и должник'!$B$14="","дата принятия заявления не заполнена",IF($D94&lt;'Объект и должник'!$B$14,"до принятия заявления","после принятия заявления")))</f>
        <v/>
      </c>
      <c r="M94" s="10" t="str">
        <f t="shared" si="5"/>
        <v/>
      </c>
    </row>
    <row r="95" spans="1:13" x14ac:dyDescent="0.25">
      <c r="A95" s="8" t="str">
        <f t="shared" si="4"/>
        <v/>
      </c>
      <c r="B95" s="4"/>
      <c r="C95" s="4"/>
      <c r="D95" s="6"/>
      <c r="E95" s="9"/>
      <c r="F95" s="4"/>
      <c r="G95" s="6"/>
      <c r="H95" s="4"/>
      <c r="I95" s="4"/>
      <c r="J95" s="4"/>
      <c r="K95" s="4"/>
      <c r="L95" s="8" t="str">
        <f>IF($D95="","",IF('Объект и должник'!$B$14="","дата принятия заявления не заполнена",IF($D95&lt;'Объект и должник'!$B$14,"до принятия заявления","после принятия заявления")))</f>
        <v/>
      </c>
      <c r="M95" s="10" t="str">
        <f t="shared" si="5"/>
        <v/>
      </c>
    </row>
    <row r="96" spans="1:13" x14ac:dyDescent="0.25">
      <c r="A96" s="8" t="str">
        <f t="shared" si="4"/>
        <v/>
      </c>
      <c r="B96" s="4"/>
      <c r="C96" s="4"/>
      <c r="D96" s="6"/>
      <c r="E96" s="9"/>
      <c r="F96" s="4"/>
      <c r="G96" s="6"/>
      <c r="H96" s="4"/>
      <c r="I96" s="4"/>
      <c r="J96" s="4"/>
      <c r="K96" s="4"/>
      <c r="L96" s="8" t="str">
        <f>IF($D96="","",IF('Объект и должник'!$B$14="","дата принятия заявления не заполнена",IF($D96&lt;'Объект и должник'!$B$14,"до принятия заявления","после принятия заявления")))</f>
        <v/>
      </c>
      <c r="M96" s="10" t="str">
        <f t="shared" si="5"/>
        <v/>
      </c>
    </row>
    <row r="97" spans="1:13" x14ac:dyDescent="0.25">
      <c r="A97" s="8" t="str">
        <f t="shared" si="4"/>
        <v/>
      </c>
      <c r="B97" s="4"/>
      <c r="C97" s="4"/>
      <c r="D97" s="6"/>
      <c r="E97" s="9"/>
      <c r="F97" s="4"/>
      <c r="G97" s="6"/>
      <c r="H97" s="4"/>
      <c r="I97" s="4"/>
      <c r="J97" s="4"/>
      <c r="K97" s="4"/>
      <c r="L97" s="8" t="str">
        <f>IF($D97="","",IF('Объект и должник'!$B$14="","дата принятия заявления не заполнена",IF($D97&lt;'Объект и должник'!$B$14,"до принятия заявления","после принятия заявления")))</f>
        <v/>
      </c>
      <c r="M97" s="10" t="str">
        <f t="shared" si="5"/>
        <v/>
      </c>
    </row>
    <row r="98" spans="1:13" x14ac:dyDescent="0.25">
      <c r="A98" s="8" t="str">
        <f t="shared" si="4"/>
        <v/>
      </c>
      <c r="B98" s="4"/>
      <c r="C98" s="4"/>
      <c r="D98" s="6"/>
      <c r="E98" s="9"/>
      <c r="F98" s="4"/>
      <c r="G98" s="6"/>
      <c r="H98" s="4"/>
      <c r="I98" s="4"/>
      <c r="J98" s="4"/>
      <c r="K98" s="4"/>
      <c r="L98" s="8" t="str">
        <f>IF($D98="","",IF('Объект и должник'!$B$14="","дата принятия заявления не заполнена",IF($D98&lt;'Объект и должник'!$B$14,"до принятия заявления","после принятия заявления")))</f>
        <v/>
      </c>
      <c r="M98" s="10" t="str">
        <f t="shared" si="5"/>
        <v/>
      </c>
    </row>
    <row r="99" spans="1:13" x14ac:dyDescent="0.25">
      <c r="A99" s="8" t="str">
        <f t="shared" si="4"/>
        <v/>
      </c>
      <c r="B99" s="4"/>
      <c r="C99" s="4"/>
      <c r="D99" s="6"/>
      <c r="E99" s="9"/>
      <c r="F99" s="4"/>
      <c r="G99" s="6"/>
      <c r="H99" s="4"/>
      <c r="I99" s="4"/>
      <c r="J99" s="4"/>
      <c r="K99" s="4"/>
      <c r="L99" s="8" t="str">
        <f>IF($D99="","",IF('Объект и должник'!$B$14="","дата принятия заявления не заполнена",IF($D99&lt;'Объект и должник'!$B$14,"до принятия заявления","после принятия заявления")))</f>
        <v/>
      </c>
      <c r="M99" s="10" t="str">
        <f t="shared" si="5"/>
        <v/>
      </c>
    </row>
    <row r="100" spans="1:13" x14ac:dyDescent="0.25">
      <c r="A100" s="8" t="str">
        <f t="shared" ref="A100:A131" si="6">IF($B100="","",ROW()-3)</f>
        <v/>
      </c>
      <c r="B100" s="4"/>
      <c r="C100" s="4"/>
      <c r="D100" s="6"/>
      <c r="E100" s="9"/>
      <c r="F100" s="4"/>
      <c r="G100" s="6"/>
      <c r="H100" s="4"/>
      <c r="I100" s="4"/>
      <c r="J100" s="4"/>
      <c r="K100" s="4"/>
      <c r="L100" s="8" t="str">
        <f>IF($D100="","",IF('Объект и должник'!$B$14="","дата принятия заявления не заполнена",IF($D100&lt;'Объект и должник'!$B$14,"до принятия заявления","после принятия заявления")))</f>
        <v/>
      </c>
      <c r="M100" s="10" t="str">
        <f t="shared" ref="M100:M131" si="7">IF($B100="",IF(COUNTA($C100:$K100)&gt;0,"НЕ ЗАВЕРШЕНО: укажите тип документа",""),IF(IFERROR(OR($C100="",NOT(ISNUMBER($D100)),$D100&lt;=0,$D100&lt;&gt;INT($D100),AND($K100&lt;&gt;"да",$K100&lt;&gt;"нет")),TRUE),"НЕ ЗАВЕРШЕНО: реквизиты, дата или включение копии",IF(AND($G100&lt;&gt;"",OR(NOT(ISNUMBER($G100)),$H100="",$I100="")),"НЕ ЗАВЕРШЕНО: направление и подтверждение",IF($B100="","",IF(AND($E100&gt;0,LOWER($F100)&lt;&gt;"да"),"Акт не подписан обеими сторонами: проверьте подтверждения выполнения и сдачи.",IF(AND($G100&lt;&gt;"",$I100=""),"направлено, но подтверждение направления не указано",IF($K100="","Отметьте включение копии в перечень приложений.",IF($L100="после принятия заявления","Проверьте признаки текущего платежа по статье 5 Закона № 127-ФЗ.",""))))))))</f>
        <v/>
      </c>
    </row>
    <row r="101" spans="1:13" x14ac:dyDescent="0.25">
      <c r="A101" s="8" t="str">
        <f t="shared" si="6"/>
        <v/>
      </c>
      <c r="B101" s="4"/>
      <c r="C101" s="4"/>
      <c r="D101" s="6"/>
      <c r="E101" s="9"/>
      <c r="F101" s="4"/>
      <c r="G101" s="6"/>
      <c r="H101" s="4"/>
      <c r="I101" s="4"/>
      <c r="J101" s="4"/>
      <c r="K101" s="4"/>
      <c r="L101" s="8" t="str">
        <f>IF($D101="","",IF('Объект и должник'!$B$14="","дата принятия заявления не заполнена",IF($D101&lt;'Объект и должник'!$B$14,"до принятия заявления","после принятия заявления")))</f>
        <v/>
      </c>
      <c r="M101" s="10" t="str">
        <f t="shared" si="7"/>
        <v/>
      </c>
    </row>
    <row r="102" spans="1:13" x14ac:dyDescent="0.25">
      <c r="A102" s="8" t="str">
        <f t="shared" si="6"/>
        <v/>
      </c>
      <c r="B102" s="4"/>
      <c r="C102" s="4"/>
      <c r="D102" s="6"/>
      <c r="E102" s="9"/>
      <c r="F102" s="4"/>
      <c r="G102" s="6"/>
      <c r="H102" s="4"/>
      <c r="I102" s="4"/>
      <c r="J102" s="4"/>
      <c r="K102" s="4"/>
      <c r="L102" s="8" t="str">
        <f>IF($D102="","",IF('Объект и должник'!$B$14="","дата принятия заявления не заполнена",IF($D102&lt;'Объект и должник'!$B$14,"до принятия заявления","после принятия заявления")))</f>
        <v/>
      </c>
      <c r="M102" s="10" t="str">
        <f t="shared" si="7"/>
        <v/>
      </c>
    </row>
    <row r="103" spans="1:13" x14ac:dyDescent="0.25">
      <c r="A103" s="8" t="str">
        <f t="shared" si="6"/>
        <v/>
      </c>
      <c r="B103" s="4"/>
      <c r="C103" s="4"/>
      <c r="D103" s="6"/>
      <c r="E103" s="9"/>
      <c r="F103" s="4"/>
      <c r="G103" s="6"/>
      <c r="H103" s="4"/>
      <c r="I103" s="4"/>
      <c r="J103" s="4"/>
      <c r="K103" s="4"/>
      <c r="L103" s="8" t="str">
        <f>IF($D103="","",IF('Объект и должник'!$B$14="","дата принятия заявления не заполнена",IF($D103&lt;'Объект и должник'!$B$14,"до принятия заявления","после принятия заявления")))</f>
        <v/>
      </c>
      <c r="M103" s="10" t="str">
        <f t="shared" si="7"/>
        <v/>
      </c>
    </row>
    <row r="104" spans="1:13" x14ac:dyDescent="0.25">
      <c r="A104" s="8" t="str">
        <f t="shared" si="6"/>
        <v/>
      </c>
      <c r="B104" s="4"/>
      <c r="C104" s="4"/>
      <c r="D104" s="6"/>
      <c r="E104" s="9"/>
      <c r="F104" s="4"/>
      <c r="G104" s="6"/>
      <c r="H104" s="4"/>
      <c r="I104" s="4"/>
      <c r="J104" s="4"/>
      <c r="K104" s="4"/>
      <c r="L104" s="8" t="str">
        <f>IF($D104="","",IF('Объект и должник'!$B$14="","дата принятия заявления не заполнена",IF($D104&lt;'Объект и должник'!$B$14,"до принятия заявления","после принятия заявления")))</f>
        <v/>
      </c>
      <c r="M104" s="10" t="str">
        <f t="shared" si="7"/>
        <v/>
      </c>
    </row>
    <row r="105" spans="1:13" x14ac:dyDescent="0.25">
      <c r="A105" s="8" t="str">
        <f t="shared" si="6"/>
        <v/>
      </c>
      <c r="B105" s="4"/>
      <c r="C105" s="4"/>
      <c r="D105" s="6"/>
      <c r="E105" s="9"/>
      <c r="F105" s="4"/>
      <c r="G105" s="6"/>
      <c r="H105" s="4"/>
      <c r="I105" s="4"/>
      <c r="J105" s="4"/>
      <c r="K105" s="4"/>
      <c r="L105" s="8" t="str">
        <f>IF($D105="","",IF('Объект и должник'!$B$14="","дата принятия заявления не заполнена",IF($D105&lt;'Объект и должник'!$B$14,"до принятия заявления","после принятия заявления")))</f>
        <v/>
      </c>
      <c r="M105" s="10" t="str">
        <f t="shared" si="7"/>
        <v/>
      </c>
    </row>
    <row r="106" spans="1:13" x14ac:dyDescent="0.25">
      <c r="A106" s="8" t="str">
        <f t="shared" si="6"/>
        <v/>
      </c>
      <c r="B106" s="4"/>
      <c r="C106" s="4"/>
      <c r="D106" s="6"/>
      <c r="E106" s="9"/>
      <c r="F106" s="4"/>
      <c r="G106" s="6"/>
      <c r="H106" s="4"/>
      <c r="I106" s="4"/>
      <c r="J106" s="4"/>
      <c r="K106" s="4"/>
      <c r="L106" s="8" t="str">
        <f>IF($D106="","",IF('Объект и должник'!$B$14="","дата принятия заявления не заполнена",IF($D106&lt;'Объект и должник'!$B$14,"до принятия заявления","после принятия заявления")))</f>
        <v/>
      </c>
      <c r="M106" s="10" t="str">
        <f t="shared" si="7"/>
        <v/>
      </c>
    </row>
    <row r="107" spans="1:13" x14ac:dyDescent="0.25">
      <c r="A107" s="8" t="str">
        <f t="shared" si="6"/>
        <v/>
      </c>
      <c r="B107" s="4"/>
      <c r="C107" s="4"/>
      <c r="D107" s="6"/>
      <c r="E107" s="9"/>
      <c r="F107" s="4"/>
      <c r="G107" s="6"/>
      <c r="H107" s="4"/>
      <c r="I107" s="4"/>
      <c r="J107" s="4"/>
      <c r="K107" s="4"/>
      <c r="L107" s="8" t="str">
        <f>IF($D107="","",IF('Объект и должник'!$B$14="","дата принятия заявления не заполнена",IF($D107&lt;'Объект и должник'!$B$14,"до принятия заявления","после принятия заявления")))</f>
        <v/>
      </c>
      <c r="M107" s="10" t="str">
        <f t="shared" si="7"/>
        <v/>
      </c>
    </row>
    <row r="108" spans="1:13" x14ac:dyDescent="0.25">
      <c r="A108" s="8" t="str">
        <f t="shared" si="6"/>
        <v/>
      </c>
      <c r="B108" s="4"/>
      <c r="C108" s="4"/>
      <c r="D108" s="6"/>
      <c r="E108" s="9"/>
      <c r="F108" s="4"/>
      <c r="G108" s="6"/>
      <c r="H108" s="4"/>
      <c r="I108" s="4"/>
      <c r="J108" s="4"/>
      <c r="K108" s="4"/>
      <c r="L108" s="8" t="str">
        <f>IF($D108="","",IF('Объект и должник'!$B$14="","дата принятия заявления не заполнена",IF($D108&lt;'Объект и должник'!$B$14,"до принятия заявления","после принятия заявления")))</f>
        <v/>
      </c>
      <c r="M108" s="10" t="str">
        <f t="shared" si="7"/>
        <v/>
      </c>
    </row>
    <row r="109" spans="1:13" x14ac:dyDescent="0.25">
      <c r="A109" s="8" t="str">
        <f t="shared" si="6"/>
        <v/>
      </c>
      <c r="B109" s="4"/>
      <c r="C109" s="4"/>
      <c r="D109" s="6"/>
      <c r="E109" s="9"/>
      <c r="F109" s="4"/>
      <c r="G109" s="6"/>
      <c r="H109" s="4"/>
      <c r="I109" s="4"/>
      <c r="J109" s="4"/>
      <c r="K109" s="4"/>
      <c r="L109" s="8" t="str">
        <f>IF($D109="","",IF('Объект и должник'!$B$14="","дата принятия заявления не заполнена",IF($D109&lt;'Объект и должник'!$B$14,"до принятия заявления","после принятия заявления")))</f>
        <v/>
      </c>
      <c r="M109" s="10" t="str">
        <f t="shared" si="7"/>
        <v/>
      </c>
    </row>
    <row r="110" spans="1:13" x14ac:dyDescent="0.25">
      <c r="A110" s="8" t="str">
        <f t="shared" si="6"/>
        <v/>
      </c>
      <c r="B110" s="4"/>
      <c r="C110" s="4"/>
      <c r="D110" s="6"/>
      <c r="E110" s="9"/>
      <c r="F110" s="4"/>
      <c r="G110" s="6"/>
      <c r="H110" s="4"/>
      <c r="I110" s="4"/>
      <c r="J110" s="4"/>
      <c r="K110" s="4"/>
      <c r="L110" s="8" t="str">
        <f>IF($D110="","",IF('Объект и должник'!$B$14="","дата принятия заявления не заполнена",IF($D110&lt;'Объект и должник'!$B$14,"до принятия заявления","после принятия заявления")))</f>
        <v/>
      </c>
      <c r="M110" s="10" t="str">
        <f t="shared" si="7"/>
        <v/>
      </c>
    </row>
    <row r="111" spans="1:13" x14ac:dyDescent="0.25">
      <c r="A111" s="8" t="str">
        <f t="shared" si="6"/>
        <v/>
      </c>
      <c r="B111" s="4"/>
      <c r="C111" s="4"/>
      <c r="D111" s="6"/>
      <c r="E111" s="9"/>
      <c r="F111" s="4"/>
      <c r="G111" s="6"/>
      <c r="H111" s="4"/>
      <c r="I111" s="4"/>
      <c r="J111" s="4"/>
      <c r="K111" s="4"/>
      <c r="L111" s="8" t="str">
        <f>IF($D111="","",IF('Объект и должник'!$B$14="","дата принятия заявления не заполнена",IF($D111&lt;'Объект и должник'!$B$14,"до принятия заявления","после принятия заявления")))</f>
        <v/>
      </c>
      <c r="M111" s="10" t="str">
        <f t="shared" si="7"/>
        <v/>
      </c>
    </row>
    <row r="112" spans="1:13" x14ac:dyDescent="0.25">
      <c r="A112" s="8" t="str">
        <f t="shared" si="6"/>
        <v/>
      </c>
      <c r="B112" s="4"/>
      <c r="C112" s="4"/>
      <c r="D112" s="6"/>
      <c r="E112" s="9"/>
      <c r="F112" s="4"/>
      <c r="G112" s="6"/>
      <c r="H112" s="4"/>
      <c r="I112" s="4"/>
      <c r="J112" s="4"/>
      <c r="K112" s="4"/>
      <c r="L112" s="8" t="str">
        <f>IF($D112="","",IF('Объект и должник'!$B$14="","дата принятия заявления не заполнена",IF($D112&lt;'Объект и должник'!$B$14,"до принятия заявления","после принятия заявления")))</f>
        <v/>
      </c>
      <c r="M112" s="10" t="str">
        <f t="shared" si="7"/>
        <v/>
      </c>
    </row>
    <row r="113" spans="1:13" x14ac:dyDescent="0.25">
      <c r="A113" s="8" t="str">
        <f t="shared" si="6"/>
        <v/>
      </c>
      <c r="B113" s="4"/>
      <c r="C113" s="4"/>
      <c r="D113" s="6"/>
      <c r="E113" s="9"/>
      <c r="F113" s="4"/>
      <c r="G113" s="6"/>
      <c r="H113" s="4"/>
      <c r="I113" s="4"/>
      <c r="J113" s="4"/>
      <c r="K113" s="4"/>
      <c r="L113" s="8" t="str">
        <f>IF($D113="","",IF('Объект и должник'!$B$14="","дата принятия заявления не заполнена",IF($D113&lt;'Объект и должник'!$B$14,"до принятия заявления","после принятия заявления")))</f>
        <v/>
      </c>
      <c r="M113" s="10" t="str">
        <f t="shared" si="7"/>
        <v/>
      </c>
    </row>
    <row r="114" spans="1:13" x14ac:dyDescent="0.25">
      <c r="A114" s="8" t="str">
        <f t="shared" si="6"/>
        <v/>
      </c>
      <c r="B114" s="4"/>
      <c r="C114" s="4"/>
      <c r="D114" s="6"/>
      <c r="E114" s="9"/>
      <c r="F114" s="4"/>
      <c r="G114" s="6"/>
      <c r="H114" s="4"/>
      <c r="I114" s="4"/>
      <c r="J114" s="4"/>
      <c r="K114" s="4"/>
      <c r="L114" s="8" t="str">
        <f>IF($D114="","",IF('Объект и должник'!$B$14="","дата принятия заявления не заполнена",IF($D114&lt;'Объект и должник'!$B$14,"до принятия заявления","после принятия заявления")))</f>
        <v/>
      </c>
      <c r="M114" s="10" t="str">
        <f t="shared" si="7"/>
        <v/>
      </c>
    </row>
    <row r="115" spans="1:13" x14ac:dyDescent="0.25">
      <c r="A115" s="8" t="str">
        <f t="shared" si="6"/>
        <v/>
      </c>
      <c r="B115" s="4"/>
      <c r="C115" s="4"/>
      <c r="D115" s="6"/>
      <c r="E115" s="9"/>
      <c r="F115" s="4"/>
      <c r="G115" s="6"/>
      <c r="H115" s="4"/>
      <c r="I115" s="4"/>
      <c r="J115" s="4"/>
      <c r="K115" s="4"/>
      <c r="L115" s="8" t="str">
        <f>IF($D115="","",IF('Объект и должник'!$B$14="","дата принятия заявления не заполнена",IF($D115&lt;'Объект и должник'!$B$14,"до принятия заявления","после принятия заявления")))</f>
        <v/>
      </c>
      <c r="M115" s="10" t="str">
        <f t="shared" si="7"/>
        <v/>
      </c>
    </row>
    <row r="116" spans="1:13" x14ac:dyDescent="0.25">
      <c r="A116" s="8" t="str">
        <f t="shared" si="6"/>
        <v/>
      </c>
      <c r="B116" s="4"/>
      <c r="C116" s="4"/>
      <c r="D116" s="6"/>
      <c r="E116" s="9"/>
      <c r="F116" s="4"/>
      <c r="G116" s="6"/>
      <c r="H116" s="4"/>
      <c r="I116" s="4"/>
      <c r="J116" s="4"/>
      <c r="K116" s="4"/>
      <c r="L116" s="8" t="str">
        <f>IF($D116="","",IF('Объект и должник'!$B$14="","дата принятия заявления не заполнена",IF($D116&lt;'Объект и должник'!$B$14,"до принятия заявления","после принятия заявления")))</f>
        <v/>
      </c>
      <c r="M116" s="10" t="str">
        <f t="shared" si="7"/>
        <v/>
      </c>
    </row>
    <row r="117" spans="1:13" x14ac:dyDescent="0.25">
      <c r="A117" s="8" t="str">
        <f t="shared" si="6"/>
        <v/>
      </c>
      <c r="B117" s="4"/>
      <c r="C117" s="4"/>
      <c r="D117" s="6"/>
      <c r="E117" s="9"/>
      <c r="F117" s="4"/>
      <c r="G117" s="6"/>
      <c r="H117" s="4"/>
      <c r="I117" s="4"/>
      <c r="J117" s="4"/>
      <c r="K117" s="4"/>
      <c r="L117" s="8" t="str">
        <f>IF($D117="","",IF('Объект и должник'!$B$14="","дата принятия заявления не заполнена",IF($D117&lt;'Объект и должник'!$B$14,"до принятия заявления","после принятия заявления")))</f>
        <v/>
      </c>
      <c r="M117" s="10" t="str">
        <f t="shared" si="7"/>
        <v/>
      </c>
    </row>
    <row r="118" spans="1:13" x14ac:dyDescent="0.25">
      <c r="A118" s="8" t="str">
        <f t="shared" si="6"/>
        <v/>
      </c>
      <c r="B118" s="4"/>
      <c r="C118" s="4"/>
      <c r="D118" s="6"/>
      <c r="E118" s="9"/>
      <c r="F118" s="4"/>
      <c r="G118" s="6"/>
      <c r="H118" s="4"/>
      <c r="I118" s="4"/>
      <c r="J118" s="4"/>
      <c r="K118" s="4"/>
      <c r="L118" s="8" t="str">
        <f>IF($D118="","",IF('Объект и должник'!$B$14="","дата принятия заявления не заполнена",IF($D118&lt;'Объект и должник'!$B$14,"до принятия заявления","после принятия заявления")))</f>
        <v/>
      </c>
      <c r="M118" s="10" t="str">
        <f t="shared" si="7"/>
        <v/>
      </c>
    </row>
    <row r="119" spans="1:13" x14ac:dyDescent="0.25">
      <c r="A119" s="8" t="str">
        <f t="shared" si="6"/>
        <v/>
      </c>
      <c r="B119" s="4"/>
      <c r="C119" s="4"/>
      <c r="D119" s="6"/>
      <c r="E119" s="9"/>
      <c r="F119" s="4"/>
      <c r="G119" s="6"/>
      <c r="H119" s="4"/>
      <c r="I119" s="4"/>
      <c r="J119" s="4"/>
      <c r="K119" s="4"/>
      <c r="L119" s="8" t="str">
        <f>IF($D119="","",IF('Объект и должник'!$B$14="","дата принятия заявления не заполнена",IF($D119&lt;'Объект и должник'!$B$14,"до принятия заявления","после принятия заявления")))</f>
        <v/>
      </c>
      <c r="M119" s="10" t="str">
        <f t="shared" si="7"/>
        <v/>
      </c>
    </row>
    <row r="120" spans="1:13" x14ac:dyDescent="0.25">
      <c r="A120" s="8" t="str">
        <f t="shared" si="6"/>
        <v/>
      </c>
      <c r="B120" s="4"/>
      <c r="C120" s="4"/>
      <c r="D120" s="6"/>
      <c r="E120" s="9"/>
      <c r="F120" s="4"/>
      <c r="G120" s="6"/>
      <c r="H120" s="4"/>
      <c r="I120" s="4"/>
      <c r="J120" s="4"/>
      <c r="K120" s="4"/>
      <c r="L120" s="8" t="str">
        <f>IF($D120="","",IF('Объект и должник'!$B$14="","дата принятия заявления не заполнена",IF($D120&lt;'Объект и должник'!$B$14,"до принятия заявления","после принятия заявления")))</f>
        <v/>
      </c>
      <c r="M120" s="10" t="str">
        <f t="shared" si="7"/>
        <v/>
      </c>
    </row>
    <row r="121" spans="1:13" x14ac:dyDescent="0.25">
      <c r="A121" s="8" t="str">
        <f t="shared" si="6"/>
        <v/>
      </c>
      <c r="B121" s="4"/>
      <c r="C121" s="4"/>
      <c r="D121" s="6"/>
      <c r="E121" s="9"/>
      <c r="F121" s="4"/>
      <c r="G121" s="6"/>
      <c r="H121" s="4"/>
      <c r="I121" s="4"/>
      <c r="J121" s="4"/>
      <c r="K121" s="4"/>
      <c r="L121" s="8" t="str">
        <f>IF($D121="","",IF('Объект и должник'!$B$14="","дата принятия заявления не заполнена",IF($D121&lt;'Объект и должник'!$B$14,"до принятия заявления","после принятия заявления")))</f>
        <v/>
      </c>
      <c r="M121" s="10" t="str">
        <f t="shared" si="7"/>
        <v/>
      </c>
    </row>
    <row r="122" spans="1:13" x14ac:dyDescent="0.25">
      <c r="A122" s="8" t="str">
        <f t="shared" si="6"/>
        <v/>
      </c>
      <c r="B122" s="4"/>
      <c r="C122" s="4"/>
      <c r="D122" s="6"/>
      <c r="E122" s="9"/>
      <c r="F122" s="4"/>
      <c r="G122" s="6"/>
      <c r="H122" s="4"/>
      <c r="I122" s="4"/>
      <c r="J122" s="4"/>
      <c r="K122" s="4"/>
      <c r="L122" s="8" t="str">
        <f>IF($D122="","",IF('Объект и должник'!$B$14="","дата принятия заявления не заполнена",IF($D122&lt;'Объект и должник'!$B$14,"до принятия заявления","после принятия заявления")))</f>
        <v/>
      </c>
      <c r="M122" s="10" t="str">
        <f t="shared" si="7"/>
        <v/>
      </c>
    </row>
    <row r="123" spans="1:13" x14ac:dyDescent="0.25">
      <c r="A123" s="8" t="str">
        <f t="shared" si="6"/>
        <v/>
      </c>
      <c r="B123" s="4"/>
      <c r="C123" s="4"/>
      <c r="D123" s="6"/>
      <c r="E123" s="9"/>
      <c r="F123" s="4"/>
      <c r="G123" s="6"/>
      <c r="H123" s="4"/>
      <c r="I123" s="4"/>
      <c r="J123" s="4"/>
      <c r="K123" s="4"/>
      <c r="L123" s="8" t="str">
        <f>IF($D123="","",IF('Объект и должник'!$B$14="","дата принятия заявления не заполнена",IF($D123&lt;'Объект и должник'!$B$14,"до принятия заявления","после принятия заявления")))</f>
        <v/>
      </c>
      <c r="M123" s="10" t="str">
        <f t="shared" si="7"/>
        <v/>
      </c>
    </row>
    <row r="124" spans="1:13" x14ac:dyDescent="0.25">
      <c r="A124" s="8" t="str">
        <f t="shared" si="6"/>
        <v/>
      </c>
      <c r="B124" s="4"/>
      <c r="C124" s="4"/>
      <c r="D124" s="6"/>
      <c r="E124" s="9"/>
      <c r="F124" s="4"/>
      <c r="G124" s="6"/>
      <c r="H124" s="4"/>
      <c r="I124" s="4"/>
      <c r="J124" s="4"/>
      <c r="K124" s="4"/>
      <c r="L124" s="8" t="str">
        <f>IF($D124="","",IF('Объект и должник'!$B$14="","дата принятия заявления не заполнена",IF($D124&lt;'Объект и должник'!$B$14,"до принятия заявления","после принятия заявления")))</f>
        <v/>
      </c>
      <c r="M124" s="10" t="str">
        <f t="shared" si="7"/>
        <v/>
      </c>
    </row>
    <row r="125" spans="1:13" x14ac:dyDescent="0.25">
      <c r="A125" s="8" t="str">
        <f t="shared" si="6"/>
        <v/>
      </c>
      <c r="B125" s="4"/>
      <c r="C125" s="4"/>
      <c r="D125" s="6"/>
      <c r="E125" s="9"/>
      <c r="F125" s="4"/>
      <c r="G125" s="6"/>
      <c r="H125" s="4"/>
      <c r="I125" s="4"/>
      <c r="J125" s="4"/>
      <c r="K125" s="4"/>
      <c r="L125" s="8" t="str">
        <f>IF($D125="","",IF('Объект и должник'!$B$14="","дата принятия заявления не заполнена",IF($D125&lt;'Объект и должник'!$B$14,"до принятия заявления","после принятия заявления")))</f>
        <v/>
      </c>
      <c r="M125" s="10" t="str">
        <f t="shared" si="7"/>
        <v/>
      </c>
    </row>
    <row r="126" spans="1:13" x14ac:dyDescent="0.25">
      <c r="A126" s="8" t="str">
        <f t="shared" si="6"/>
        <v/>
      </c>
      <c r="B126" s="4"/>
      <c r="C126" s="4"/>
      <c r="D126" s="6"/>
      <c r="E126" s="9"/>
      <c r="F126" s="4"/>
      <c r="G126" s="6"/>
      <c r="H126" s="4"/>
      <c r="I126" s="4"/>
      <c r="J126" s="4"/>
      <c r="K126" s="4"/>
      <c r="L126" s="8" t="str">
        <f>IF($D126="","",IF('Объект и должник'!$B$14="","дата принятия заявления не заполнена",IF($D126&lt;'Объект и должник'!$B$14,"до принятия заявления","после принятия заявления")))</f>
        <v/>
      </c>
      <c r="M126" s="10" t="str">
        <f t="shared" si="7"/>
        <v/>
      </c>
    </row>
    <row r="127" spans="1:13" x14ac:dyDescent="0.25">
      <c r="A127" s="8" t="str">
        <f t="shared" si="6"/>
        <v/>
      </c>
      <c r="B127" s="4"/>
      <c r="C127" s="4"/>
      <c r="D127" s="6"/>
      <c r="E127" s="9"/>
      <c r="F127" s="4"/>
      <c r="G127" s="6"/>
      <c r="H127" s="4"/>
      <c r="I127" s="4"/>
      <c r="J127" s="4"/>
      <c r="K127" s="4"/>
      <c r="L127" s="8" t="str">
        <f>IF($D127="","",IF('Объект и должник'!$B$14="","дата принятия заявления не заполнена",IF($D127&lt;'Объект и должник'!$B$14,"до принятия заявления","после принятия заявления")))</f>
        <v/>
      </c>
      <c r="M127" s="10" t="str">
        <f t="shared" si="7"/>
        <v/>
      </c>
    </row>
    <row r="128" spans="1:13" x14ac:dyDescent="0.25">
      <c r="A128" s="8" t="str">
        <f t="shared" si="6"/>
        <v/>
      </c>
      <c r="B128" s="4"/>
      <c r="C128" s="4"/>
      <c r="D128" s="6"/>
      <c r="E128" s="9"/>
      <c r="F128" s="4"/>
      <c r="G128" s="6"/>
      <c r="H128" s="4"/>
      <c r="I128" s="4"/>
      <c r="J128" s="4"/>
      <c r="K128" s="4"/>
      <c r="L128" s="8" t="str">
        <f>IF($D128="","",IF('Объект и должник'!$B$14="","дата принятия заявления не заполнена",IF($D128&lt;'Объект и должник'!$B$14,"до принятия заявления","после принятия заявления")))</f>
        <v/>
      </c>
      <c r="M128" s="10" t="str">
        <f t="shared" si="7"/>
        <v/>
      </c>
    </row>
    <row r="129" spans="1:13" x14ac:dyDescent="0.25">
      <c r="A129" s="8" t="str">
        <f t="shared" si="6"/>
        <v/>
      </c>
      <c r="B129" s="4"/>
      <c r="C129" s="4"/>
      <c r="D129" s="6"/>
      <c r="E129" s="9"/>
      <c r="F129" s="4"/>
      <c r="G129" s="6"/>
      <c r="H129" s="4"/>
      <c r="I129" s="4"/>
      <c r="J129" s="4"/>
      <c r="K129" s="4"/>
      <c r="L129" s="8" t="str">
        <f>IF($D129="","",IF('Объект и должник'!$B$14="","дата принятия заявления не заполнена",IF($D129&lt;'Объект и должник'!$B$14,"до принятия заявления","после принятия заявления")))</f>
        <v/>
      </c>
      <c r="M129" s="10" t="str">
        <f t="shared" si="7"/>
        <v/>
      </c>
    </row>
    <row r="130" spans="1:13" x14ac:dyDescent="0.25">
      <c r="A130" s="8" t="str">
        <f t="shared" si="6"/>
        <v/>
      </c>
      <c r="B130" s="4"/>
      <c r="C130" s="4"/>
      <c r="D130" s="6"/>
      <c r="E130" s="9"/>
      <c r="F130" s="4"/>
      <c r="G130" s="6"/>
      <c r="H130" s="4"/>
      <c r="I130" s="4"/>
      <c r="J130" s="4"/>
      <c r="K130" s="4"/>
      <c r="L130" s="8" t="str">
        <f>IF($D130="","",IF('Объект и должник'!$B$14="","дата принятия заявления не заполнена",IF($D130&lt;'Объект и должник'!$B$14,"до принятия заявления","после принятия заявления")))</f>
        <v/>
      </c>
      <c r="M130" s="10" t="str">
        <f t="shared" si="7"/>
        <v/>
      </c>
    </row>
    <row r="131" spans="1:13" x14ac:dyDescent="0.25">
      <c r="A131" s="8" t="str">
        <f t="shared" si="6"/>
        <v/>
      </c>
      <c r="B131" s="4"/>
      <c r="C131" s="4"/>
      <c r="D131" s="6"/>
      <c r="E131" s="9"/>
      <c r="F131" s="4"/>
      <c r="G131" s="6"/>
      <c r="H131" s="4"/>
      <c r="I131" s="4"/>
      <c r="J131" s="4"/>
      <c r="K131" s="4"/>
      <c r="L131" s="8" t="str">
        <f>IF($D131="","",IF('Объект и должник'!$B$14="","дата принятия заявления не заполнена",IF($D131&lt;'Объект и должник'!$B$14,"до принятия заявления","после принятия заявления")))</f>
        <v/>
      </c>
      <c r="M131" s="10" t="str">
        <f t="shared" si="7"/>
        <v/>
      </c>
    </row>
    <row r="132" spans="1:13" x14ac:dyDescent="0.25">
      <c r="A132" s="8" t="str">
        <f t="shared" ref="A132:A163" si="8">IF($B132="","",ROW()-3)</f>
        <v/>
      </c>
      <c r="B132" s="4"/>
      <c r="C132" s="4"/>
      <c r="D132" s="6"/>
      <c r="E132" s="9"/>
      <c r="F132" s="4"/>
      <c r="G132" s="6"/>
      <c r="H132" s="4"/>
      <c r="I132" s="4"/>
      <c r="J132" s="4"/>
      <c r="K132" s="4"/>
      <c r="L132" s="8" t="str">
        <f>IF($D132="","",IF('Объект и должник'!$B$14="","дата принятия заявления не заполнена",IF($D132&lt;'Объект и должник'!$B$14,"до принятия заявления","после принятия заявления")))</f>
        <v/>
      </c>
      <c r="M132" s="10" t="str">
        <f t="shared" ref="M132:M163" si="9">IF($B132="",IF(COUNTA($C132:$K132)&gt;0,"НЕ ЗАВЕРШЕНО: укажите тип документа",""),IF(IFERROR(OR($C132="",NOT(ISNUMBER($D132)),$D132&lt;=0,$D132&lt;&gt;INT($D132),AND($K132&lt;&gt;"да",$K132&lt;&gt;"нет")),TRUE),"НЕ ЗАВЕРШЕНО: реквизиты, дата или включение копии",IF(AND($G132&lt;&gt;"",OR(NOT(ISNUMBER($G132)),$H132="",$I132="")),"НЕ ЗАВЕРШЕНО: направление и подтверждение",IF($B132="","",IF(AND($E132&gt;0,LOWER($F132)&lt;&gt;"да"),"Акт не подписан обеими сторонами: проверьте подтверждения выполнения и сдачи.",IF(AND($G132&lt;&gt;"",$I132=""),"направлено, но подтверждение направления не указано",IF($K132="","Отметьте включение копии в перечень приложений.",IF($L132="после принятия заявления","Проверьте признаки текущего платежа по статье 5 Закона № 127-ФЗ.",""))))))))</f>
        <v/>
      </c>
    </row>
    <row r="133" spans="1:13" x14ac:dyDescent="0.25">
      <c r="A133" s="8" t="str">
        <f t="shared" si="8"/>
        <v/>
      </c>
      <c r="B133" s="4"/>
      <c r="C133" s="4"/>
      <c r="D133" s="6"/>
      <c r="E133" s="9"/>
      <c r="F133" s="4"/>
      <c r="G133" s="6"/>
      <c r="H133" s="4"/>
      <c r="I133" s="4"/>
      <c r="J133" s="4"/>
      <c r="K133" s="4"/>
      <c r="L133" s="8" t="str">
        <f>IF($D133="","",IF('Объект и должник'!$B$14="","дата принятия заявления не заполнена",IF($D133&lt;'Объект и должник'!$B$14,"до принятия заявления","после принятия заявления")))</f>
        <v/>
      </c>
      <c r="M133" s="10" t="str">
        <f t="shared" si="9"/>
        <v/>
      </c>
    </row>
    <row r="134" spans="1:13" x14ac:dyDescent="0.25">
      <c r="A134" s="8" t="str">
        <f t="shared" si="8"/>
        <v/>
      </c>
      <c r="B134" s="4"/>
      <c r="C134" s="4"/>
      <c r="D134" s="6"/>
      <c r="E134" s="9"/>
      <c r="F134" s="4"/>
      <c r="G134" s="6"/>
      <c r="H134" s="4"/>
      <c r="I134" s="4"/>
      <c r="J134" s="4"/>
      <c r="K134" s="4"/>
      <c r="L134" s="8" t="str">
        <f>IF($D134="","",IF('Объект и должник'!$B$14="","дата принятия заявления не заполнена",IF($D134&lt;'Объект и должник'!$B$14,"до принятия заявления","после принятия заявления")))</f>
        <v/>
      </c>
      <c r="M134" s="10" t="str">
        <f t="shared" si="9"/>
        <v/>
      </c>
    </row>
    <row r="135" spans="1:13" x14ac:dyDescent="0.25">
      <c r="A135" s="8" t="str">
        <f t="shared" si="8"/>
        <v/>
      </c>
      <c r="B135" s="4"/>
      <c r="C135" s="4"/>
      <c r="D135" s="6"/>
      <c r="E135" s="9"/>
      <c r="F135" s="4"/>
      <c r="G135" s="6"/>
      <c r="H135" s="4"/>
      <c r="I135" s="4"/>
      <c r="J135" s="4"/>
      <c r="K135" s="4"/>
      <c r="L135" s="8" t="str">
        <f>IF($D135="","",IF('Объект и должник'!$B$14="","дата принятия заявления не заполнена",IF($D135&lt;'Объект и должник'!$B$14,"до принятия заявления","после принятия заявления")))</f>
        <v/>
      </c>
      <c r="M135" s="10" t="str">
        <f t="shared" si="9"/>
        <v/>
      </c>
    </row>
    <row r="136" spans="1:13" x14ac:dyDescent="0.25">
      <c r="A136" s="8" t="str">
        <f t="shared" si="8"/>
        <v/>
      </c>
      <c r="B136" s="4"/>
      <c r="C136" s="4"/>
      <c r="D136" s="6"/>
      <c r="E136" s="9"/>
      <c r="F136" s="4"/>
      <c r="G136" s="6"/>
      <c r="H136" s="4"/>
      <c r="I136" s="4"/>
      <c r="J136" s="4"/>
      <c r="K136" s="4"/>
      <c r="L136" s="8" t="str">
        <f>IF($D136="","",IF('Объект и должник'!$B$14="","дата принятия заявления не заполнена",IF($D136&lt;'Объект и должник'!$B$14,"до принятия заявления","после принятия заявления")))</f>
        <v/>
      </c>
      <c r="M136" s="10" t="str">
        <f t="shared" si="9"/>
        <v/>
      </c>
    </row>
    <row r="137" spans="1:13" x14ac:dyDescent="0.25">
      <c r="A137" s="8" t="str">
        <f t="shared" si="8"/>
        <v/>
      </c>
      <c r="B137" s="4"/>
      <c r="C137" s="4"/>
      <c r="D137" s="6"/>
      <c r="E137" s="9"/>
      <c r="F137" s="4"/>
      <c r="G137" s="6"/>
      <c r="H137" s="4"/>
      <c r="I137" s="4"/>
      <c r="J137" s="4"/>
      <c r="K137" s="4"/>
      <c r="L137" s="8" t="str">
        <f>IF($D137="","",IF('Объект и должник'!$B$14="","дата принятия заявления не заполнена",IF($D137&lt;'Объект и должник'!$B$14,"до принятия заявления","после принятия заявления")))</f>
        <v/>
      </c>
      <c r="M137" s="10" t="str">
        <f t="shared" si="9"/>
        <v/>
      </c>
    </row>
    <row r="138" spans="1:13" x14ac:dyDescent="0.25">
      <c r="A138" s="8" t="str">
        <f t="shared" si="8"/>
        <v/>
      </c>
      <c r="B138" s="4"/>
      <c r="C138" s="4"/>
      <c r="D138" s="6"/>
      <c r="E138" s="9"/>
      <c r="F138" s="4"/>
      <c r="G138" s="6"/>
      <c r="H138" s="4"/>
      <c r="I138" s="4"/>
      <c r="J138" s="4"/>
      <c r="K138" s="4"/>
      <c r="L138" s="8" t="str">
        <f>IF($D138="","",IF('Объект и должник'!$B$14="","дата принятия заявления не заполнена",IF($D138&lt;'Объект и должник'!$B$14,"до принятия заявления","после принятия заявления")))</f>
        <v/>
      </c>
      <c r="M138" s="10" t="str">
        <f t="shared" si="9"/>
        <v/>
      </c>
    </row>
    <row r="139" spans="1:13" x14ac:dyDescent="0.25">
      <c r="A139" s="8" t="str">
        <f t="shared" si="8"/>
        <v/>
      </c>
      <c r="B139" s="4"/>
      <c r="C139" s="4"/>
      <c r="D139" s="6"/>
      <c r="E139" s="9"/>
      <c r="F139" s="4"/>
      <c r="G139" s="6"/>
      <c r="H139" s="4"/>
      <c r="I139" s="4"/>
      <c r="J139" s="4"/>
      <c r="K139" s="4"/>
      <c r="L139" s="8" t="str">
        <f>IF($D139="","",IF('Объект и должник'!$B$14="","дата принятия заявления не заполнена",IF($D139&lt;'Объект и должник'!$B$14,"до принятия заявления","после принятия заявления")))</f>
        <v/>
      </c>
      <c r="M139" s="10" t="str">
        <f t="shared" si="9"/>
        <v/>
      </c>
    </row>
    <row r="140" spans="1:13" x14ac:dyDescent="0.25">
      <c r="A140" s="8" t="str">
        <f t="shared" si="8"/>
        <v/>
      </c>
      <c r="B140" s="4"/>
      <c r="C140" s="4"/>
      <c r="D140" s="6"/>
      <c r="E140" s="9"/>
      <c r="F140" s="4"/>
      <c r="G140" s="6"/>
      <c r="H140" s="4"/>
      <c r="I140" s="4"/>
      <c r="J140" s="4"/>
      <c r="K140" s="4"/>
      <c r="L140" s="8" t="str">
        <f>IF($D140="","",IF('Объект и должник'!$B$14="","дата принятия заявления не заполнена",IF($D140&lt;'Объект и должник'!$B$14,"до принятия заявления","после принятия заявления")))</f>
        <v/>
      </c>
      <c r="M140" s="10" t="str">
        <f t="shared" si="9"/>
        <v/>
      </c>
    </row>
    <row r="141" spans="1:13" x14ac:dyDescent="0.25">
      <c r="A141" s="8" t="str">
        <f t="shared" si="8"/>
        <v/>
      </c>
      <c r="B141" s="4"/>
      <c r="C141" s="4"/>
      <c r="D141" s="6"/>
      <c r="E141" s="9"/>
      <c r="F141" s="4"/>
      <c r="G141" s="6"/>
      <c r="H141" s="4"/>
      <c r="I141" s="4"/>
      <c r="J141" s="4"/>
      <c r="K141" s="4"/>
      <c r="L141" s="8" t="str">
        <f>IF($D141="","",IF('Объект и должник'!$B$14="","дата принятия заявления не заполнена",IF($D141&lt;'Объект и должник'!$B$14,"до принятия заявления","после принятия заявления")))</f>
        <v/>
      </c>
      <c r="M141" s="10" t="str">
        <f t="shared" si="9"/>
        <v/>
      </c>
    </row>
    <row r="142" spans="1:13" x14ac:dyDescent="0.25">
      <c r="A142" s="8" t="str">
        <f t="shared" si="8"/>
        <v/>
      </c>
      <c r="B142" s="4"/>
      <c r="C142" s="4"/>
      <c r="D142" s="6"/>
      <c r="E142" s="9"/>
      <c r="F142" s="4"/>
      <c r="G142" s="6"/>
      <c r="H142" s="4"/>
      <c r="I142" s="4"/>
      <c r="J142" s="4"/>
      <c r="K142" s="4"/>
      <c r="L142" s="8" t="str">
        <f>IF($D142="","",IF('Объект и должник'!$B$14="","дата принятия заявления не заполнена",IF($D142&lt;'Объект и должник'!$B$14,"до принятия заявления","после принятия заявления")))</f>
        <v/>
      </c>
      <c r="M142" s="10" t="str">
        <f t="shared" si="9"/>
        <v/>
      </c>
    </row>
    <row r="143" spans="1:13" x14ac:dyDescent="0.25">
      <c r="A143" s="8" t="str">
        <f t="shared" si="8"/>
        <v/>
      </c>
      <c r="B143" s="4"/>
      <c r="C143" s="4"/>
      <c r="D143" s="6"/>
      <c r="E143" s="9"/>
      <c r="F143" s="4"/>
      <c r="G143" s="6"/>
      <c r="H143" s="4"/>
      <c r="I143" s="4"/>
      <c r="J143" s="4"/>
      <c r="K143" s="4"/>
      <c r="L143" s="8" t="str">
        <f>IF($D143="","",IF('Объект и должник'!$B$14="","дата принятия заявления не заполнена",IF($D143&lt;'Объект и должник'!$B$14,"до принятия заявления","после принятия заявления")))</f>
        <v/>
      </c>
      <c r="M143" s="10" t="str">
        <f t="shared" si="9"/>
        <v/>
      </c>
    </row>
    <row r="144" spans="1:13" x14ac:dyDescent="0.25">
      <c r="A144" s="8" t="str">
        <f t="shared" si="8"/>
        <v/>
      </c>
      <c r="B144" s="4"/>
      <c r="C144" s="4"/>
      <c r="D144" s="6"/>
      <c r="E144" s="9"/>
      <c r="F144" s="4"/>
      <c r="G144" s="6"/>
      <c r="H144" s="4"/>
      <c r="I144" s="4"/>
      <c r="J144" s="4"/>
      <c r="K144" s="4"/>
      <c r="L144" s="8" t="str">
        <f>IF($D144="","",IF('Объект и должник'!$B$14="","дата принятия заявления не заполнена",IF($D144&lt;'Объект и должник'!$B$14,"до принятия заявления","после принятия заявления")))</f>
        <v/>
      </c>
      <c r="M144" s="10" t="str">
        <f t="shared" si="9"/>
        <v/>
      </c>
    </row>
    <row r="145" spans="1:13" x14ac:dyDescent="0.25">
      <c r="A145" s="8" t="str">
        <f t="shared" si="8"/>
        <v/>
      </c>
      <c r="B145" s="4"/>
      <c r="C145" s="4"/>
      <c r="D145" s="6"/>
      <c r="E145" s="9"/>
      <c r="F145" s="4"/>
      <c r="G145" s="6"/>
      <c r="H145" s="4"/>
      <c r="I145" s="4"/>
      <c r="J145" s="4"/>
      <c r="K145" s="4"/>
      <c r="L145" s="8" t="str">
        <f>IF($D145="","",IF('Объект и должник'!$B$14="","дата принятия заявления не заполнена",IF($D145&lt;'Объект и должник'!$B$14,"до принятия заявления","после принятия заявления")))</f>
        <v/>
      </c>
      <c r="M145" s="10" t="str">
        <f t="shared" si="9"/>
        <v/>
      </c>
    </row>
    <row r="146" spans="1:13" x14ac:dyDescent="0.25">
      <c r="A146" s="8" t="str">
        <f t="shared" si="8"/>
        <v/>
      </c>
      <c r="B146" s="4"/>
      <c r="C146" s="4"/>
      <c r="D146" s="6"/>
      <c r="E146" s="9"/>
      <c r="F146" s="4"/>
      <c r="G146" s="6"/>
      <c r="H146" s="4"/>
      <c r="I146" s="4"/>
      <c r="J146" s="4"/>
      <c r="K146" s="4"/>
      <c r="L146" s="8" t="str">
        <f>IF($D146="","",IF('Объект и должник'!$B$14="","дата принятия заявления не заполнена",IF($D146&lt;'Объект и должник'!$B$14,"до принятия заявления","после принятия заявления")))</f>
        <v/>
      </c>
      <c r="M146" s="10" t="str">
        <f t="shared" si="9"/>
        <v/>
      </c>
    </row>
    <row r="147" spans="1:13" x14ac:dyDescent="0.25">
      <c r="A147" s="8" t="str">
        <f t="shared" si="8"/>
        <v/>
      </c>
      <c r="B147" s="4"/>
      <c r="C147" s="4"/>
      <c r="D147" s="6"/>
      <c r="E147" s="9"/>
      <c r="F147" s="4"/>
      <c r="G147" s="6"/>
      <c r="H147" s="4"/>
      <c r="I147" s="4"/>
      <c r="J147" s="4"/>
      <c r="K147" s="4"/>
      <c r="L147" s="8" t="str">
        <f>IF($D147="","",IF('Объект и должник'!$B$14="","дата принятия заявления не заполнена",IF($D147&lt;'Объект и должник'!$B$14,"до принятия заявления","после принятия заявления")))</f>
        <v/>
      </c>
      <c r="M147" s="10" t="str">
        <f t="shared" si="9"/>
        <v/>
      </c>
    </row>
    <row r="148" spans="1:13" x14ac:dyDescent="0.25">
      <c r="A148" s="8" t="str">
        <f t="shared" si="8"/>
        <v/>
      </c>
      <c r="B148" s="4"/>
      <c r="C148" s="4"/>
      <c r="D148" s="6"/>
      <c r="E148" s="9"/>
      <c r="F148" s="4"/>
      <c r="G148" s="6"/>
      <c r="H148" s="4"/>
      <c r="I148" s="4"/>
      <c r="J148" s="4"/>
      <c r="K148" s="4"/>
      <c r="L148" s="8" t="str">
        <f>IF($D148="","",IF('Объект и должник'!$B$14="","дата принятия заявления не заполнена",IF($D148&lt;'Объект и должник'!$B$14,"до принятия заявления","после принятия заявления")))</f>
        <v/>
      </c>
      <c r="M148" s="10" t="str">
        <f t="shared" si="9"/>
        <v/>
      </c>
    </row>
    <row r="149" spans="1:13" x14ac:dyDescent="0.25">
      <c r="A149" s="8" t="str">
        <f t="shared" si="8"/>
        <v/>
      </c>
      <c r="B149" s="4"/>
      <c r="C149" s="4"/>
      <c r="D149" s="6"/>
      <c r="E149" s="9"/>
      <c r="F149" s="4"/>
      <c r="G149" s="6"/>
      <c r="H149" s="4"/>
      <c r="I149" s="4"/>
      <c r="J149" s="4"/>
      <c r="K149" s="4"/>
      <c r="L149" s="8" t="str">
        <f>IF($D149="","",IF('Объект и должник'!$B$14="","дата принятия заявления не заполнена",IF($D149&lt;'Объект и должник'!$B$14,"до принятия заявления","после принятия заявления")))</f>
        <v/>
      </c>
      <c r="M149" s="10" t="str">
        <f t="shared" si="9"/>
        <v/>
      </c>
    </row>
    <row r="150" spans="1:13" x14ac:dyDescent="0.25">
      <c r="A150" s="8" t="str">
        <f t="shared" si="8"/>
        <v/>
      </c>
      <c r="B150" s="4"/>
      <c r="C150" s="4"/>
      <c r="D150" s="6"/>
      <c r="E150" s="9"/>
      <c r="F150" s="4"/>
      <c r="G150" s="6"/>
      <c r="H150" s="4"/>
      <c r="I150" s="4"/>
      <c r="J150" s="4"/>
      <c r="K150" s="4"/>
      <c r="L150" s="8" t="str">
        <f>IF($D150="","",IF('Объект и должник'!$B$14="","дата принятия заявления не заполнена",IF($D150&lt;'Объект и должник'!$B$14,"до принятия заявления","после принятия заявления")))</f>
        <v/>
      </c>
      <c r="M150" s="10" t="str">
        <f t="shared" si="9"/>
        <v/>
      </c>
    </row>
    <row r="151" spans="1:13" x14ac:dyDescent="0.25">
      <c r="A151" s="8" t="str">
        <f t="shared" si="8"/>
        <v/>
      </c>
      <c r="B151" s="4"/>
      <c r="C151" s="4"/>
      <c r="D151" s="6"/>
      <c r="E151" s="9"/>
      <c r="F151" s="4"/>
      <c r="G151" s="6"/>
      <c r="H151" s="4"/>
      <c r="I151" s="4"/>
      <c r="J151" s="4"/>
      <c r="K151" s="4"/>
      <c r="L151" s="8" t="str">
        <f>IF($D151="","",IF('Объект и должник'!$B$14="","дата принятия заявления не заполнена",IF($D151&lt;'Объект и должник'!$B$14,"до принятия заявления","после принятия заявления")))</f>
        <v/>
      </c>
      <c r="M151" s="10" t="str">
        <f t="shared" si="9"/>
        <v/>
      </c>
    </row>
    <row r="152" spans="1:13" x14ac:dyDescent="0.25">
      <c r="A152" s="8" t="str">
        <f t="shared" si="8"/>
        <v/>
      </c>
      <c r="B152" s="4"/>
      <c r="C152" s="4"/>
      <c r="D152" s="6"/>
      <c r="E152" s="9"/>
      <c r="F152" s="4"/>
      <c r="G152" s="6"/>
      <c r="H152" s="4"/>
      <c r="I152" s="4"/>
      <c r="J152" s="4"/>
      <c r="K152" s="4"/>
      <c r="L152" s="8" t="str">
        <f>IF($D152="","",IF('Объект и должник'!$B$14="","дата принятия заявления не заполнена",IF($D152&lt;'Объект и должник'!$B$14,"до принятия заявления","после принятия заявления")))</f>
        <v/>
      </c>
      <c r="M152" s="10" t="str">
        <f t="shared" si="9"/>
        <v/>
      </c>
    </row>
    <row r="153" spans="1:13" x14ac:dyDescent="0.25">
      <c r="A153" s="8" t="str">
        <f t="shared" si="8"/>
        <v/>
      </c>
      <c r="B153" s="4"/>
      <c r="C153" s="4"/>
      <c r="D153" s="6"/>
      <c r="E153" s="9"/>
      <c r="F153" s="4"/>
      <c r="G153" s="6"/>
      <c r="H153" s="4"/>
      <c r="I153" s="4"/>
      <c r="J153" s="4"/>
      <c r="K153" s="4"/>
      <c r="L153" s="8" t="str">
        <f>IF($D153="","",IF('Объект и должник'!$B$14="","дата принятия заявления не заполнена",IF($D153&lt;'Объект и должник'!$B$14,"до принятия заявления","после принятия заявления")))</f>
        <v/>
      </c>
      <c r="M153" s="10" t="str">
        <f t="shared" si="9"/>
        <v/>
      </c>
    </row>
    <row r="154" spans="1:13" x14ac:dyDescent="0.25">
      <c r="A154" s="8" t="str">
        <f t="shared" si="8"/>
        <v/>
      </c>
      <c r="B154" s="4"/>
      <c r="C154" s="4"/>
      <c r="D154" s="6"/>
      <c r="E154" s="9"/>
      <c r="F154" s="4"/>
      <c r="G154" s="6"/>
      <c r="H154" s="4"/>
      <c r="I154" s="4"/>
      <c r="J154" s="4"/>
      <c r="K154" s="4"/>
      <c r="L154" s="8" t="str">
        <f>IF($D154="","",IF('Объект и должник'!$B$14="","дата принятия заявления не заполнена",IF($D154&lt;'Объект и должник'!$B$14,"до принятия заявления","после принятия заявления")))</f>
        <v/>
      </c>
      <c r="M154" s="10" t="str">
        <f t="shared" si="9"/>
        <v/>
      </c>
    </row>
    <row r="155" spans="1:13" x14ac:dyDescent="0.25">
      <c r="A155" s="8" t="str">
        <f t="shared" si="8"/>
        <v/>
      </c>
      <c r="B155" s="4"/>
      <c r="C155" s="4"/>
      <c r="D155" s="6"/>
      <c r="E155" s="9"/>
      <c r="F155" s="4"/>
      <c r="G155" s="6"/>
      <c r="H155" s="4"/>
      <c r="I155" s="4"/>
      <c r="J155" s="4"/>
      <c r="K155" s="4"/>
      <c r="L155" s="8" t="str">
        <f>IF($D155="","",IF('Объект и должник'!$B$14="","дата принятия заявления не заполнена",IF($D155&lt;'Объект и должник'!$B$14,"до принятия заявления","после принятия заявления")))</f>
        <v/>
      </c>
      <c r="M155" s="10" t="str">
        <f t="shared" si="9"/>
        <v/>
      </c>
    </row>
    <row r="156" spans="1:13" x14ac:dyDescent="0.25">
      <c r="A156" s="8" t="str">
        <f t="shared" si="8"/>
        <v/>
      </c>
      <c r="B156" s="4"/>
      <c r="C156" s="4"/>
      <c r="D156" s="6"/>
      <c r="E156" s="9"/>
      <c r="F156" s="4"/>
      <c r="G156" s="6"/>
      <c r="H156" s="4"/>
      <c r="I156" s="4"/>
      <c r="J156" s="4"/>
      <c r="K156" s="4"/>
      <c r="L156" s="8" t="str">
        <f>IF($D156="","",IF('Объект и должник'!$B$14="","дата принятия заявления не заполнена",IF($D156&lt;'Объект и должник'!$B$14,"до принятия заявления","после принятия заявления")))</f>
        <v/>
      </c>
      <c r="M156" s="10" t="str">
        <f t="shared" si="9"/>
        <v/>
      </c>
    </row>
    <row r="157" spans="1:13" x14ac:dyDescent="0.25">
      <c r="A157" s="8" t="str">
        <f t="shared" si="8"/>
        <v/>
      </c>
      <c r="B157" s="4"/>
      <c r="C157" s="4"/>
      <c r="D157" s="6"/>
      <c r="E157" s="9"/>
      <c r="F157" s="4"/>
      <c r="G157" s="6"/>
      <c r="H157" s="4"/>
      <c r="I157" s="4"/>
      <c r="J157" s="4"/>
      <c r="K157" s="4"/>
      <c r="L157" s="8" t="str">
        <f>IF($D157="","",IF('Объект и должник'!$B$14="","дата принятия заявления не заполнена",IF($D157&lt;'Объект и должник'!$B$14,"до принятия заявления","после принятия заявления")))</f>
        <v/>
      </c>
      <c r="M157" s="10" t="str">
        <f t="shared" si="9"/>
        <v/>
      </c>
    </row>
    <row r="158" spans="1:13" x14ac:dyDescent="0.25">
      <c r="A158" s="8" t="str">
        <f t="shared" si="8"/>
        <v/>
      </c>
      <c r="B158" s="4"/>
      <c r="C158" s="4"/>
      <c r="D158" s="6"/>
      <c r="E158" s="9"/>
      <c r="F158" s="4"/>
      <c r="G158" s="6"/>
      <c r="H158" s="4"/>
      <c r="I158" s="4"/>
      <c r="J158" s="4"/>
      <c r="K158" s="4"/>
      <c r="L158" s="8" t="str">
        <f>IF($D158="","",IF('Объект и должник'!$B$14="","дата принятия заявления не заполнена",IF($D158&lt;'Объект и должник'!$B$14,"до принятия заявления","после принятия заявления")))</f>
        <v/>
      </c>
      <c r="M158" s="10" t="str">
        <f t="shared" si="9"/>
        <v/>
      </c>
    </row>
    <row r="159" spans="1:13" x14ac:dyDescent="0.25">
      <c r="A159" s="8" t="str">
        <f t="shared" si="8"/>
        <v/>
      </c>
      <c r="B159" s="4"/>
      <c r="C159" s="4"/>
      <c r="D159" s="6"/>
      <c r="E159" s="9"/>
      <c r="F159" s="4"/>
      <c r="G159" s="6"/>
      <c r="H159" s="4"/>
      <c r="I159" s="4"/>
      <c r="J159" s="4"/>
      <c r="K159" s="4"/>
      <c r="L159" s="8" t="str">
        <f>IF($D159="","",IF('Объект и должник'!$B$14="","дата принятия заявления не заполнена",IF($D159&lt;'Объект и должник'!$B$14,"до принятия заявления","после принятия заявления")))</f>
        <v/>
      </c>
      <c r="M159" s="10" t="str">
        <f t="shared" si="9"/>
        <v/>
      </c>
    </row>
    <row r="160" spans="1:13" x14ac:dyDescent="0.25">
      <c r="A160" s="8" t="str">
        <f t="shared" si="8"/>
        <v/>
      </c>
      <c r="B160" s="4"/>
      <c r="C160" s="4"/>
      <c r="D160" s="6"/>
      <c r="E160" s="9"/>
      <c r="F160" s="4"/>
      <c r="G160" s="6"/>
      <c r="H160" s="4"/>
      <c r="I160" s="4"/>
      <c r="J160" s="4"/>
      <c r="K160" s="4"/>
      <c r="L160" s="8" t="str">
        <f>IF($D160="","",IF('Объект и должник'!$B$14="","дата принятия заявления не заполнена",IF($D160&lt;'Объект и должник'!$B$14,"до принятия заявления","после принятия заявления")))</f>
        <v/>
      </c>
      <c r="M160" s="10" t="str">
        <f t="shared" si="9"/>
        <v/>
      </c>
    </row>
    <row r="161" spans="1:13" x14ac:dyDescent="0.25">
      <c r="A161" s="8" t="str">
        <f t="shared" si="8"/>
        <v/>
      </c>
      <c r="B161" s="4"/>
      <c r="C161" s="4"/>
      <c r="D161" s="6"/>
      <c r="E161" s="9"/>
      <c r="F161" s="4"/>
      <c r="G161" s="6"/>
      <c r="H161" s="4"/>
      <c r="I161" s="4"/>
      <c r="J161" s="4"/>
      <c r="K161" s="4"/>
      <c r="L161" s="8" t="str">
        <f>IF($D161="","",IF('Объект и должник'!$B$14="","дата принятия заявления не заполнена",IF($D161&lt;'Объект и должник'!$B$14,"до принятия заявления","после принятия заявления")))</f>
        <v/>
      </c>
      <c r="M161" s="10" t="str">
        <f t="shared" si="9"/>
        <v/>
      </c>
    </row>
    <row r="162" spans="1:13" x14ac:dyDescent="0.25">
      <c r="A162" s="8" t="str">
        <f t="shared" si="8"/>
        <v/>
      </c>
      <c r="B162" s="4"/>
      <c r="C162" s="4"/>
      <c r="D162" s="6"/>
      <c r="E162" s="9"/>
      <c r="F162" s="4"/>
      <c r="G162" s="6"/>
      <c r="H162" s="4"/>
      <c r="I162" s="4"/>
      <c r="J162" s="4"/>
      <c r="K162" s="4"/>
      <c r="L162" s="8" t="str">
        <f>IF($D162="","",IF('Объект и должник'!$B$14="","дата принятия заявления не заполнена",IF($D162&lt;'Объект и должник'!$B$14,"до принятия заявления","после принятия заявления")))</f>
        <v/>
      </c>
      <c r="M162" s="10" t="str">
        <f t="shared" si="9"/>
        <v/>
      </c>
    </row>
    <row r="163" spans="1:13" x14ac:dyDescent="0.25">
      <c r="A163" s="8" t="str">
        <f t="shared" si="8"/>
        <v/>
      </c>
      <c r="B163" s="4"/>
      <c r="C163" s="4"/>
      <c r="D163" s="6"/>
      <c r="E163" s="9"/>
      <c r="F163" s="4"/>
      <c r="G163" s="6"/>
      <c r="H163" s="4"/>
      <c r="I163" s="4"/>
      <c r="J163" s="4"/>
      <c r="K163" s="4"/>
      <c r="L163" s="8" t="str">
        <f>IF($D163="","",IF('Объект и должник'!$B$14="","дата принятия заявления не заполнена",IF($D163&lt;'Объект и должник'!$B$14,"до принятия заявления","после принятия заявления")))</f>
        <v/>
      </c>
      <c r="M163" s="10" t="str">
        <f t="shared" si="9"/>
        <v/>
      </c>
    </row>
    <row r="164" spans="1:13" x14ac:dyDescent="0.25">
      <c r="A164" s="8" t="str">
        <f t="shared" ref="A164:A195" si="10">IF($B164="","",ROW()-3)</f>
        <v/>
      </c>
      <c r="B164" s="4"/>
      <c r="C164" s="4"/>
      <c r="D164" s="6"/>
      <c r="E164" s="9"/>
      <c r="F164" s="4"/>
      <c r="G164" s="6"/>
      <c r="H164" s="4"/>
      <c r="I164" s="4"/>
      <c r="J164" s="4"/>
      <c r="K164" s="4"/>
      <c r="L164" s="8" t="str">
        <f>IF($D164="","",IF('Объект и должник'!$B$14="","дата принятия заявления не заполнена",IF($D164&lt;'Объект и должник'!$B$14,"до принятия заявления","после принятия заявления")))</f>
        <v/>
      </c>
      <c r="M164" s="10" t="str">
        <f t="shared" ref="M164:M195" si="11">IF($B164="",IF(COUNTA($C164:$K164)&gt;0,"НЕ ЗАВЕРШЕНО: укажите тип документа",""),IF(IFERROR(OR($C164="",NOT(ISNUMBER($D164)),$D164&lt;=0,$D164&lt;&gt;INT($D164),AND($K164&lt;&gt;"да",$K164&lt;&gt;"нет")),TRUE),"НЕ ЗАВЕРШЕНО: реквизиты, дата или включение копии",IF(AND($G164&lt;&gt;"",OR(NOT(ISNUMBER($G164)),$H164="",$I164="")),"НЕ ЗАВЕРШЕНО: направление и подтверждение",IF($B164="","",IF(AND($E164&gt;0,LOWER($F164)&lt;&gt;"да"),"Акт не подписан обеими сторонами: проверьте подтверждения выполнения и сдачи.",IF(AND($G164&lt;&gt;"",$I164=""),"направлено, но подтверждение направления не указано",IF($K164="","Отметьте включение копии в перечень приложений.",IF($L164="после принятия заявления","Проверьте признаки текущего платежа по статье 5 Закона № 127-ФЗ.",""))))))))</f>
        <v/>
      </c>
    </row>
    <row r="165" spans="1:13" x14ac:dyDescent="0.25">
      <c r="A165" s="8" t="str">
        <f t="shared" si="10"/>
        <v/>
      </c>
      <c r="B165" s="4"/>
      <c r="C165" s="4"/>
      <c r="D165" s="6"/>
      <c r="E165" s="9"/>
      <c r="F165" s="4"/>
      <c r="G165" s="6"/>
      <c r="H165" s="4"/>
      <c r="I165" s="4"/>
      <c r="J165" s="4"/>
      <c r="K165" s="4"/>
      <c r="L165" s="8" t="str">
        <f>IF($D165="","",IF('Объект и должник'!$B$14="","дата принятия заявления не заполнена",IF($D165&lt;'Объект и должник'!$B$14,"до принятия заявления","после принятия заявления")))</f>
        <v/>
      </c>
      <c r="M165" s="10" t="str">
        <f t="shared" si="11"/>
        <v/>
      </c>
    </row>
    <row r="166" spans="1:13" x14ac:dyDescent="0.25">
      <c r="A166" s="8" t="str">
        <f t="shared" si="10"/>
        <v/>
      </c>
      <c r="B166" s="4"/>
      <c r="C166" s="4"/>
      <c r="D166" s="6"/>
      <c r="E166" s="9"/>
      <c r="F166" s="4"/>
      <c r="G166" s="6"/>
      <c r="H166" s="4"/>
      <c r="I166" s="4"/>
      <c r="J166" s="4"/>
      <c r="K166" s="4"/>
      <c r="L166" s="8" t="str">
        <f>IF($D166="","",IF('Объект и должник'!$B$14="","дата принятия заявления не заполнена",IF($D166&lt;'Объект и должник'!$B$14,"до принятия заявления","после принятия заявления")))</f>
        <v/>
      </c>
      <c r="M166" s="10" t="str">
        <f t="shared" si="11"/>
        <v/>
      </c>
    </row>
    <row r="167" spans="1:13" x14ac:dyDescent="0.25">
      <c r="A167" s="8" t="str">
        <f t="shared" si="10"/>
        <v/>
      </c>
      <c r="B167" s="4"/>
      <c r="C167" s="4"/>
      <c r="D167" s="6"/>
      <c r="E167" s="9"/>
      <c r="F167" s="4"/>
      <c r="G167" s="6"/>
      <c r="H167" s="4"/>
      <c r="I167" s="4"/>
      <c r="J167" s="4"/>
      <c r="K167" s="4"/>
      <c r="L167" s="8" t="str">
        <f>IF($D167="","",IF('Объект и должник'!$B$14="","дата принятия заявления не заполнена",IF($D167&lt;'Объект и должник'!$B$14,"до принятия заявления","после принятия заявления")))</f>
        <v/>
      </c>
      <c r="M167" s="10" t="str">
        <f t="shared" si="11"/>
        <v/>
      </c>
    </row>
    <row r="168" spans="1:13" x14ac:dyDescent="0.25">
      <c r="A168" s="8" t="str">
        <f t="shared" si="10"/>
        <v/>
      </c>
      <c r="B168" s="4"/>
      <c r="C168" s="4"/>
      <c r="D168" s="6"/>
      <c r="E168" s="9"/>
      <c r="F168" s="4"/>
      <c r="G168" s="6"/>
      <c r="H168" s="4"/>
      <c r="I168" s="4"/>
      <c r="J168" s="4"/>
      <c r="K168" s="4"/>
      <c r="L168" s="8" t="str">
        <f>IF($D168="","",IF('Объект и должник'!$B$14="","дата принятия заявления не заполнена",IF($D168&lt;'Объект и должник'!$B$14,"до принятия заявления","после принятия заявления")))</f>
        <v/>
      </c>
      <c r="M168" s="10" t="str">
        <f t="shared" si="11"/>
        <v/>
      </c>
    </row>
    <row r="169" spans="1:13" x14ac:dyDescent="0.25">
      <c r="A169" s="8" t="str">
        <f t="shared" si="10"/>
        <v/>
      </c>
      <c r="B169" s="4"/>
      <c r="C169" s="4"/>
      <c r="D169" s="6"/>
      <c r="E169" s="9"/>
      <c r="F169" s="4"/>
      <c r="G169" s="6"/>
      <c r="H169" s="4"/>
      <c r="I169" s="4"/>
      <c r="J169" s="4"/>
      <c r="K169" s="4"/>
      <c r="L169" s="8" t="str">
        <f>IF($D169="","",IF('Объект и должник'!$B$14="","дата принятия заявления не заполнена",IF($D169&lt;'Объект и должник'!$B$14,"до принятия заявления","после принятия заявления")))</f>
        <v/>
      </c>
      <c r="M169" s="10" t="str">
        <f t="shared" si="11"/>
        <v/>
      </c>
    </row>
    <row r="170" spans="1:13" x14ac:dyDescent="0.25">
      <c r="A170" s="8" t="str">
        <f t="shared" si="10"/>
        <v/>
      </c>
      <c r="B170" s="4"/>
      <c r="C170" s="4"/>
      <c r="D170" s="6"/>
      <c r="E170" s="9"/>
      <c r="F170" s="4"/>
      <c r="G170" s="6"/>
      <c r="H170" s="4"/>
      <c r="I170" s="4"/>
      <c r="J170" s="4"/>
      <c r="K170" s="4"/>
      <c r="L170" s="8" t="str">
        <f>IF($D170="","",IF('Объект и должник'!$B$14="","дата принятия заявления не заполнена",IF($D170&lt;'Объект и должник'!$B$14,"до принятия заявления","после принятия заявления")))</f>
        <v/>
      </c>
      <c r="M170" s="10" t="str">
        <f t="shared" si="11"/>
        <v/>
      </c>
    </row>
    <row r="171" spans="1:13" x14ac:dyDescent="0.25">
      <c r="A171" s="8" t="str">
        <f t="shared" si="10"/>
        <v/>
      </c>
      <c r="B171" s="4"/>
      <c r="C171" s="4"/>
      <c r="D171" s="6"/>
      <c r="E171" s="9"/>
      <c r="F171" s="4"/>
      <c r="G171" s="6"/>
      <c r="H171" s="4"/>
      <c r="I171" s="4"/>
      <c r="J171" s="4"/>
      <c r="K171" s="4"/>
      <c r="L171" s="8" t="str">
        <f>IF($D171="","",IF('Объект и должник'!$B$14="","дата принятия заявления не заполнена",IF($D171&lt;'Объект и должник'!$B$14,"до принятия заявления","после принятия заявления")))</f>
        <v/>
      </c>
      <c r="M171" s="10" t="str">
        <f t="shared" si="11"/>
        <v/>
      </c>
    </row>
    <row r="172" spans="1:13" x14ac:dyDescent="0.25">
      <c r="A172" s="8" t="str">
        <f t="shared" si="10"/>
        <v/>
      </c>
      <c r="B172" s="4"/>
      <c r="C172" s="4"/>
      <c r="D172" s="6"/>
      <c r="E172" s="9"/>
      <c r="F172" s="4"/>
      <c r="G172" s="6"/>
      <c r="H172" s="4"/>
      <c r="I172" s="4"/>
      <c r="J172" s="4"/>
      <c r="K172" s="4"/>
      <c r="L172" s="8" t="str">
        <f>IF($D172="","",IF('Объект и должник'!$B$14="","дата принятия заявления не заполнена",IF($D172&lt;'Объект и должник'!$B$14,"до принятия заявления","после принятия заявления")))</f>
        <v/>
      </c>
      <c r="M172" s="10" t="str">
        <f t="shared" si="11"/>
        <v/>
      </c>
    </row>
    <row r="173" spans="1:13" x14ac:dyDescent="0.25">
      <c r="A173" s="8" t="str">
        <f t="shared" si="10"/>
        <v/>
      </c>
      <c r="B173" s="4"/>
      <c r="C173" s="4"/>
      <c r="D173" s="6"/>
      <c r="E173" s="9"/>
      <c r="F173" s="4"/>
      <c r="G173" s="6"/>
      <c r="H173" s="4"/>
      <c r="I173" s="4"/>
      <c r="J173" s="4"/>
      <c r="K173" s="4"/>
      <c r="L173" s="8" t="str">
        <f>IF($D173="","",IF('Объект и должник'!$B$14="","дата принятия заявления не заполнена",IF($D173&lt;'Объект и должник'!$B$14,"до принятия заявления","после принятия заявления")))</f>
        <v/>
      </c>
      <c r="M173" s="10" t="str">
        <f t="shared" si="11"/>
        <v/>
      </c>
    </row>
    <row r="174" spans="1:13" x14ac:dyDescent="0.25">
      <c r="A174" s="8" t="str">
        <f t="shared" si="10"/>
        <v/>
      </c>
      <c r="B174" s="4"/>
      <c r="C174" s="4"/>
      <c r="D174" s="6"/>
      <c r="E174" s="9"/>
      <c r="F174" s="4"/>
      <c r="G174" s="6"/>
      <c r="H174" s="4"/>
      <c r="I174" s="4"/>
      <c r="J174" s="4"/>
      <c r="K174" s="4"/>
      <c r="L174" s="8" t="str">
        <f>IF($D174="","",IF('Объект и должник'!$B$14="","дата принятия заявления не заполнена",IF($D174&lt;'Объект и должник'!$B$14,"до принятия заявления","после принятия заявления")))</f>
        <v/>
      </c>
      <c r="M174" s="10" t="str">
        <f t="shared" si="11"/>
        <v/>
      </c>
    </row>
    <row r="175" spans="1:13" x14ac:dyDescent="0.25">
      <c r="A175" s="8" t="str">
        <f t="shared" si="10"/>
        <v/>
      </c>
      <c r="B175" s="4"/>
      <c r="C175" s="4"/>
      <c r="D175" s="6"/>
      <c r="E175" s="9"/>
      <c r="F175" s="4"/>
      <c r="G175" s="6"/>
      <c r="H175" s="4"/>
      <c r="I175" s="4"/>
      <c r="J175" s="4"/>
      <c r="K175" s="4"/>
      <c r="L175" s="8" t="str">
        <f>IF($D175="","",IF('Объект и должник'!$B$14="","дата принятия заявления не заполнена",IF($D175&lt;'Объект и должник'!$B$14,"до принятия заявления","после принятия заявления")))</f>
        <v/>
      </c>
      <c r="M175" s="10" t="str">
        <f t="shared" si="11"/>
        <v/>
      </c>
    </row>
    <row r="176" spans="1:13" x14ac:dyDescent="0.25">
      <c r="A176" s="8" t="str">
        <f t="shared" si="10"/>
        <v/>
      </c>
      <c r="B176" s="4"/>
      <c r="C176" s="4"/>
      <c r="D176" s="6"/>
      <c r="E176" s="9"/>
      <c r="F176" s="4"/>
      <c r="G176" s="6"/>
      <c r="H176" s="4"/>
      <c r="I176" s="4"/>
      <c r="J176" s="4"/>
      <c r="K176" s="4"/>
      <c r="L176" s="8" t="str">
        <f>IF($D176="","",IF('Объект и должник'!$B$14="","дата принятия заявления не заполнена",IF($D176&lt;'Объект и должник'!$B$14,"до принятия заявления","после принятия заявления")))</f>
        <v/>
      </c>
      <c r="M176" s="10" t="str">
        <f t="shared" si="11"/>
        <v/>
      </c>
    </row>
    <row r="177" spans="1:13" x14ac:dyDescent="0.25">
      <c r="A177" s="8" t="str">
        <f t="shared" si="10"/>
        <v/>
      </c>
      <c r="B177" s="4"/>
      <c r="C177" s="4"/>
      <c r="D177" s="6"/>
      <c r="E177" s="9"/>
      <c r="F177" s="4"/>
      <c r="G177" s="6"/>
      <c r="H177" s="4"/>
      <c r="I177" s="4"/>
      <c r="J177" s="4"/>
      <c r="K177" s="4"/>
      <c r="L177" s="8" t="str">
        <f>IF($D177="","",IF('Объект и должник'!$B$14="","дата принятия заявления не заполнена",IF($D177&lt;'Объект и должник'!$B$14,"до принятия заявления","после принятия заявления")))</f>
        <v/>
      </c>
      <c r="M177" s="10" t="str">
        <f t="shared" si="11"/>
        <v/>
      </c>
    </row>
    <row r="178" spans="1:13" x14ac:dyDescent="0.25">
      <c r="A178" s="8" t="str">
        <f t="shared" si="10"/>
        <v/>
      </c>
      <c r="B178" s="4"/>
      <c r="C178" s="4"/>
      <c r="D178" s="6"/>
      <c r="E178" s="9"/>
      <c r="F178" s="4"/>
      <c r="G178" s="6"/>
      <c r="H178" s="4"/>
      <c r="I178" s="4"/>
      <c r="J178" s="4"/>
      <c r="K178" s="4"/>
      <c r="L178" s="8" t="str">
        <f>IF($D178="","",IF('Объект и должник'!$B$14="","дата принятия заявления не заполнена",IF($D178&lt;'Объект и должник'!$B$14,"до принятия заявления","после принятия заявления")))</f>
        <v/>
      </c>
      <c r="M178" s="10" t="str">
        <f t="shared" si="11"/>
        <v/>
      </c>
    </row>
    <row r="179" spans="1:13" x14ac:dyDescent="0.25">
      <c r="A179" s="8" t="str">
        <f t="shared" si="10"/>
        <v/>
      </c>
      <c r="B179" s="4"/>
      <c r="C179" s="4"/>
      <c r="D179" s="6"/>
      <c r="E179" s="9"/>
      <c r="F179" s="4"/>
      <c r="G179" s="6"/>
      <c r="H179" s="4"/>
      <c r="I179" s="4"/>
      <c r="J179" s="4"/>
      <c r="K179" s="4"/>
      <c r="L179" s="8" t="str">
        <f>IF($D179="","",IF('Объект и должник'!$B$14="","дата принятия заявления не заполнена",IF($D179&lt;'Объект и должник'!$B$14,"до принятия заявления","после принятия заявления")))</f>
        <v/>
      </c>
      <c r="M179" s="10" t="str">
        <f t="shared" si="11"/>
        <v/>
      </c>
    </row>
    <row r="180" spans="1:13" x14ac:dyDescent="0.25">
      <c r="A180" s="8" t="str">
        <f t="shared" si="10"/>
        <v/>
      </c>
      <c r="B180" s="4"/>
      <c r="C180" s="4"/>
      <c r="D180" s="6"/>
      <c r="E180" s="9"/>
      <c r="F180" s="4"/>
      <c r="G180" s="6"/>
      <c r="H180" s="4"/>
      <c r="I180" s="4"/>
      <c r="J180" s="4"/>
      <c r="K180" s="4"/>
      <c r="L180" s="8" t="str">
        <f>IF($D180="","",IF('Объект и должник'!$B$14="","дата принятия заявления не заполнена",IF($D180&lt;'Объект и должник'!$B$14,"до принятия заявления","после принятия заявления")))</f>
        <v/>
      </c>
      <c r="M180" s="10" t="str">
        <f t="shared" si="11"/>
        <v/>
      </c>
    </row>
    <row r="181" spans="1:13" x14ac:dyDescent="0.25">
      <c r="A181" s="8" t="str">
        <f t="shared" si="10"/>
        <v/>
      </c>
      <c r="B181" s="4"/>
      <c r="C181" s="4"/>
      <c r="D181" s="6"/>
      <c r="E181" s="9"/>
      <c r="F181" s="4"/>
      <c r="G181" s="6"/>
      <c r="H181" s="4"/>
      <c r="I181" s="4"/>
      <c r="J181" s="4"/>
      <c r="K181" s="4"/>
      <c r="L181" s="8" t="str">
        <f>IF($D181="","",IF('Объект и должник'!$B$14="","дата принятия заявления не заполнена",IF($D181&lt;'Объект и должник'!$B$14,"до принятия заявления","после принятия заявления")))</f>
        <v/>
      </c>
      <c r="M181" s="10" t="str">
        <f t="shared" si="11"/>
        <v/>
      </c>
    </row>
    <row r="182" spans="1:13" x14ac:dyDescent="0.25">
      <c r="A182" s="8" t="str">
        <f t="shared" si="10"/>
        <v/>
      </c>
      <c r="B182" s="4"/>
      <c r="C182" s="4"/>
      <c r="D182" s="6"/>
      <c r="E182" s="9"/>
      <c r="F182" s="4"/>
      <c r="G182" s="6"/>
      <c r="H182" s="4"/>
      <c r="I182" s="4"/>
      <c r="J182" s="4"/>
      <c r="K182" s="4"/>
      <c r="L182" s="8" t="str">
        <f>IF($D182="","",IF('Объект и должник'!$B$14="","дата принятия заявления не заполнена",IF($D182&lt;'Объект и должник'!$B$14,"до принятия заявления","после принятия заявления")))</f>
        <v/>
      </c>
      <c r="M182" s="10" t="str">
        <f t="shared" si="11"/>
        <v/>
      </c>
    </row>
    <row r="183" spans="1:13" x14ac:dyDescent="0.25">
      <c r="A183" s="8" t="str">
        <f t="shared" si="10"/>
        <v/>
      </c>
      <c r="B183" s="4"/>
      <c r="C183" s="4"/>
      <c r="D183" s="6"/>
      <c r="E183" s="9"/>
      <c r="F183" s="4"/>
      <c r="G183" s="6"/>
      <c r="H183" s="4"/>
      <c r="I183" s="4"/>
      <c r="J183" s="4"/>
      <c r="K183" s="4"/>
      <c r="L183" s="8" t="str">
        <f>IF($D183="","",IF('Объект и должник'!$B$14="","дата принятия заявления не заполнена",IF($D183&lt;'Объект и должник'!$B$14,"до принятия заявления","после принятия заявления")))</f>
        <v/>
      </c>
      <c r="M183" s="10" t="str">
        <f t="shared" si="11"/>
        <v/>
      </c>
    </row>
    <row r="184" spans="1:13" x14ac:dyDescent="0.25">
      <c r="A184" s="8" t="str">
        <f t="shared" si="10"/>
        <v/>
      </c>
      <c r="B184" s="4"/>
      <c r="C184" s="4"/>
      <c r="D184" s="6"/>
      <c r="E184" s="9"/>
      <c r="F184" s="4"/>
      <c r="G184" s="6"/>
      <c r="H184" s="4"/>
      <c r="I184" s="4"/>
      <c r="J184" s="4"/>
      <c r="K184" s="4"/>
      <c r="L184" s="8" t="str">
        <f>IF($D184="","",IF('Объект и должник'!$B$14="","дата принятия заявления не заполнена",IF($D184&lt;'Объект и должник'!$B$14,"до принятия заявления","после принятия заявления")))</f>
        <v/>
      </c>
      <c r="M184" s="10" t="str">
        <f t="shared" si="11"/>
        <v/>
      </c>
    </row>
    <row r="185" spans="1:13" x14ac:dyDescent="0.25">
      <c r="A185" s="8" t="str">
        <f t="shared" si="10"/>
        <v/>
      </c>
      <c r="B185" s="4"/>
      <c r="C185" s="4"/>
      <c r="D185" s="6"/>
      <c r="E185" s="9"/>
      <c r="F185" s="4"/>
      <c r="G185" s="6"/>
      <c r="H185" s="4"/>
      <c r="I185" s="4"/>
      <c r="J185" s="4"/>
      <c r="K185" s="4"/>
      <c r="L185" s="8" t="str">
        <f>IF($D185="","",IF('Объект и должник'!$B$14="","дата принятия заявления не заполнена",IF($D185&lt;'Объект и должник'!$B$14,"до принятия заявления","после принятия заявления")))</f>
        <v/>
      </c>
      <c r="M185" s="10" t="str">
        <f t="shared" si="11"/>
        <v/>
      </c>
    </row>
    <row r="186" spans="1:13" x14ac:dyDescent="0.25">
      <c r="A186" s="8" t="str">
        <f t="shared" si="10"/>
        <v/>
      </c>
      <c r="B186" s="4"/>
      <c r="C186" s="4"/>
      <c r="D186" s="6"/>
      <c r="E186" s="9"/>
      <c r="F186" s="4"/>
      <c r="G186" s="6"/>
      <c r="H186" s="4"/>
      <c r="I186" s="4"/>
      <c r="J186" s="4"/>
      <c r="K186" s="4"/>
      <c r="L186" s="8" t="str">
        <f>IF($D186="","",IF('Объект и должник'!$B$14="","дата принятия заявления не заполнена",IF($D186&lt;'Объект и должник'!$B$14,"до принятия заявления","после принятия заявления")))</f>
        <v/>
      </c>
      <c r="M186" s="10" t="str">
        <f t="shared" si="11"/>
        <v/>
      </c>
    </row>
    <row r="187" spans="1:13" x14ac:dyDescent="0.25">
      <c r="A187" s="8" t="str">
        <f t="shared" si="10"/>
        <v/>
      </c>
      <c r="B187" s="4"/>
      <c r="C187" s="4"/>
      <c r="D187" s="6"/>
      <c r="E187" s="9"/>
      <c r="F187" s="4"/>
      <c r="G187" s="6"/>
      <c r="H187" s="4"/>
      <c r="I187" s="4"/>
      <c r="J187" s="4"/>
      <c r="K187" s="4"/>
      <c r="L187" s="8" t="str">
        <f>IF($D187="","",IF('Объект и должник'!$B$14="","дата принятия заявления не заполнена",IF($D187&lt;'Объект и должник'!$B$14,"до принятия заявления","после принятия заявления")))</f>
        <v/>
      </c>
      <c r="M187" s="10" t="str">
        <f t="shared" si="11"/>
        <v/>
      </c>
    </row>
    <row r="188" spans="1:13" x14ac:dyDescent="0.25">
      <c r="A188" s="8" t="str">
        <f t="shared" si="10"/>
        <v/>
      </c>
      <c r="B188" s="4"/>
      <c r="C188" s="4"/>
      <c r="D188" s="6"/>
      <c r="E188" s="9"/>
      <c r="F188" s="4"/>
      <c r="G188" s="6"/>
      <c r="H188" s="4"/>
      <c r="I188" s="4"/>
      <c r="J188" s="4"/>
      <c r="K188" s="4"/>
      <c r="L188" s="8" t="str">
        <f>IF($D188="","",IF('Объект и должник'!$B$14="","дата принятия заявления не заполнена",IF($D188&lt;'Объект и должник'!$B$14,"до принятия заявления","после принятия заявления")))</f>
        <v/>
      </c>
      <c r="M188" s="10" t="str">
        <f t="shared" si="11"/>
        <v/>
      </c>
    </row>
    <row r="189" spans="1:13" x14ac:dyDescent="0.25">
      <c r="A189" s="8" t="str">
        <f t="shared" si="10"/>
        <v/>
      </c>
      <c r="B189" s="4"/>
      <c r="C189" s="4"/>
      <c r="D189" s="6"/>
      <c r="E189" s="9"/>
      <c r="F189" s="4"/>
      <c r="G189" s="6"/>
      <c r="H189" s="4"/>
      <c r="I189" s="4"/>
      <c r="J189" s="4"/>
      <c r="K189" s="4"/>
      <c r="L189" s="8" t="str">
        <f>IF($D189="","",IF('Объект и должник'!$B$14="","дата принятия заявления не заполнена",IF($D189&lt;'Объект и должник'!$B$14,"до принятия заявления","после принятия заявления")))</f>
        <v/>
      </c>
      <c r="M189" s="10" t="str">
        <f t="shared" si="11"/>
        <v/>
      </c>
    </row>
    <row r="190" spans="1:13" x14ac:dyDescent="0.25">
      <c r="A190" s="8" t="str">
        <f t="shared" si="10"/>
        <v/>
      </c>
      <c r="B190" s="4"/>
      <c r="C190" s="4"/>
      <c r="D190" s="6"/>
      <c r="E190" s="9"/>
      <c r="F190" s="4"/>
      <c r="G190" s="6"/>
      <c r="H190" s="4"/>
      <c r="I190" s="4"/>
      <c r="J190" s="4"/>
      <c r="K190" s="4"/>
      <c r="L190" s="8" t="str">
        <f>IF($D190="","",IF('Объект и должник'!$B$14="","дата принятия заявления не заполнена",IF($D190&lt;'Объект и должник'!$B$14,"до принятия заявления","после принятия заявления")))</f>
        <v/>
      </c>
      <c r="M190" s="10" t="str">
        <f t="shared" si="11"/>
        <v/>
      </c>
    </row>
    <row r="191" spans="1:13" x14ac:dyDescent="0.25">
      <c r="A191" s="8" t="str">
        <f t="shared" si="10"/>
        <v/>
      </c>
      <c r="B191" s="4"/>
      <c r="C191" s="4"/>
      <c r="D191" s="6"/>
      <c r="E191" s="9"/>
      <c r="F191" s="4"/>
      <c r="G191" s="6"/>
      <c r="H191" s="4"/>
      <c r="I191" s="4"/>
      <c r="J191" s="4"/>
      <c r="K191" s="4"/>
      <c r="L191" s="8" t="str">
        <f>IF($D191="","",IF('Объект и должник'!$B$14="","дата принятия заявления не заполнена",IF($D191&lt;'Объект и должник'!$B$14,"до принятия заявления","после принятия заявления")))</f>
        <v/>
      </c>
      <c r="M191" s="10" t="str">
        <f t="shared" si="11"/>
        <v/>
      </c>
    </row>
    <row r="192" spans="1:13" x14ac:dyDescent="0.25">
      <c r="A192" s="8" t="str">
        <f t="shared" si="10"/>
        <v/>
      </c>
      <c r="B192" s="4"/>
      <c r="C192" s="4"/>
      <c r="D192" s="6"/>
      <c r="E192" s="9"/>
      <c r="F192" s="4"/>
      <c r="G192" s="6"/>
      <c r="H192" s="4"/>
      <c r="I192" s="4"/>
      <c r="J192" s="4"/>
      <c r="K192" s="4"/>
      <c r="L192" s="8" t="str">
        <f>IF($D192="","",IF('Объект и должник'!$B$14="","дата принятия заявления не заполнена",IF($D192&lt;'Объект и должник'!$B$14,"до принятия заявления","после принятия заявления")))</f>
        <v/>
      </c>
      <c r="M192" s="10" t="str">
        <f t="shared" si="11"/>
        <v/>
      </c>
    </row>
    <row r="193" spans="1:13" x14ac:dyDescent="0.25">
      <c r="A193" s="8" t="str">
        <f t="shared" si="10"/>
        <v/>
      </c>
      <c r="B193" s="4"/>
      <c r="C193" s="4"/>
      <c r="D193" s="6"/>
      <c r="E193" s="9"/>
      <c r="F193" s="4"/>
      <c r="G193" s="6"/>
      <c r="H193" s="4"/>
      <c r="I193" s="4"/>
      <c r="J193" s="4"/>
      <c r="K193" s="4"/>
      <c r="L193" s="8" t="str">
        <f>IF($D193="","",IF('Объект и должник'!$B$14="","дата принятия заявления не заполнена",IF($D193&lt;'Объект и должник'!$B$14,"до принятия заявления","после принятия заявления")))</f>
        <v/>
      </c>
      <c r="M193" s="10" t="str">
        <f t="shared" si="11"/>
        <v/>
      </c>
    </row>
    <row r="194" spans="1:13" x14ac:dyDescent="0.25">
      <c r="A194" s="8" t="str">
        <f t="shared" si="10"/>
        <v/>
      </c>
      <c r="B194" s="4"/>
      <c r="C194" s="4"/>
      <c r="D194" s="6"/>
      <c r="E194" s="9"/>
      <c r="F194" s="4"/>
      <c r="G194" s="6"/>
      <c r="H194" s="4"/>
      <c r="I194" s="4"/>
      <c r="J194" s="4"/>
      <c r="K194" s="4"/>
      <c r="L194" s="8" t="str">
        <f>IF($D194="","",IF('Объект и должник'!$B$14="","дата принятия заявления не заполнена",IF($D194&lt;'Объект и должник'!$B$14,"до принятия заявления","после принятия заявления")))</f>
        <v/>
      </c>
      <c r="M194" s="10" t="str">
        <f t="shared" si="11"/>
        <v/>
      </c>
    </row>
    <row r="195" spans="1:13" x14ac:dyDescent="0.25">
      <c r="A195" s="8" t="str">
        <f t="shared" si="10"/>
        <v/>
      </c>
      <c r="B195" s="4"/>
      <c r="C195" s="4"/>
      <c r="D195" s="6"/>
      <c r="E195" s="9"/>
      <c r="F195" s="4"/>
      <c r="G195" s="6"/>
      <c r="H195" s="4"/>
      <c r="I195" s="4"/>
      <c r="J195" s="4"/>
      <c r="K195" s="4"/>
      <c r="L195" s="8" t="str">
        <f>IF($D195="","",IF('Объект и должник'!$B$14="","дата принятия заявления не заполнена",IF($D195&lt;'Объект и должник'!$B$14,"до принятия заявления","после принятия заявления")))</f>
        <v/>
      </c>
      <c r="M195" s="10" t="str">
        <f t="shared" si="11"/>
        <v/>
      </c>
    </row>
    <row r="196" spans="1:13" x14ac:dyDescent="0.25">
      <c r="A196" s="8" t="str">
        <f t="shared" ref="A196:A203" si="12">IF($B196="","",ROW()-3)</f>
        <v/>
      </c>
      <c r="B196" s="4"/>
      <c r="C196" s="4"/>
      <c r="D196" s="6"/>
      <c r="E196" s="9"/>
      <c r="F196" s="4"/>
      <c r="G196" s="6"/>
      <c r="H196" s="4"/>
      <c r="I196" s="4"/>
      <c r="J196" s="4"/>
      <c r="K196" s="4"/>
      <c r="L196" s="8" t="str">
        <f>IF($D196="","",IF('Объект и должник'!$B$14="","дата принятия заявления не заполнена",IF($D196&lt;'Объект и должник'!$B$14,"до принятия заявления","после принятия заявления")))</f>
        <v/>
      </c>
      <c r="M196" s="10" t="str">
        <f t="shared" ref="M196:M203" si="13">IF($B196="",IF(COUNTA($C196:$K196)&gt;0,"НЕ ЗАВЕРШЕНО: укажите тип документа",""),IF(IFERROR(OR($C196="",NOT(ISNUMBER($D196)),$D196&lt;=0,$D196&lt;&gt;INT($D196),AND($K196&lt;&gt;"да",$K196&lt;&gt;"нет")),TRUE),"НЕ ЗАВЕРШЕНО: реквизиты, дата или включение копии",IF(AND($G196&lt;&gt;"",OR(NOT(ISNUMBER($G196)),$H196="",$I196="")),"НЕ ЗАВЕРШЕНО: направление и подтверждение",IF($B196="","",IF(AND($E196&gt;0,LOWER($F196)&lt;&gt;"да"),"Акт не подписан обеими сторонами: проверьте подтверждения выполнения и сдачи.",IF(AND($G196&lt;&gt;"",$I196=""),"направлено, но подтверждение направления не указано",IF($K196="","Отметьте включение копии в перечень приложений.",IF($L196="после принятия заявления","Проверьте признаки текущего платежа по статье 5 Закона № 127-ФЗ.",""))))))))</f>
        <v/>
      </c>
    </row>
    <row r="197" spans="1:13" x14ac:dyDescent="0.25">
      <c r="A197" s="8" t="str">
        <f t="shared" si="12"/>
        <v/>
      </c>
      <c r="B197" s="4"/>
      <c r="C197" s="4"/>
      <c r="D197" s="6"/>
      <c r="E197" s="9"/>
      <c r="F197" s="4"/>
      <c r="G197" s="6"/>
      <c r="H197" s="4"/>
      <c r="I197" s="4"/>
      <c r="J197" s="4"/>
      <c r="K197" s="4"/>
      <c r="L197" s="8" t="str">
        <f>IF($D197="","",IF('Объект и должник'!$B$14="","дата принятия заявления не заполнена",IF($D197&lt;'Объект и должник'!$B$14,"до принятия заявления","после принятия заявления")))</f>
        <v/>
      </c>
      <c r="M197" s="10" t="str">
        <f t="shared" si="13"/>
        <v/>
      </c>
    </row>
    <row r="198" spans="1:13" x14ac:dyDescent="0.25">
      <c r="A198" s="8" t="str">
        <f t="shared" si="12"/>
        <v/>
      </c>
      <c r="B198" s="4"/>
      <c r="C198" s="4"/>
      <c r="D198" s="6"/>
      <c r="E198" s="9"/>
      <c r="F198" s="4"/>
      <c r="G198" s="6"/>
      <c r="H198" s="4"/>
      <c r="I198" s="4"/>
      <c r="J198" s="4"/>
      <c r="K198" s="4"/>
      <c r="L198" s="8" t="str">
        <f>IF($D198="","",IF('Объект и должник'!$B$14="","дата принятия заявления не заполнена",IF($D198&lt;'Объект и должник'!$B$14,"до принятия заявления","после принятия заявления")))</f>
        <v/>
      </c>
      <c r="M198" s="10" t="str">
        <f t="shared" si="13"/>
        <v/>
      </c>
    </row>
    <row r="199" spans="1:13" x14ac:dyDescent="0.25">
      <c r="A199" s="8" t="str">
        <f t="shared" si="12"/>
        <v/>
      </c>
      <c r="B199" s="4"/>
      <c r="C199" s="4"/>
      <c r="D199" s="6"/>
      <c r="E199" s="9"/>
      <c r="F199" s="4"/>
      <c r="G199" s="6"/>
      <c r="H199" s="4"/>
      <c r="I199" s="4"/>
      <c r="J199" s="4"/>
      <c r="K199" s="4"/>
      <c r="L199" s="8" t="str">
        <f>IF($D199="","",IF('Объект и должник'!$B$14="","дата принятия заявления не заполнена",IF($D199&lt;'Объект и должник'!$B$14,"до принятия заявления","после принятия заявления")))</f>
        <v/>
      </c>
      <c r="M199" s="10" t="str">
        <f t="shared" si="13"/>
        <v/>
      </c>
    </row>
    <row r="200" spans="1:13" x14ac:dyDescent="0.25">
      <c r="A200" s="8" t="str">
        <f t="shared" si="12"/>
        <v/>
      </c>
      <c r="B200" s="4"/>
      <c r="C200" s="4"/>
      <c r="D200" s="6"/>
      <c r="E200" s="9"/>
      <c r="F200" s="4"/>
      <c r="G200" s="6"/>
      <c r="H200" s="4"/>
      <c r="I200" s="4"/>
      <c r="J200" s="4"/>
      <c r="K200" s="4"/>
      <c r="L200" s="8" t="str">
        <f>IF($D200="","",IF('Объект и должник'!$B$14="","дата принятия заявления не заполнена",IF($D200&lt;'Объект и должник'!$B$14,"до принятия заявления","после принятия заявления")))</f>
        <v/>
      </c>
      <c r="M200" s="10" t="str">
        <f t="shared" si="13"/>
        <v/>
      </c>
    </row>
    <row r="201" spans="1:13" x14ac:dyDescent="0.25">
      <c r="A201" s="8" t="str">
        <f t="shared" si="12"/>
        <v/>
      </c>
      <c r="B201" s="4"/>
      <c r="C201" s="4"/>
      <c r="D201" s="6"/>
      <c r="E201" s="9"/>
      <c r="F201" s="4"/>
      <c r="G201" s="6"/>
      <c r="H201" s="4"/>
      <c r="I201" s="4"/>
      <c r="J201" s="4"/>
      <c r="K201" s="4"/>
      <c r="L201" s="8" t="str">
        <f>IF($D201="","",IF('Объект и должник'!$B$14="","дата принятия заявления не заполнена",IF($D201&lt;'Объект и должник'!$B$14,"до принятия заявления","после принятия заявления")))</f>
        <v/>
      </c>
      <c r="M201" s="10" t="str">
        <f t="shared" si="13"/>
        <v/>
      </c>
    </row>
    <row r="202" spans="1:13" x14ac:dyDescent="0.25">
      <c r="A202" s="8" t="str">
        <f t="shared" si="12"/>
        <v/>
      </c>
      <c r="B202" s="4"/>
      <c r="C202" s="4"/>
      <c r="D202" s="6"/>
      <c r="E202" s="9"/>
      <c r="F202" s="4"/>
      <c r="G202" s="6"/>
      <c r="H202" s="4"/>
      <c r="I202" s="4"/>
      <c r="J202" s="4"/>
      <c r="K202" s="4"/>
      <c r="L202" s="8" t="str">
        <f>IF($D202="","",IF('Объект и должник'!$B$14="","дата принятия заявления не заполнена",IF($D202&lt;'Объект и должник'!$B$14,"до принятия заявления","после принятия заявления")))</f>
        <v/>
      </c>
      <c r="M202" s="10" t="str">
        <f t="shared" si="13"/>
        <v/>
      </c>
    </row>
    <row r="203" spans="1:13" x14ac:dyDescent="0.25">
      <c r="A203" s="8" t="str">
        <f t="shared" si="12"/>
        <v/>
      </c>
      <c r="B203" s="4"/>
      <c r="C203" s="4"/>
      <c r="D203" s="6"/>
      <c r="E203" s="9"/>
      <c r="F203" s="4"/>
      <c r="G203" s="6"/>
      <c r="H203" s="4"/>
      <c r="I203" s="4"/>
      <c r="J203" s="4"/>
      <c r="K203" s="4"/>
      <c r="L203" s="8" t="str">
        <f>IF($D203="","",IF('Объект и должник'!$B$14="","дата принятия заявления не заполнена",IF($D203&lt;'Объект и должник'!$B$14,"до принятия заявления","после принятия заявления")))</f>
        <v/>
      </c>
      <c r="M203" s="10" t="str">
        <f t="shared" si="13"/>
        <v/>
      </c>
    </row>
    <row r="205" spans="1:13" ht="45.95" customHeight="1" x14ac:dyDescent="0.25">
      <c r="A205" s="17" t="s">
        <v>62</v>
      </c>
      <c r="B205" s="18"/>
      <c r="C205" s="18"/>
      <c r="D205" s="18"/>
      <c r="E205" s="18"/>
      <c r="F205" s="18"/>
      <c r="G205" s="18"/>
      <c r="H205" s="18"/>
      <c r="I205" s="18"/>
      <c r="J205" s="18"/>
      <c r="K205" s="18"/>
      <c r="L205" s="18"/>
      <c r="M205" s="18"/>
    </row>
  </sheetData>
  <mergeCells count="2">
    <mergeCell ref="A2:M2"/>
    <mergeCell ref="A205:M205"/>
  </mergeCells>
  <dataValidations count="1">
    <dataValidation type="list" error="Введите «да» или «нет»"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formula1>"да,нет"</formula1>
    </dataValidation>
  </dataValidations>
  <pageMargins left="0.75" right="0.75" top="1" bottom="1" header="0.5" footer="0.5"/>
  <pageSetup paperSize="8" scale="7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9"/>
  <sheetViews>
    <sheetView workbookViewId="0"/>
  </sheetViews>
  <sheetFormatPr defaultRowHeight="15" x14ac:dyDescent="0.25"/>
  <cols>
    <col min="1" max="1" width="56" customWidth="1"/>
    <col min="2" max="2" width="24" customWidth="1"/>
    <col min="3" max="3" width="66" customWidth="1"/>
  </cols>
  <sheetData>
    <row r="1" spans="1:3" ht="16.899999999999999" customHeight="1" x14ac:dyDescent="0.3">
      <c r="A1" s="1" t="s">
        <v>63</v>
      </c>
    </row>
    <row r="2" spans="1:3" x14ac:dyDescent="0.25">
      <c r="A2" s="2" t="s">
        <v>64</v>
      </c>
    </row>
    <row r="4" spans="1:3" x14ac:dyDescent="0.25">
      <c r="A4" s="11" t="s">
        <v>65</v>
      </c>
      <c r="B4" s="12">
        <f>SUMPRODUCT(--(LEN('Реестр документов'!$B$4:$B$203)&gt;0))</f>
        <v>0</v>
      </c>
      <c r="C4" s="5" t="s">
        <v>66</v>
      </c>
    </row>
    <row r="5" spans="1:3" x14ac:dyDescent="0.25">
      <c r="A5" s="11" t="s">
        <v>67</v>
      </c>
      <c r="B5" s="12">
        <f>COUNTIF('Реестр документов'!$K$4:$K$203,"да")</f>
        <v>0</v>
      </c>
      <c r="C5" s="5" t="s">
        <v>68</v>
      </c>
    </row>
    <row r="6" spans="1:3" x14ac:dyDescent="0.25">
      <c r="A6" s="11" t="s">
        <v>69</v>
      </c>
      <c r="B6" s="13">
        <f>ROUND(SUMIF('Реестр документов'!$L$4:$L$203,"до принятия заявления",'Реестр документов'!$E$4:$E$203),2)</f>
        <v>0</v>
      </c>
      <c r="C6" s="5" t="s">
        <v>70</v>
      </c>
    </row>
    <row r="7" spans="1:3" ht="25.5" x14ac:dyDescent="0.25">
      <c r="A7" s="11" t="s">
        <v>71</v>
      </c>
      <c r="B7" s="13">
        <f>ROUND(SUMIF('Реестр документов'!$L$4:$L$203,"после принятия заявления",'Реестр документов'!$E$4:$E$203),2)</f>
        <v>0</v>
      </c>
      <c r="C7" s="5" t="s">
        <v>72</v>
      </c>
    </row>
    <row r="8" spans="1:3" ht="38.25" x14ac:dyDescent="0.25">
      <c r="A8" s="11" t="s">
        <v>73</v>
      </c>
      <c r="B8" s="13">
        <f>ROUND(SUMIF('Реестр документов'!$K$4:$K$203,"да",'Реестр документов'!$E$4:$E$203),2)</f>
        <v>0</v>
      </c>
      <c r="C8" s="5" t="s">
        <v>74</v>
      </c>
    </row>
    <row r="9" spans="1:3" ht="25.5" x14ac:dyDescent="0.25">
      <c r="A9" s="11" t="s">
        <v>75</v>
      </c>
      <c r="B9" s="12">
        <f>SUMPRODUCT(--(LEN('Реестр документов'!$M$4:$M$203)&gt;0))</f>
        <v>0</v>
      </c>
      <c r="C9" s="5" t="s">
        <v>76</v>
      </c>
    </row>
    <row r="10" spans="1:3" ht="24" customHeight="1" x14ac:dyDescent="0.25">
      <c r="A10" s="11" t="s">
        <v>77</v>
      </c>
      <c r="B10" s="12">
        <f>SUMPRODUCT(--(LEN('Реестр документов'!$G$4:$G$203)&gt;0),--(LEN('Реестр документов'!$I$4:$I$203)=0))</f>
        <v>0</v>
      </c>
      <c r="C10" s="5" t="s">
        <v>78</v>
      </c>
    </row>
    <row r="13" spans="1:3" x14ac:dyDescent="0.25">
      <c r="A13" s="3" t="s">
        <v>79</v>
      </c>
      <c r="B13" s="20" t="str">
        <f ca="1">'Объект и должник'!$B$27</f>
        <v>срок не проверен — заполните строки 23–25</v>
      </c>
      <c r="C13" s="21"/>
    </row>
    <row r="15" spans="1:3" x14ac:dyDescent="0.25">
      <c r="A15" s="3" t="s">
        <v>80</v>
      </c>
    </row>
    <row r="16" spans="1:3" ht="45.95" customHeight="1" x14ac:dyDescent="0.25">
      <c r="A16" s="17" t="s">
        <v>81</v>
      </c>
      <c r="B16" s="18"/>
      <c r="C16" s="18"/>
    </row>
    <row r="17" spans="1:3" ht="45.95" customHeight="1" x14ac:dyDescent="0.25">
      <c r="A17" s="17" t="s">
        <v>82</v>
      </c>
      <c r="B17" s="18"/>
      <c r="C17" s="18"/>
    </row>
    <row r="18" spans="1:3" ht="45.95" customHeight="1" x14ac:dyDescent="0.25">
      <c r="A18" s="17" t="s">
        <v>83</v>
      </c>
      <c r="B18" s="18"/>
      <c r="C18" s="18"/>
    </row>
    <row r="19" spans="1:3" ht="45.95" customHeight="1" x14ac:dyDescent="0.25">
      <c r="A19" s="17" t="s">
        <v>84</v>
      </c>
      <c r="B19" s="18"/>
      <c r="C19" s="18"/>
    </row>
  </sheetData>
  <mergeCells count="5">
    <mergeCell ref="B13:C13"/>
    <mergeCell ref="A19:C19"/>
    <mergeCell ref="A17:C17"/>
    <mergeCell ref="A18:C18"/>
    <mergeCell ref="A16:C16"/>
  </mergeCells>
  <pageMargins left="0.75" right="0.75" top="1" bottom="1" header="0.5" footer="0.5"/>
  <pageSetup paperSize="9" scale="8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2"/>
  <sheetViews>
    <sheetView workbookViewId="0"/>
  </sheetViews>
  <sheetFormatPr defaultRowHeight="15" x14ac:dyDescent="0.25"/>
  <cols>
    <col min="1" max="1" width="30" customWidth="1"/>
    <col min="2" max="2" width="14" customWidth="1"/>
    <col min="3" max="3" width="12" customWidth="1"/>
    <col min="4" max="4" width="14" customWidth="1"/>
    <col min="5" max="5" width="16" customWidth="1"/>
    <col min="6" max="7" width="14" customWidth="1"/>
    <col min="8" max="8" width="16" customWidth="1"/>
    <col min="9" max="9" width="24" customWidth="1"/>
    <col min="10" max="10" width="20" customWidth="1"/>
    <col min="11" max="11" width="12" customWidth="1"/>
    <col min="12" max="12" width="22" customWidth="1"/>
    <col min="13" max="13" width="40" customWidth="1"/>
  </cols>
  <sheetData>
    <row r="1" spans="1:13" ht="18.75" x14ac:dyDescent="0.3">
      <c r="A1" s="1" t="s">
        <v>85</v>
      </c>
    </row>
    <row r="2" spans="1:13" x14ac:dyDescent="0.25">
      <c r="A2" s="24" t="s">
        <v>86</v>
      </c>
      <c r="B2" s="18"/>
      <c r="C2" s="18"/>
      <c r="D2" s="18"/>
      <c r="E2" s="18"/>
      <c r="F2" s="18"/>
      <c r="G2" s="18"/>
      <c r="H2" s="18"/>
      <c r="I2" s="18"/>
      <c r="J2" s="18"/>
      <c r="K2" s="18"/>
      <c r="L2" s="18"/>
      <c r="M2" s="18"/>
    </row>
    <row r="4" spans="1:13" x14ac:dyDescent="0.25">
      <c r="A4" s="3" t="s">
        <v>87</v>
      </c>
    </row>
    <row r="5" spans="1:13" x14ac:dyDescent="0.25">
      <c r="A5" s="14" t="s">
        <v>7</v>
      </c>
      <c r="B5" s="23" t="s">
        <v>88</v>
      </c>
      <c r="C5" s="18"/>
      <c r="D5" s="18"/>
      <c r="E5" s="18"/>
    </row>
    <row r="6" spans="1:13" x14ac:dyDescent="0.25">
      <c r="A6" s="14" t="s">
        <v>18</v>
      </c>
      <c r="B6" s="23" t="s">
        <v>89</v>
      </c>
      <c r="C6" s="18"/>
      <c r="D6" s="18"/>
      <c r="E6" s="18"/>
    </row>
    <row r="7" spans="1:13" x14ac:dyDescent="0.25">
      <c r="A7" s="14" t="s">
        <v>20</v>
      </c>
      <c r="B7" s="23" t="s">
        <v>90</v>
      </c>
      <c r="C7" s="18"/>
      <c r="D7" s="18"/>
      <c r="E7" s="18"/>
    </row>
    <row r="8" spans="1:13" x14ac:dyDescent="0.25">
      <c r="A8" s="14" t="s">
        <v>23</v>
      </c>
      <c r="B8" s="23" t="s">
        <v>91</v>
      </c>
      <c r="C8" s="18"/>
      <c r="D8" s="18"/>
      <c r="E8" s="18"/>
    </row>
    <row r="9" spans="1:13" x14ac:dyDescent="0.25">
      <c r="A9" s="14" t="s">
        <v>29</v>
      </c>
      <c r="B9" s="23" t="s">
        <v>92</v>
      </c>
      <c r="C9" s="18"/>
      <c r="D9" s="18"/>
      <c r="E9" s="18"/>
    </row>
    <row r="10" spans="1:13" x14ac:dyDescent="0.25">
      <c r="A10" s="14" t="s">
        <v>31</v>
      </c>
      <c r="B10" s="23" t="s">
        <v>93</v>
      </c>
      <c r="C10" s="18"/>
      <c r="D10" s="18"/>
      <c r="E10" s="18"/>
    </row>
    <row r="11" spans="1:13" x14ac:dyDescent="0.25">
      <c r="A11" s="14" t="s">
        <v>33</v>
      </c>
      <c r="B11" s="23" t="s">
        <v>94</v>
      </c>
      <c r="C11" s="18"/>
      <c r="D11" s="18"/>
      <c r="E11" s="18"/>
    </row>
    <row r="13" spans="1:13" ht="45.95" customHeight="1" x14ac:dyDescent="0.25">
      <c r="A13" s="19" t="s">
        <v>95</v>
      </c>
      <c r="B13" s="18"/>
      <c r="C13" s="18"/>
      <c r="D13" s="18"/>
      <c r="E13" s="18"/>
      <c r="F13" s="18"/>
      <c r="G13" s="18"/>
      <c r="H13" s="18"/>
      <c r="I13" s="18"/>
      <c r="J13" s="18"/>
      <c r="K13" s="18"/>
      <c r="L13" s="18"/>
      <c r="M13" s="18"/>
    </row>
    <row r="15" spans="1:13" x14ac:dyDescent="0.25">
      <c r="A15" s="3" t="s">
        <v>96</v>
      </c>
    </row>
    <row r="16" spans="1:13" ht="26.45" customHeight="1" x14ac:dyDescent="0.25">
      <c r="A16" s="7" t="s">
        <v>50</v>
      </c>
      <c r="B16" s="7" t="s">
        <v>51</v>
      </c>
      <c r="C16" s="7" t="s">
        <v>52</v>
      </c>
      <c r="D16" s="7" t="s">
        <v>53</v>
      </c>
      <c r="E16" s="7" t="s">
        <v>54</v>
      </c>
      <c r="F16" s="7" t="s">
        <v>55</v>
      </c>
      <c r="G16" s="7" t="s">
        <v>56</v>
      </c>
      <c r="H16" s="7" t="s">
        <v>57</v>
      </c>
      <c r="I16" s="7" t="s">
        <v>58</v>
      </c>
      <c r="J16" s="7" t="s">
        <v>59</v>
      </c>
      <c r="K16" s="7" t="s">
        <v>60</v>
      </c>
      <c r="L16" s="7" t="s">
        <v>97</v>
      </c>
      <c r="M16" s="7" t="s">
        <v>35</v>
      </c>
    </row>
    <row r="17" spans="1:13" ht="30" x14ac:dyDescent="0.25">
      <c r="A17" s="15" t="s">
        <v>98</v>
      </c>
      <c r="B17" s="15" t="s">
        <v>99</v>
      </c>
      <c r="C17" s="15" t="s">
        <v>100</v>
      </c>
      <c r="D17" s="15" t="s">
        <v>101</v>
      </c>
      <c r="E17" s="15"/>
      <c r="F17" s="15" t="s">
        <v>102</v>
      </c>
      <c r="G17" s="15"/>
      <c r="H17" s="15"/>
      <c r="I17" s="15"/>
      <c r="J17" s="15" t="s">
        <v>103</v>
      </c>
      <c r="K17" s="15" t="s">
        <v>102</v>
      </c>
      <c r="L17" s="16" t="s">
        <v>104</v>
      </c>
      <c r="M17" s="16" t="s">
        <v>104</v>
      </c>
    </row>
    <row r="18" spans="1:13" x14ac:dyDescent="0.25">
      <c r="A18" s="15" t="s">
        <v>105</v>
      </c>
      <c r="B18" s="15" t="s">
        <v>106</v>
      </c>
      <c r="C18" s="15" t="s">
        <v>107</v>
      </c>
      <c r="D18" s="15" t="s">
        <v>108</v>
      </c>
      <c r="E18" s="15" t="s">
        <v>109</v>
      </c>
      <c r="F18" s="15" t="s">
        <v>102</v>
      </c>
      <c r="G18" s="15"/>
      <c r="H18" s="15"/>
      <c r="I18" s="15"/>
      <c r="J18" s="15" t="s">
        <v>110</v>
      </c>
      <c r="K18" s="15" t="s">
        <v>102</v>
      </c>
      <c r="L18" s="16" t="s">
        <v>104</v>
      </c>
      <c r="M18" s="16" t="s">
        <v>104</v>
      </c>
    </row>
    <row r="19" spans="1:13" ht="30" x14ac:dyDescent="0.25">
      <c r="A19" s="15" t="s">
        <v>107</v>
      </c>
      <c r="B19" s="15" t="s">
        <v>111</v>
      </c>
      <c r="C19" s="15" t="s">
        <v>112</v>
      </c>
      <c r="D19" s="15" t="s">
        <v>113</v>
      </c>
      <c r="E19" s="15"/>
      <c r="F19" s="15" t="s">
        <v>114</v>
      </c>
      <c r="G19" s="15" t="s">
        <v>115</v>
      </c>
      <c r="H19" s="15" t="s">
        <v>116</v>
      </c>
      <c r="I19" s="15" t="s">
        <v>117</v>
      </c>
      <c r="J19" s="15" t="s">
        <v>118</v>
      </c>
      <c r="K19" s="15" t="s">
        <v>102</v>
      </c>
      <c r="L19" s="16" t="s">
        <v>104</v>
      </c>
      <c r="M19" s="16" t="s">
        <v>104</v>
      </c>
    </row>
    <row r="20" spans="1:13" x14ac:dyDescent="0.25">
      <c r="A20" s="15" t="s">
        <v>119</v>
      </c>
      <c r="B20" s="15" t="s">
        <v>106</v>
      </c>
      <c r="C20" s="15" t="s">
        <v>120</v>
      </c>
      <c r="D20" s="15" t="s">
        <v>121</v>
      </c>
      <c r="E20" s="15" t="s">
        <v>122</v>
      </c>
      <c r="F20" s="15" t="s">
        <v>102</v>
      </c>
      <c r="G20" s="15"/>
      <c r="H20" s="15"/>
      <c r="I20" s="15"/>
      <c r="J20" s="15" t="s">
        <v>110</v>
      </c>
      <c r="K20" s="15" t="s">
        <v>102</v>
      </c>
      <c r="L20" s="16" t="s">
        <v>104</v>
      </c>
      <c r="M20" s="16" t="s">
        <v>104</v>
      </c>
    </row>
    <row r="22" spans="1:13" ht="45.95" customHeight="1" x14ac:dyDescent="0.25">
      <c r="A22" s="17" t="s">
        <v>123</v>
      </c>
      <c r="B22" s="18"/>
      <c r="C22" s="18"/>
      <c r="D22" s="18"/>
      <c r="E22" s="18"/>
      <c r="F22" s="18"/>
      <c r="G22" s="18"/>
      <c r="H22" s="18"/>
      <c r="I22" s="18"/>
      <c r="J22" s="18"/>
      <c r="K22" s="18"/>
      <c r="L22" s="18"/>
      <c r="M22" s="18"/>
    </row>
  </sheetData>
  <mergeCells count="10">
    <mergeCell ref="A22:M22"/>
    <mergeCell ref="B7:E7"/>
    <mergeCell ref="B11:E11"/>
    <mergeCell ref="B5:E5"/>
    <mergeCell ref="B10:E10"/>
    <mergeCell ref="A2:M2"/>
    <mergeCell ref="A13:M13"/>
    <mergeCell ref="B9:E9"/>
    <mergeCell ref="B8:E8"/>
    <mergeCell ref="B6:E6"/>
  </mergeCells>
  <pageMargins left="0.75" right="0.75" top="1" bottom="1" header="0.5" footer="0.5"/>
  <pageSetup paperSize="8" scale="7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6</vt:i4>
      </vt:variant>
    </vt:vector>
  </HeadingPairs>
  <TitlesOfParts>
    <vt:vector size="10" baseType="lpstr">
      <vt:lpstr>Объект и должник</vt:lpstr>
      <vt:lpstr>Реестр документов</vt:lpstr>
      <vt:lpstr>Итоги</vt:lpstr>
      <vt:lpstr>Пример заполнения</vt:lpstr>
      <vt:lpstr>Итоги!Print_Area</vt:lpstr>
      <vt:lpstr>'Объект и должник'!Print_Area</vt:lpstr>
      <vt:lpstr>'Пример заполнения'!Print_Area</vt:lpstr>
      <vt:lpstr>'Реестр документов'!Print_Area</vt:lpstr>
      <vt:lpstr>'Объект и должник'!Print_Titles</vt:lpstr>
      <vt:lpstr>'Реестр документов'!Print_Titles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x6</cp:lastModifiedBy>
  <cp:lastPrinted>2026-10-22T16:27:02Z</cp:lastPrinted>
  <dcterms:created xsi:type="dcterms:W3CDTF">2026-07-31T07:27:20Z</dcterms:created>
  <dcterms:modified xsi:type="dcterms:W3CDTF">2026-10-22T16:27:03Z</dcterms:modified>
</cp:coreProperties>
</file>