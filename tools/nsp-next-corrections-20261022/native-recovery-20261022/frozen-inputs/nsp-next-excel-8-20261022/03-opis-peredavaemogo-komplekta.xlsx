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пись" sheetId="1" state="visible" r:id="rId1"/>
    <sheet xmlns:r="http://schemas.openxmlformats.org/officeDocument/2006/relationships" name="Как заполнять" sheetId="2" state="visible" r:id="rId2"/>
    <sheet xmlns:r="http://schemas.openxmlformats.org/officeDocument/2006/relationships" name="Виды" sheetId="3" state="visible" r:id="rId3"/>
    <sheet xmlns:r="http://schemas.openxmlformats.org/officeDocument/2006/relationships" name="Пример заполнения" sheetId="4" state="visible" r:id="rId4"/>
  </sheets>
  <definedNames>
    <definedName name="_xlnm.Print_Area" localSheetId="0">'Опись'!$A$1:$I$136</definedName>
    <definedName name="_xlnm.Print_Area" localSheetId="1">'Как заполнять'!$A$1:$B$18</definedName>
    <definedName name="_xlnm.Print_Area" localSheetId="2">'Виды'!$A$1:$E$15</definedName>
    <definedName name="_xlnm.Print_Area" localSheetId="3">'Пример заполнения'!$A$1:$I$14</definedName>
    <definedName name="_xlnm.Print_Titles" localSheetId="0">'Опись'!$10:$10</definedName>
  </definedNames>
  <calcPr calcId="124519" fullCalcOnLoad="1" calcMode="auto" forceFullCalc="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Times New Roman"/>
      <b val="1"/>
      <sz val="14"/>
    </font>
    <font>
      <name val="Times New Roman"/>
      <i val="1"/>
      <color rgb="00595959"/>
      <sz val="10"/>
    </font>
    <font>
      <name val="Times New Roman"/>
      <b val="1"/>
      <sz val="11"/>
    </font>
    <font>
      <name val="Times New Roman"/>
      <color rgb="000000FF"/>
      <sz val="11"/>
    </font>
    <font>
      <name val="Times New Roman"/>
      <sz val="11"/>
    </font>
    <font>
      <name val="Times New Roman"/>
      <b val="1"/>
      <color rgb="00C00000"/>
      <sz val="11"/>
    </font>
    <font>
      <name val="Times New Roman"/>
      <i val="1"/>
      <color rgb="00C00000"/>
      <sz val="10"/>
    </font>
    <font>
      <name val="Times New Roman"/>
      <color rgb="00C00000"/>
      <sz val="10"/>
    </font>
  </fonts>
  <fills count="4">
    <fill>
      <patternFill/>
    </fill>
    <fill>
      <patternFill patternType="gray125"/>
    </fill>
    <fill>
      <patternFill patternType="solid">
        <fgColor rgb="00FFF2CC"/>
      </patternFill>
    </fill>
    <fill>
      <patternFill patternType="solid">
        <fgColor rgb="00E7E6E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xmlns="http://schemas.openxmlformats.org/spreadsheetml/2006/main" count="2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pivotButton="0" quotePrefix="0" xfId="0"/>
    <xf numFmtId="164" fontId="4" fillId="2" borderId="1" pivotButton="0" quotePrefix="0" xfId="0"/>
    <xf numFmtId="0" fontId="2" fillId="0" borderId="0" pivotButton="0" quotePrefix="0" xfId="0"/>
    <xf numFmtId="0" fontId="0" fillId="0" borderId="4" pivotButton="0" quotePrefix="0" xfId="0"/>
    <xf numFmtId="0" fontId="0" fillId="0" borderId="5" pivotButton="0" quotePrefix="0" xfId="0"/>
    <xf numFmtId="0" fontId="3" fillId="3" borderId="1" applyAlignment="1" pivotButton="0" quotePrefix="0" xfId="0">
      <alignment vertical="center" wrapText="1"/>
    </xf>
    <xf numFmtId="0" fontId="5" fillId="0" borderId="1" pivotButton="0" quotePrefix="0" xfId="0"/>
    <xf numFmtId="1" fontId="4" fillId="2" borderId="1" pivotButton="0" quotePrefix="0" xfId="0"/>
    <xf numFmtId="0" fontId="3" fillId="0" borderId="1" pivotButton="0" quotePrefix="0" xfId="0"/>
    <xf numFmtId="0" fontId="6" fillId="0" borderId="1" pivotButton="0" quotePrefix="0" xfId="0"/>
    <xf numFmtId="0" fontId="5" fillId="0" borderId="0" pivotButton="0" quotePrefix="0" xfId="0"/>
    <xf numFmtId="0" fontId="5" fillId="0" borderId="0"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4" fillId="0" borderId="1" applyAlignment="1" pivotButton="0" quotePrefix="0" xfId="0">
      <alignment vertical="top" wrapText="1"/>
    </xf>
    <xf numFmtId="0" fontId="8" fillId="0" borderId="0" applyAlignment="1" pivotButton="0" quotePrefix="0" xfId="0">
      <alignment vertical="top" wrapText="1"/>
    </xf>
    <xf numFmtId="0" fontId="3" fillId="0" borderId="1" pivotButton="0" quotePrefix="0" xfId="0" applyAlignment="1">
      <alignment wrapText="1" vertical="top"/>
    </xf>
    <xf numFmtId="0" fontId="2" fillId="0" borderId="0" pivotButton="0" quotePrefix="0" xfId="0" applyAlignment="1">
      <alignment wrapText="1" vertical="top"/>
    </xf>
    <xf numFmtId="0" fontId="5" fillId="0" borderId="0" pivotButton="0" quotePrefix="0" xfId="0" applyAlignment="1">
      <alignment wrapText="1" vertical="top"/>
    </xf>
  </cellXfs>
  <cellStyles count="1">
    <cellStyle name="Normal" xfId="0" builtinId="0" hidden="0"/>
  </cellStyles>
  <dxfs count="2">
    <dxf>
      <fill>
        <patternFill patternType="solid">
          <fgColor rgb="00F4A9A9"/>
        </patternFill>
      </fill>
    </dxf>
    <dxf>
      <fill>
        <patternFill patternType="solid">
          <f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Маржа в бетоне</author>
  </authors>
  <commentList>
    <comment ref="A10" authorId="0" shapeId="0">
      <text>
        <t>Порядковый номер рассчитывается автоматически. Заполняйте строки последовательно, без пропусков.</t>
      </text>
    </comment>
    <comment ref="B10" authorId="0" shapeId="0">
      <text>
        <t>справочник листа «Виды»</t>
      </text>
    </comment>
    <comment ref="C10" authorId="0" shapeId="0">
      <text>
        <t>что именно за документ и к какому месту работ он относится. Формулировка участка должна совпадать с той, которой он назван в акте</t>
      </text>
    </comment>
    <comment ref="D10" authorId="0" shapeId="0">
      <text>
        <t>номер и дата самого документа</t>
      </text>
    </comment>
    <comment ref="E10" authorId="0" shapeId="0">
      <text>
        <t>Номер и дата акта выполненных работ, к которому относится передаваемый документ.</t>
      </text>
    </comment>
    <comment ref="F10" authorId="0" shapeId="0">
      <text>
        <t>число листов позиции; из суммы этой колонки берётся общий листаж комплекта</t>
      </text>
    </comment>
    <comment ref="G10" authorId="0" shapeId="0">
      <text>
        <t>сколько экземпляров этой позиции передано</t>
      </text>
    </comment>
    <comment ref="H10" authorId="0" shapeId="0">
      <text>
        <t>Форма передаваемого документа: оригинал или копия.</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autoPageBreaks="0"/>
  </sheetPr>
  <dimension ref="A1:J136"/>
  <sheetViews>
    <sheetView workbookViewId="0">
      <pane ySplit="10" topLeftCell="A11" activePane="bottomLeft" state="frozen"/>
      <selection pane="bottomLeft" activeCell="A1" sqref="A1"/>
    </sheetView>
  </sheetViews>
  <sheetFormatPr baseColWidth="8" defaultRowHeight="15"/>
  <cols>
    <col width="9" customWidth="1" min="1" max="1"/>
    <col width="26" customWidth="1" min="2" max="2"/>
    <col width="34" customWidth="1" min="3" max="3"/>
    <col width="18" customWidth="1" min="4" max="4"/>
    <col width="20" customWidth="1" min="5" max="5"/>
    <col width="8" customWidth="1" min="6" max="6"/>
    <col width="7" customWidth="1" min="7" max="7"/>
    <col width="16" customWidth="1" min="8" max="8"/>
    <col width="26" customWidth="1" min="9" max="9"/>
  </cols>
  <sheetData>
    <row r="1" ht="26" customHeight="1">
      <c r="A1" s="1" t="inlineStr">
        <is>
          <t>Опись передаваемого комплекта исполнительной документации</t>
        </is>
      </c>
    </row>
    <row r="2" ht="48" customHeight="1">
      <c r="A2" s="2" t="inlineStr">
        <is>
          <t>По каждой позиции укажите наименование документа, количество экземпляров и листов, связь с актами выполненных работ. Проверьте итоги, дату и номер описи, реквизиты сторон и полномочия принимающего представителя. Срок рассмотрения, способ передачи и применимые формы определяются договором, проектом и обязательными требованиями. Подтверждения направления и получения описи храните вместе с сопроводительным письмом и актом передачи</t>
        </is>
      </c>
    </row>
    <row r="4" ht="24" customHeight="1">
      <c r="A4" s="3" t="inlineStr">
        <is>
          <t>Опись №</t>
        </is>
      </c>
      <c r="B4" s="4" t="n"/>
      <c r="C4" s="3" t="inlineStr">
        <is>
          <t>от</t>
        </is>
      </c>
      <c r="D4" s="5" t="n"/>
      <c r="E4" s="6" t="inlineStr">
        <is>
          <t>Номер и дата описи переносятся в сопроводительное письмо и в акт приёма-передачи дословно.</t>
        </is>
      </c>
    </row>
    <row r="5" ht="24" customHeight="1">
      <c r="A5" s="3" t="inlineStr">
        <is>
          <t>Объект</t>
        </is>
      </c>
      <c r="B5" s="4" t="n"/>
      <c r="C5" s="7" t="n"/>
      <c r="D5" s="8" t="n"/>
      <c r="E5" s="3" t="inlineStr">
        <is>
          <t>Договор № и дата</t>
        </is>
      </c>
      <c r="F5" s="4" t="n"/>
      <c r="G5" s="7" t="n"/>
      <c r="H5" s="7" t="n"/>
      <c r="I5" s="8" t="n"/>
    </row>
    <row r="6" ht="24" customHeight="1">
      <c r="A6" s="3" t="inlineStr">
        <is>
          <t>Участок, этап или вид работ</t>
        </is>
      </c>
      <c r="C6" s="4" t="n"/>
      <c r="D6" s="7" t="n"/>
      <c r="E6" s="7" t="n"/>
      <c r="F6" s="7" t="n"/>
      <c r="G6" s="7" t="n"/>
      <c r="H6" s="7" t="n"/>
      <c r="I6" s="8" t="n"/>
    </row>
    <row r="8" ht="28" customHeight="1">
      <c r="A8" s="2" t="inlineStr">
        <is>
          <t>Заполняйте жёлтые ячейки последовательно, по одному документу в каждой строке. Нумерация рассчитывается автоматически. Для каждой позиции укажите конкретный документ, его реквизиты и состав.</t>
        </is>
      </c>
    </row>
    <row r="10" ht="32" customHeight="1">
      <c r="A10" s="9" t="inlineStr">
        <is>
          <t>№</t>
        </is>
      </c>
      <c r="B10" s="9" t="inlineStr">
        <is>
          <t>Вид документа</t>
        </is>
      </c>
      <c r="C10" s="9" t="inlineStr">
        <is>
          <t>Наименование, участок, оси и отметки</t>
        </is>
      </c>
      <c r="D10" s="9" t="inlineStr">
        <is>
          <t>Реквизиты документа</t>
        </is>
      </c>
      <c r="E10" s="9" t="inlineStr">
        <is>
          <t>Подтверждает объём по акту</t>
        </is>
      </c>
      <c r="F10" s="9" t="inlineStr">
        <is>
          <t>Листов</t>
        </is>
      </c>
      <c r="G10" s="9" t="inlineStr">
        <is>
          <t>Экз.</t>
        </is>
      </c>
      <c r="H10" s="9" t="inlineStr">
        <is>
          <t>Оригинал / копия</t>
        </is>
      </c>
      <c r="I10" s="9" t="inlineStr">
        <is>
          <t>Примечание</t>
        </is>
      </c>
      <c r="J10" t="inlineStr">
        <is>
          <t>Контроль строки</t>
        </is>
      </c>
    </row>
    <row r="11">
      <c r="A11" s="10">
        <f>IF($B11="","",ROW()-10)</f>
        <v/>
      </c>
      <c r="B11" s="4" t="n"/>
      <c r="C11" s="4" t="n"/>
      <c r="D11" s="4" t="n"/>
      <c r="E11" s="4" t="n"/>
      <c r="F11" s="11" t="n"/>
      <c r="G11" s="11" t="n"/>
      <c r="H11" s="4" t="n"/>
      <c r="I11" s="4" t="n"/>
      <c r="J11" t="str">
        <f>IF(COUNTA(B11:D11,F11)=0,"",IF(IFERROR(AND(B11&lt;&gt;"",C11&lt;&gt;"",D11&lt;&gt;"",ISNUMBER(F11),F11&gt;0,MOD(F11,1)=0),FALSE),"","НЕ ПРОВЕРЕНО: реквизиты или листаж"))</f>
      </c>
    </row>
    <row r="12">
      <c r="A12" s="10">
        <f>IF($B12="","",ROW()-10)</f>
        <v/>
      </c>
      <c r="B12" s="4" t="n"/>
      <c r="C12" s="4" t="n"/>
      <c r="D12" s="4" t="n"/>
      <c r="E12" s="4" t="n"/>
      <c r="F12" s="11" t="n"/>
      <c r="G12" s="11" t="n"/>
      <c r="H12" s="4" t="n"/>
      <c r="I12" s="4" t="n"/>
      <c r="J12" t="str">
        <f>IF(COUNTA(B12:D12,F12)=0,"",IF(IFERROR(AND(B12&lt;&gt;"",C12&lt;&gt;"",D12&lt;&gt;"",ISNUMBER(F12),F12&gt;0,MOD(F12,1)=0),FALSE),"","НЕ ПРОВЕРЕНО: реквизиты или листаж"))</f>
      </c>
    </row>
    <row r="13">
      <c r="A13" s="10">
        <f>IF($B13="","",ROW()-10)</f>
        <v/>
      </c>
      <c r="B13" s="4" t="n"/>
      <c r="C13" s="4" t="n"/>
      <c r="D13" s="4" t="n"/>
      <c r="E13" s="4" t="n"/>
      <c r="F13" s="11" t="n"/>
      <c r="G13" s="11" t="n"/>
      <c r="H13" s="4" t="n"/>
      <c r="I13" s="4" t="n"/>
      <c r="J13" t="str">
        <f>IF(COUNTA(B13:D13,F13)=0,"",IF(IFERROR(AND(B13&lt;&gt;"",C13&lt;&gt;"",D13&lt;&gt;"",ISNUMBER(F13),F13&gt;0,MOD(F13,1)=0),FALSE),"","НЕ ПРОВЕРЕНО: реквизиты или листаж"))</f>
      </c>
    </row>
    <row r="14">
      <c r="A14" s="10">
        <f>IF($B14="","",ROW()-10)</f>
        <v/>
      </c>
      <c r="B14" s="4" t="n"/>
      <c r="C14" s="4" t="n"/>
      <c r="D14" s="4" t="n"/>
      <c r="E14" s="4" t="n"/>
      <c r="F14" s="11" t="n"/>
      <c r="G14" s="11" t="n"/>
      <c r="H14" s="4" t="n"/>
      <c r="I14" s="4" t="n"/>
      <c r="J14" t="str">
        <f>IF(COUNTA(B14:D14,F14)=0,"",IF(IFERROR(AND(B14&lt;&gt;"",C14&lt;&gt;"",D14&lt;&gt;"",ISNUMBER(F14),F14&gt;0,MOD(F14,1)=0),FALSE),"","НЕ ПРОВЕРЕНО: реквизиты или листаж"))</f>
      </c>
    </row>
    <row r="15">
      <c r="A15" s="10">
        <f>IF($B15="","",ROW()-10)</f>
        <v/>
      </c>
      <c r="B15" s="4" t="n"/>
      <c r="C15" s="4" t="n"/>
      <c r="D15" s="4" t="n"/>
      <c r="E15" s="4" t="n"/>
      <c r="F15" s="11" t="n"/>
      <c r="G15" s="11" t="n"/>
      <c r="H15" s="4" t="n"/>
      <c r="I15" s="4" t="n"/>
      <c r="J15" t="str">
        <f>IF(COUNTA(B15:D15,F15)=0,"",IF(IFERROR(AND(B15&lt;&gt;"",C15&lt;&gt;"",D15&lt;&gt;"",ISNUMBER(F15),F15&gt;0,MOD(F15,1)=0),FALSE),"","НЕ ПРОВЕРЕНО: реквизиты или листаж"))</f>
      </c>
    </row>
    <row r="16">
      <c r="A16" s="10">
        <f>IF($B16="","",ROW()-10)</f>
        <v/>
      </c>
      <c r="B16" s="4" t="n"/>
      <c r="C16" s="4" t="n"/>
      <c r="D16" s="4" t="n"/>
      <c r="E16" s="4" t="n"/>
      <c r="F16" s="11" t="n"/>
      <c r="G16" s="11" t="n"/>
      <c r="H16" s="4" t="n"/>
      <c r="I16" s="4" t="n"/>
      <c r="J16" t="str">
        <f>IF(COUNTA(B16:D16,F16)=0,"",IF(IFERROR(AND(B16&lt;&gt;"",C16&lt;&gt;"",D16&lt;&gt;"",ISNUMBER(F16),F16&gt;0,MOD(F16,1)=0),FALSE),"","НЕ ПРОВЕРЕНО: реквизиты или листаж"))</f>
      </c>
    </row>
    <row r="17">
      <c r="A17" s="10">
        <f>IF($B17="","",ROW()-10)</f>
        <v/>
      </c>
      <c r="B17" s="4" t="n"/>
      <c r="C17" s="4" t="n"/>
      <c r="D17" s="4" t="n"/>
      <c r="E17" s="4" t="n"/>
      <c r="F17" s="11" t="n"/>
      <c r="G17" s="11" t="n"/>
      <c r="H17" s="4" t="n"/>
      <c r="I17" s="4" t="n"/>
      <c r="J17" t="str">
        <f>IF(COUNTA(B17:D17,F17)=0,"",IF(IFERROR(AND(B17&lt;&gt;"",C17&lt;&gt;"",D17&lt;&gt;"",ISNUMBER(F17),F17&gt;0,MOD(F17,1)=0),FALSE),"","НЕ ПРОВЕРЕНО: реквизиты или листаж"))</f>
      </c>
    </row>
    <row r="18">
      <c r="A18" s="10">
        <f>IF($B18="","",ROW()-10)</f>
        <v/>
      </c>
      <c r="B18" s="4" t="n"/>
      <c r="C18" s="4" t="n"/>
      <c r="D18" s="4" t="n"/>
      <c r="E18" s="4" t="n"/>
      <c r="F18" s="11" t="n"/>
      <c r="G18" s="11" t="n"/>
      <c r="H18" s="4" t="n"/>
      <c r="I18" s="4" t="n"/>
      <c r="J18" t="str">
        <f>IF(COUNTA(B18:D18,F18)=0,"",IF(IFERROR(AND(B18&lt;&gt;"",C18&lt;&gt;"",D18&lt;&gt;"",ISNUMBER(F18),F18&gt;0,MOD(F18,1)=0),FALSE),"","НЕ ПРОВЕРЕНО: реквизиты или листаж"))</f>
      </c>
    </row>
    <row r="19">
      <c r="A19" s="10">
        <f>IF($B19="","",ROW()-10)</f>
        <v/>
      </c>
      <c r="B19" s="4" t="n"/>
      <c r="C19" s="4" t="n"/>
      <c r="D19" s="4" t="n"/>
      <c r="E19" s="4" t="n"/>
      <c r="F19" s="11" t="n"/>
      <c r="G19" s="11" t="n"/>
      <c r="H19" s="4" t="n"/>
      <c r="I19" s="4" t="n"/>
      <c r="J19" t="str">
        <f>IF(COUNTA(B19:D19,F19)=0,"",IF(IFERROR(AND(B19&lt;&gt;"",C19&lt;&gt;"",D19&lt;&gt;"",ISNUMBER(F19),F19&gt;0,MOD(F19,1)=0),FALSE),"","НЕ ПРОВЕРЕНО: реквизиты или листаж"))</f>
      </c>
    </row>
    <row r="20">
      <c r="A20" s="10">
        <f>IF($B20="","",ROW()-10)</f>
        <v/>
      </c>
      <c r="B20" s="4" t="n"/>
      <c r="C20" s="4" t="n"/>
      <c r="D20" s="4" t="n"/>
      <c r="E20" s="4" t="n"/>
      <c r="F20" s="11" t="n"/>
      <c r="G20" s="11" t="n"/>
      <c r="H20" s="4" t="n"/>
      <c r="I20" s="4" t="n"/>
      <c r="J20" t="str">
        <f>IF(COUNTA(B20:D20,F20)=0,"",IF(IFERROR(AND(B20&lt;&gt;"",C20&lt;&gt;"",D20&lt;&gt;"",ISNUMBER(F20),F20&gt;0,MOD(F20,1)=0),FALSE),"","НЕ ПРОВЕРЕНО: реквизиты или листаж"))</f>
      </c>
    </row>
    <row r="21">
      <c r="A21" s="10">
        <f>IF($B21="","",ROW()-10)</f>
        <v/>
      </c>
      <c r="B21" s="4" t="n"/>
      <c r="C21" s="4" t="n"/>
      <c r="D21" s="4" t="n"/>
      <c r="E21" s="4" t="n"/>
      <c r="F21" s="11" t="n"/>
      <c r="G21" s="11" t="n"/>
      <c r="H21" s="4" t="n"/>
      <c r="I21" s="4" t="n"/>
      <c r="J21" t="str">
        <f>IF(COUNTA(B21:D21,F21)=0,"",IF(IFERROR(AND(B21&lt;&gt;"",C21&lt;&gt;"",D21&lt;&gt;"",ISNUMBER(F21),F21&gt;0,MOD(F21,1)=0),FALSE),"","НЕ ПРОВЕРЕНО: реквизиты или листаж"))</f>
      </c>
    </row>
    <row r="22">
      <c r="A22" s="10">
        <f>IF($B22="","",ROW()-10)</f>
        <v/>
      </c>
      <c r="B22" s="4" t="n"/>
      <c r="C22" s="4" t="n"/>
      <c r="D22" s="4" t="n"/>
      <c r="E22" s="4" t="n"/>
      <c r="F22" s="11" t="n"/>
      <c r="G22" s="11" t="n"/>
      <c r="H22" s="4" t="n"/>
      <c r="I22" s="4" t="n"/>
      <c r="J22" t="str">
        <f>IF(COUNTA(B22:D22,F22)=0,"",IF(IFERROR(AND(B22&lt;&gt;"",C22&lt;&gt;"",D22&lt;&gt;"",ISNUMBER(F22),F22&gt;0,MOD(F22,1)=0),FALSE),"","НЕ ПРОВЕРЕНО: реквизиты или листаж"))</f>
      </c>
    </row>
    <row r="23">
      <c r="A23" s="10">
        <f>IF($B23="","",ROW()-10)</f>
        <v/>
      </c>
      <c r="B23" s="4" t="n"/>
      <c r="C23" s="4" t="n"/>
      <c r="D23" s="4" t="n"/>
      <c r="E23" s="4" t="n"/>
      <c r="F23" s="11" t="n"/>
      <c r="G23" s="11" t="n"/>
      <c r="H23" s="4" t="n"/>
      <c r="I23" s="4" t="n"/>
      <c r="J23" t="str">
        <f>IF(COUNTA(B23:D23,F23)=0,"",IF(IFERROR(AND(B23&lt;&gt;"",C23&lt;&gt;"",D23&lt;&gt;"",ISNUMBER(F23),F23&gt;0,MOD(F23,1)=0),FALSE),"","НЕ ПРОВЕРЕНО: реквизиты или листаж"))</f>
      </c>
    </row>
    <row r="24">
      <c r="A24" s="10">
        <f>IF($B24="","",ROW()-10)</f>
        <v/>
      </c>
      <c r="B24" s="4" t="n"/>
      <c r="C24" s="4" t="n"/>
      <c r="D24" s="4" t="n"/>
      <c r="E24" s="4" t="n"/>
      <c r="F24" s="11" t="n"/>
      <c r="G24" s="11" t="n"/>
      <c r="H24" s="4" t="n"/>
      <c r="I24" s="4" t="n"/>
      <c r="J24" t="str">
        <f>IF(COUNTA(B24:D24,F24)=0,"",IF(IFERROR(AND(B24&lt;&gt;"",C24&lt;&gt;"",D24&lt;&gt;"",ISNUMBER(F24),F24&gt;0,MOD(F24,1)=0),FALSE),"","НЕ ПРОВЕРЕНО: реквизиты или листаж"))</f>
      </c>
    </row>
    <row r="25">
      <c r="A25" s="10">
        <f>IF($B25="","",ROW()-10)</f>
        <v/>
      </c>
      <c r="B25" s="4" t="n"/>
      <c r="C25" s="4" t="n"/>
      <c r="D25" s="4" t="n"/>
      <c r="E25" s="4" t="n"/>
      <c r="F25" s="11" t="n"/>
      <c r="G25" s="11" t="n"/>
      <c r="H25" s="4" t="n"/>
      <c r="I25" s="4" t="n"/>
      <c r="J25" t="str">
        <f>IF(COUNTA(B25:D25,F25)=0,"",IF(IFERROR(AND(B25&lt;&gt;"",C25&lt;&gt;"",D25&lt;&gt;"",ISNUMBER(F25),F25&gt;0,MOD(F25,1)=0),FALSE),"","НЕ ПРОВЕРЕНО: реквизиты или листаж"))</f>
      </c>
    </row>
    <row r="26">
      <c r="A26" s="10">
        <f>IF($B26="","",ROW()-10)</f>
        <v/>
      </c>
      <c r="B26" s="4" t="n"/>
      <c r="C26" s="4" t="n"/>
      <c r="D26" s="4" t="n"/>
      <c r="E26" s="4" t="n"/>
      <c r="F26" s="11" t="n"/>
      <c r="G26" s="11" t="n"/>
      <c r="H26" s="4" t="n"/>
      <c r="I26" s="4" t="n"/>
      <c r="J26" t="str">
        <f>IF(COUNTA(B26:D26,F26)=0,"",IF(IFERROR(AND(B26&lt;&gt;"",C26&lt;&gt;"",D26&lt;&gt;"",ISNUMBER(F26),F26&gt;0,MOD(F26,1)=0),FALSE),"","НЕ ПРОВЕРЕНО: реквизиты или листаж"))</f>
      </c>
    </row>
    <row r="27">
      <c r="A27" s="10">
        <f>IF($B27="","",ROW()-10)</f>
        <v/>
      </c>
      <c r="B27" s="4" t="n"/>
      <c r="C27" s="4" t="n"/>
      <c r="D27" s="4" t="n"/>
      <c r="E27" s="4" t="n"/>
      <c r="F27" s="11" t="n"/>
      <c r="G27" s="11" t="n"/>
      <c r="H27" s="4" t="n"/>
      <c r="I27" s="4" t="n"/>
      <c r="J27" t="str">
        <f>IF(COUNTA(B27:D27,F27)=0,"",IF(IFERROR(AND(B27&lt;&gt;"",C27&lt;&gt;"",D27&lt;&gt;"",ISNUMBER(F27),F27&gt;0,MOD(F27,1)=0),FALSE),"","НЕ ПРОВЕРЕНО: реквизиты или листаж"))</f>
      </c>
    </row>
    <row r="28">
      <c r="A28" s="10">
        <f>IF($B28="","",ROW()-10)</f>
        <v/>
      </c>
      <c r="B28" s="4" t="n"/>
      <c r="C28" s="4" t="n"/>
      <c r="D28" s="4" t="n"/>
      <c r="E28" s="4" t="n"/>
      <c r="F28" s="11" t="n"/>
      <c r="G28" s="11" t="n"/>
      <c r="H28" s="4" t="n"/>
      <c r="I28" s="4" t="n"/>
      <c r="J28" t="str">
        <f>IF(COUNTA(B28:D28,F28)=0,"",IF(IFERROR(AND(B28&lt;&gt;"",C28&lt;&gt;"",D28&lt;&gt;"",ISNUMBER(F28),F28&gt;0,MOD(F28,1)=0),FALSE),"","НЕ ПРОВЕРЕНО: реквизиты или листаж"))</f>
      </c>
    </row>
    <row r="29">
      <c r="A29" s="10">
        <f>IF($B29="","",ROW()-10)</f>
        <v/>
      </c>
      <c r="B29" s="4" t="n"/>
      <c r="C29" s="4" t="n"/>
      <c r="D29" s="4" t="n"/>
      <c r="E29" s="4" t="n"/>
      <c r="F29" s="11" t="n"/>
      <c r="G29" s="11" t="n"/>
      <c r="H29" s="4" t="n"/>
      <c r="I29" s="4" t="n"/>
      <c r="J29" t="str">
        <f>IF(COUNTA(B29:D29,F29)=0,"",IF(IFERROR(AND(B29&lt;&gt;"",C29&lt;&gt;"",D29&lt;&gt;"",ISNUMBER(F29),F29&gt;0,MOD(F29,1)=0),FALSE),"","НЕ ПРОВЕРЕНО: реквизиты или листаж"))</f>
      </c>
    </row>
    <row r="30">
      <c r="A30" s="10">
        <f>IF($B30="","",ROW()-10)</f>
        <v/>
      </c>
      <c r="B30" s="4" t="n"/>
      <c r="C30" s="4" t="n"/>
      <c r="D30" s="4" t="n"/>
      <c r="E30" s="4" t="n"/>
      <c r="F30" s="11" t="n"/>
      <c r="G30" s="11" t="n"/>
      <c r="H30" s="4" t="n"/>
      <c r="I30" s="4" t="n"/>
      <c r="J30" t="str">
        <f>IF(COUNTA(B30:D30,F30)=0,"",IF(IFERROR(AND(B30&lt;&gt;"",C30&lt;&gt;"",D30&lt;&gt;"",ISNUMBER(F30),F30&gt;0,MOD(F30,1)=0),FALSE),"","НЕ ПРОВЕРЕНО: реквизиты или листаж"))</f>
      </c>
    </row>
    <row r="31">
      <c r="A31" s="10">
        <f>IF($B31="","",ROW()-10)</f>
        <v/>
      </c>
      <c r="B31" s="4" t="n"/>
      <c r="C31" s="4" t="n"/>
      <c r="D31" s="4" t="n"/>
      <c r="E31" s="4" t="n"/>
      <c r="F31" s="11" t="n"/>
      <c r="G31" s="11" t="n"/>
      <c r="H31" s="4" t="n"/>
      <c r="I31" s="4" t="n"/>
      <c r="J31" t="str">
        <f>IF(COUNTA(B31:D31,F31)=0,"",IF(IFERROR(AND(B31&lt;&gt;"",C31&lt;&gt;"",D31&lt;&gt;"",ISNUMBER(F31),F31&gt;0,MOD(F31,1)=0),FALSE),"","НЕ ПРОВЕРЕНО: реквизиты или листаж"))</f>
      </c>
    </row>
    <row r="32">
      <c r="A32" s="10">
        <f>IF($B32="","",ROW()-10)</f>
        <v/>
      </c>
      <c r="B32" s="4" t="n"/>
      <c r="C32" s="4" t="n"/>
      <c r="D32" s="4" t="n"/>
      <c r="E32" s="4" t="n"/>
      <c r="F32" s="11" t="n"/>
      <c r="G32" s="11" t="n"/>
      <c r="H32" s="4" t="n"/>
      <c r="I32" s="4" t="n"/>
      <c r="J32" t="str">
        <f>IF(COUNTA(B32:D32,F32)=0,"",IF(IFERROR(AND(B32&lt;&gt;"",C32&lt;&gt;"",D32&lt;&gt;"",ISNUMBER(F32),F32&gt;0,MOD(F32,1)=0),FALSE),"","НЕ ПРОВЕРЕНО: реквизиты или листаж"))</f>
      </c>
    </row>
    <row r="33">
      <c r="A33" s="10">
        <f>IF($B33="","",ROW()-10)</f>
        <v/>
      </c>
      <c r="B33" s="4" t="n"/>
      <c r="C33" s="4" t="n"/>
      <c r="D33" s="4" t="n"/>
      <c r="E33" s="4" t="n"/>
      <c r="F33" s="11" t="n"/>
      <c r="G33" s="11" t="n"/>
      <c r="H33" s="4" t="n"/>
      <c r="I33" s="4" t="n"/>
      <c r="J33" t="str">
        <f>IF(COUNTA(B33:D33,F33)=0,"",IF(IFERROR(AND(B33&lt;&gt;"",C33&lt;&gt;"",D33&lt;&gt;"",ISNUMBER(F33),F33&gt;0,MOD(F33,1)=0),FALSE),"","НЕ ПРОВЕРЕНО: реквизиты или листаж"))</f>
      </c>
    </row>
    <row r="34">
      <c r="A34" s="10">
        <f>IF($B34="","",ROW()-10)</f>
        <v/>
      </c>
      <c r="B34" s="4" t="n"/>
      <c r="C34" s="4" t="n"/>
      <c r="D34" s="4" t="n"/>
      <c r="E34" s="4" t="n"/>
      <c r="F34" s="11" t="n"/>
      <c r="G34" s="11" t="n"/>
      <c r="H34" s="4" t="n"/>
      <c r="I34" s="4" t="n"/>
      <c r="J34" t="str">
        <f>IF(COUNTA(B34:D34,F34)=0,"",IF(IFERROR(AND(B34&lt;&gt;"",C34&lt;&gt;"",D34&lt;&gt;"",ISNUMBER(F34),F34&gt;0,MOD(F34,1)=0),FALSE),"","НЕ ПРОВЕРЕНО: реквизиты или листаж"))</f>
      </c>
    </row>
    <row r="35">
      <c r="A35" s="10">
        <f>IF($B35="","",ROW()-10)</f>
        <v/>
      </c>
      <c r="B35" s="4" t="n"/>
      <c r="C35" s="4" t="n"/>
      <c r="D35" s="4" t="n"/>
      <c r="E35" s="4" t="n"/>
      <c r="F35" s="11" t="n"/>
      <c r="G35" s="11" t="n"/>
      <c r="H35" s="4" t="n"/>
      <c r="I35" s="4" t="n"/>
      <c r="J35" t="str">
        <f>IF(COUNTA(B35:D35,F35)=0,"",IF(IFERROR(AND(B35&lt;&gt;"",C35&lt;&gt;"",D35&lt;&gt;"",ISNUMBER(F35),F35&gt;0,MOD(F35,1)=0),FALSE),"","НЕ ПРОВЕРЕНО: реквизиты или листаж"))</f>
      </c>
    </row>
    <row r="36">
      <c r="A36" s="10">
        <f>IF($B36="","",ROW()-10)</f>
        <v/>
      </c>
      <c r="B36" s="4" t="n"/>
      <c r="C36" s="4" t="n"/>
      <c r="D36" s="4" t="n"/>
      <c r="E36" s="4" t="n"/>
      <c r="F36" s="11" t="n"/>
      <c r="G36" s="11" t="n"/>
      <c r="H36" s="4" t="n"/>
      <c r="I36" s="4" t="n"/>
      <c r="J36" t="str">
        <f>IF(COUNTA(B36:D36,F36)=0,"",IF(IFERROR(AND(B36&lt;&gt;"",C36&lt;&gt;"",D36&lt;&gt;"",ISNUMBER(F36),F36&gt;0,MOD(F36,1)=0),FALSE),"","НЕ ПРОВЕРЕНО: реквизиты или листаж"))</f>
      </c>
    </row>
    <row r="37">
      <c r="A37" s="10">
        <f>IF($B37="","",ROW()-10)</f>
        <v/>
      </c>
      <c r="B37" s="4" t="n"/>
      <c r="C37" s="4" t="n"/>
      <c r="D37" s="4" t="n"/>
      <c r="E37" s="4" t="n"/>
      <c r="F37" s="11" t="n"/>
      <c r="G37" s="11" t="n"/>
      <c r="H37" s="4" t="n"/>
      <c r="I37" s="4" t="n"/>
      <c r="J37" t="str">
        <f>IF(COUNTA(B37:D37,F37)=0,"",IF(IFERROR(AND(B37&lt;&gt;"",C37&lt;&gt;"",D37&lt;&gt;"",ISNUMBER(F37),F37&gt;0,MOD(F37,1)=0),FALSE),"","НЕ ПРОВЕРЕНО: реквизиты или листаж"))</f>
      </c>
    </row>
    <row r="38">
      <c r="A38" s="10">
        <f>IF($B38="","",ROW()-10)</f>
        <v/>
      </c>
      <c r="B38" s="4" t="n"/>
      <c r="C38" s="4" t="n"/>
      <c r="D38" s="4" t="n"/>
      <c r="E38" s="4" t="n"/>
      <c r="F38" s="11" t="n"/>
      <c r="G38" s="11" t="n"/>
      <c r="H38" s="4" t="n"/>
      <c r="I38" s="4" t="n"/>
      <c r="J38" t="str">
        <f>IF(COUNTA(B38:D38,F38)=0,"",IF(IFERROR(AND(B38&lt;&gt;"",C38&lt;&gt;"",D38&lt;&gt;"",ISNUMBER(F38),F38&gt;0,MOD(F38,1)=0),FALSE),"","НЕ ПРОВЕРЕНО: реквизиты или листаж"))</f>
      </c>
    </row>
    <row r="39">
      <c r="A39" s="10">
        <f>IF($B39="","",ROW()-10)</f>
        <v/>
      </c>
      <c r="B39" s="4" t="n"/>
      <c r="C39" s="4" t="n"/>
      <c r="D39" s="4" t="n"/>
      <c r="E39" s="4" t="n"/>
      <c r="F39" s="11" t="n"/>
      <c r="G39" s="11" t="n"/>
      <c r="H39" s="4" t="n"/>
      <c r="I39" s="4" t="n"/>
      <c r="J39" t="str">
        <f>IF(COUNTA(B39:D39,F39)=0,"",IF(IFERROR(AND(B39&lt;&gt;"",C39&lt;&gt;"",D39&lt;&gt;"",ISNUMBER(F39),F39&gt;0,MOD(F39,1)=0),FALSE),"","НЕ ПРОВЕРЕНО: реквизиты или листаж"))</f>
      </c>
    </row>
    <row r="40">
      <c r="A40" s="10">
        <f>IF($B40="","",ROW()-10)</f>
        <v/>
      </c>
      <c r="B40" s="4" t="n"/>
      <c r="C40" s="4" t="n"/>
      <c r="D40" s="4" t="n"/>
      <c r="E40" s="4" t="n"/>
      <c r="F40" s="11" t="n"/>
      <c r="G40" s="11" t="n"/>
      <c r="H40" s="4" t="n"/>
      <c r="I40" s="4" t="n"/>
      <c r="J40" t="str">
        <f>IF(COUNTA(B40:D40,F40)=0,"",IF(IFERROR(AND(B40&lt;&gt;"",C40&lt;&gt;"",D40&lt;&gt;"",ISNUMBER(F40),F40&gt;0,MOD(F40,1)=0),FALSE),"","НЕ ПРОВЕРЕНО: реквизиты или листаж"))</f>
      </c>
    </row>
    <row r="41">
      <c r="A41" s="10">
        <f>IF($B41="","",ROW()-10)</f>
        <v/>
      </c>
      <c r="B41" s="4" t="n"/>
      <c r="C41" s="4" t="n"/>
      <c r="D41" s="4" t="n"/>
      <c r="E41" s="4" t="n"/>
      <c r="F41" s="11" t="n"/>
      <c r="G41" s="11" t="n"/>
      <c r="H41" s="4" t="n"/>
      <c r="I41" s="4" t="n"/>
      <c r="J41" t="str">
        <f>IF(COUNTA(B41:D41,F41)=0,"",IF(IFERROR(AND(B41&lt;&gt;"",C41&lt;&gt;"",D41&lt;&gt;"",ISNUMBER(F41),F41&gt;0,MOD(F41,1)=0),FALSE),"","НЕ ПРОВЕРЕНО: реквизиты или листаж"))</f>
      </c>
    </row>
    <row r="42">
      <c r="A42" s="10">
        <f>IF($B42="","",ROW()-10)</f>
        <v/>
      </c>
      <c r="B42" s="4" t="n"/>
      <c r="C42" s="4" t="n"/>
      <c r="D42" s="4" t="n"/>
      <c r="E42" s="4" t="n"/>
      <c r="F42" s="11" t="n"/>
      <c r="G42" s="11" t="n"/>
      <c r="H42" s="4" t="n"/>
      <c r="I42" s="4" t="n"/>
      <c r="J42" t="str">
        <f>IF(COUNTA(B42:D42,F42)=0,"",IF(IFERROR(AND(B42&lt;&gt;"",C42&lt;&gt;"",D42&lt;&gt;"",ISNUMBER(F42),F42&gt;0,MOD(F42,1)=0),FALSE),"","НЕ ПРОВЕРЕНО: реквизиты или листаж"))</f>
      </c>
    </row>
    <row r="43">
      <c r="A43" s="10">
        <f>IF($B43="","",ROW()-10)</f>
        <v/>
      </c>
      <c r="B43" s="4" t="n"/>
      <c r="C43" s="4" t="n"/>
      <c r="D43" s="4" t="n"/>
      <c r="E43" s="4" t="n"/>
      <c r="F43" s="11" t="n"/>
      <c r="G43" s="11" t="n"/>
      <c r="H43" s="4" t="n"/>
      <c r="I43" s="4" t="n"/>
      <c r="J43" t="str">
        <f>IF(COUNTA(B43:D43,F43)=0,"",IF(IFERROR(AND(B43&lt;&gt;"",C43&lt;&gt;"",D43&lt;&gt;"",ISNUMBER(F43),F43&gt;0,MOD(F43,1)=0),FALSE),"","НЕ ПРОВЕРЕНО: реквизиты или листаж"))</f>
      </c>
    </row>
    <row r="44">
      <c r="A44" s="10">
        <f>IF($B44="","",ROW()-10)</f>
        <v/>
      </c>
      <c r="B44" s="4" t="n"/>
      <c r="C44" s="4" t="n"/>
      <c r="D44" s="4" t="n"/>
      <c r="E44" s="4" t="n"/>
      <c r="F44" s="11" t="n"/>
      <c r="G44" s="11" t="n"/>
      <c r="H44" s="4" t="n"/>
      <c r="I44" s="4" t="n"/>
      <c r="J44" t="str">
        <f>IF(COUNTA(B44:D44,F44)=0,"",IF(IFERROR(AND(B44&lt;&gt;"",C44&lt;&gt;"",D44&lt;&gt;"",ISNUMBER(F44),F44&gt;0,MOD(F44,1)=0),FALSE),"","НЕ ПРОВЕРЕНО: реквизиты или листаж"))</f>
      </c>
    </row>
    <row r="45">
      <c r="A45" s="10">
        <f>IF($B45="","",ROW()-10)</f>
        <v/>
      </c>
      <c r="B45" s="4" t="n"/>
      <c r="C45" s="4" t="n"/>
      <c r="D45" s="4" t="n"/>
      <c r="E45" s="4" t="n"/>
      <c r="F45" s="11" t="n"/>
      <c r="G45" s="11" t="n"/>
      <c r="H45" s="4" t="n"/>
      <c r="I45" s="4" t="n"/>
      <c r="J45" t="str">
        <f>IF(COUNTA(B45:D45,F45)=0,"",IF(IFERROR(AND(B45&lt;&gt;"",C45&lt;&gt;"",D45&lt;&gt;"",ISNUMBER(F45),F45&gt;0,MOD(F45,1)=0),FALSE),"","НЕ ПРОВЕРЕНО: реквизиты или листаж"))</f>
      </c>
    </row>
    <row r="46">
      <c r="A46" s="10">
        <f>IF($B46="","",ROW()-10)</f>
        <v/>
      </c>
      <c r="B46" s="4" t="n"/>
      <c r="C46" s="4" t="n"/>
      <c r="D46" s="4" t="n"/>
      <c r="E46" s="4" t="n"/>
      <c r="F46" s="11" t="n"/>
      <c r="G46" s="11" t="n"/>
      <c r="H46" s="4" t="n"/>
      <c r="I46" s="4" t="n"/>
      <c r="J46" t="str">
        <f>IF(COUNTA(B46:D46,F46)=0,"",IF(IFERROR(AND(B46&lt;&gt;"",C46&lt;&gt;"",D46&lt;&gt;"",ISNUMBER(F46),F46&gt;0,MOD(F46,1)=0),FALSE),"","НЕ ПРОВЕРЕНО: реквизиты или листаж"))</f>
      </c>
    </row>
    <row r="47">
      <c r="A47" s="10">
        <f>IF($B47="","",ROW()-10)</f>
        <v/>
      </c>
      <c r="B47" s="4" t="n"/>
      <c r="C47" s="4" t="n"/>
      <c r="D47" s="4" t="n"/>
      <c r="E47" s="4" t="n"/>
      <c r="F47" s="11" t="n"/>
      <c r="G47" s="11" t="n"/>
      <c r="H47" s="4" t="n"/>
      <c r="I47" s="4" t="n"/>
      <c r="J47" t="str">
        <f>IF(COUNTA(B47:D47,F47)=0,"",IF(IFERROR(AND(B47&lt;&gt;"",C47&lt;&gt;"",D47&lt;&gt;"",ISNUMBER(F47),F47&gt;0,MOD(F47,1)=0),FALSE),"","НЕ ПРОВЕРЕНО: реквизиты или листаж"))</f>
      </c>
    </row>
    <row r="48">
      <c r="A48" s="10">
        <f>IF($B48="","",ROW()-10)</f>
        <v/>
      </c>
      <c r="B48" s="4" t="n"/>
      <c r="C48" s="4" t="n"/>
      <c r="D48" s="4" t="n"/>
      <c r="E48" s="4" t="n"/>
      <c r="F48" s="11" t="n"/>
      <c r="G48" s="11" t="n"/>
      <c r="H48" s="4" t="n"/>
      <c r="I48" s="4" t="n"/>
      <c r="J48" t="str">
        <f>IF(COUNTA(B48:D48,F48)=0,"",IF(IFERROR(AND(B48&lt;&gt;"",C48&lt;&gt;"",D48&lt;&gt;"",ISNUMBER(F48),F48&gt;0,MOD(F48,1)=0),FALSE),"","НЕ ПРОВЕРЕНО: реквизиты или листаж"))</f>
      </c>
    </row>
    <row r="49">
      <c r="A49" s="10">
        <f>IF($B49="","",ROW()-10)</f>
        <v/>
      </c>
      <c r="B49" s="4" t="n"/>
      <c r="C49" s="4" t="n"/>
      <c r="D49" s="4" t="n"/>
      <c r="E49" s="4" t="n"/>
      <c r="F49" s="11" t="n"/>
      <c r="G49" s="11" t="n"/>
      <c r="H49" s="4" t="n"/>
      <c r="I49" s="4" t="n"/>
      <c r="J49" t="str">
        <f>IF(COUNTA(B49:D49,F49)=0,"",IF(IFERROR(AND(B49&lt;&gt;"",C49&lt;&gt;"",D49&lt;&gt;"",ISNUMBER(F49),F49&gt;0,MOD(F49,1)=0),FALSE),"","НЕ ПРОВЕРЕНО: реквизиты или листаж"))</f>
      </c>
    </row>
    <row r="50">
      <c r="A50" s="10">
        <f>IF($B50="","",ROW()-10)</f>
        <v/>
      </c>
      <c r="B50" s="4" t="n"/>
      <c r="C50" s="4" t="n"/>
      <c r="D50" s="4" t="n"/>
      <c r="E50" s="4" t="n"/>
      <c r="F50" s="11" t="n"/>
      <c r="G50" s="11" t="n"/>
      <c r="H50" s="4" t="n"/>
      <c r="I50" s="4" t="n"/>
      <c r="J50" t="str">
        <f>IF(COUNTA(B50:D50,F50)=0,"",IF(IFERROR(AND(B50&lt;&gt;"",C50&lt;&gt;"",D50&lt;&gt;"",ISNUMBER(F50),F50&gt;0,MOD(F50,1)=0),FALSE),"","НЕ ПРОВЕРЕНО: реквизиты или листаж"))</f>
      </c>
    </row>
    <row r="51">
      <c r="A51" s="10">
        <f>IF($B51="","",ROW()-10)</f>
        <v/>
      </c>
      <c r="B51" s="4" t="n"/>
      <c r="C51" s="4" t="n"/>
      <c r="D51" s="4" t="n"/>
      <c r="E51" s="4" t="n"/>
      <c r="F51" s="11" t="n"/>
      <c r="G51" s="11" t="n"/>
      <c r="H51" s="4" t="n"/>
      <c r="I51" s="4" t="n"/>
      <c r="J51" t="str">
        <f>IF(COUNTA(B51:D51,F51)=0,"",IF(IFERROR(AND(B51&lt;&gt;"",C51&lt;&gt;"",D51&lt;&gt;"",ISNUMBER(F51),F51&gt;0,MOD(F51,1)=0),FALSE),"","НЕ ПРОВЕРЕНО: реквизиты или листаж"))</f>
      </c>
    </row>
    <row r="52">
      <c r="A52" s="10">
        <f>IF($B52="","",ROW()-10)</f>
        <v/>
      </c>
      <c r="B52" s="4" t="n"/>
      <c r="C52" s="4" t="n"/>
      <c r="D52" s="4" t="n"/>
      <c r="E52" s="4" t="n"/>
      <c r="F52" s="11" t="n"/>
      <c r="G52" s="11" t="n"/>
      <c r="H52" s="4" t="n"/>
      <c r="I52" s="4" t="n"/>
      <c r="J52" t="str">
        <f>IF(COUNTA(B52:D52,F52)=0,"",IF(IFERROR(AND(B52&lt;&gt;"",C52&lt;&gt;"",D52&lt;&gt;"",ISNUMBER(F52),F52&gt;0,MOD(F52,1)=0),FALSE),"","НЕ ПРОВЕРЕНО: реквизиты или листаж"))</f>
      </c>
    </row>
    <row r="53">
      <c r="A53" s="10">
        <f>IF($B53="","",ROW()-10)</f>
        <v/>
      </c>
      <c r="B53" s="4" t="n"/>
      <c r="C53" s="4" t="n"/>
      <c r="D53" s="4" t="n"/>
      <c r="E53" s="4" t="n"/>
      <c r="F53" s="11" t="n"/>
      <c r="G53" s="11" t="n"/>
      <c r="H53" s="4" t="n"/>
      <c r="I53" s="4" t="n"/>
      <c r="J53" t="str">
        <f>IF(COUNTA(B53:D53,F53)=0,"",IF(IFERROR(AND(B53&lt;&gt;"",C53&lt;&gt;"",D53&lt;&gt;"",ISNUMBER(F53),F53&gt;0,MOD(F53,1)=0),FALSE),"","НЕ ПРОВЕРЕНО: реквизиты или листаж"))</f>
      </c>
    </row>
    <row r="54">
      <c r="A54" s="10">
        <f>IF($B54="","",ROW()-10)</f>
        <v/>
      </c>
      <c r="B54" s="4" t="n"/>
      <c r="C54" s="4" t="n"/>
      <c r="D54" s="4" t="n"/>
      <c r="E54" s="4" t="n"/>
      <c r="F54" s="11" t="n"/>
      <c r="G54" s="11" t="n"/>
      <c r="H54" s="4" t="n"/>
      <c r="I54" s="4" t="n"/>
      <c r="J54" t="str">
        <f>IF(COUNTA(B54:D54,F54)=0,"",IF(IFERROR(AND(B54&lt;&gt;"",C54&lt;&gt;"",D54&lt;&gt;"",ISNUMBER(F54),F54&gt;0,MOD(F54,1)=0),FALSE),"","НЕ ПРОВЕРЕНО: реквизиты или листаж"))</f>
      </c>
    </row>
    <row r="55">
      <c r="A55" s="10">
        <f>IF($B55="","",ROW()-10)</f>
        <v/>
      </c>
      <c r="B55" s="4" t="n"/>
      <c r="C55" s="4" t="n"/>
      <c r="D55" s="4" t="n"/>
      <c r="E55" s="4" t="n"/>
      <c r="F55" s="11" t="n"/>
      <c r="G55" s="11" t="n"/>
      <c r="H55" s="4" t="n"/>
      <c r="I55" s="4" t="n"/>
      <c r="J55" t="str">
        <f>IF(COUNTA(B55:D55,F55)=0,"",IF(IFERROR(AND(B55&lt;&gt;"",C55&lt;&gt;"",D55&lt;&gt;"",ISNUMBER(F55),F55&gt;0,MOD(F55,1)=0),FALSE),"","НЕ ПРОВЕРЕНО: реквизиты или листаж"))</f>
      </c>
    </row>
    <row r="56">
      <c r="A56" s="10">
        <f>IF($B56="","",ROW()-10)</f>
        <v/>
      </c>
      <c r="B56" s="4" t="n"/>
      <c r="C56" s="4" t="n"/>
      <c r="D56" s="4" t="n"/>
      <c r="E56" s="4" t="n"/>
      <c r="F56" s="11" t="n"/>
      <c r="G56" s="11" t="n"/>
      <c r="H56" s="4" t="n"/>
      <c r="I56" s="4" t="n"/>
      <c r="J56" t="str">
        <f>IF(COUNTA(B56:D56,F56)=0,"",IF(IFERROR(AND(B56&lt;&gt;"",C56&lt;&gt;"",D56&lt;&gt;"",ISNUMBER(F56),F56&gt;0,MOD(F56,1)=0),FALSE),"","НЕ ПРОВЕРЕНО: реквизиты или листаж"))</f>
      </c>
    </row>
    <row r="57">
      <c r="A57" s="10">
        <f>IF($B57="","",ROW()-10)</f>
        <v/>
      </c>
      <c r="B57" s="4" t="n"/>
      <c r="C57" s="4" t="n"/>
      <c r="D57" s="4" t="n"/>
      <c r="E57" s="4" t="n"/>
      <c r="F57" s="11" t="n"/>
      <c r="G57" s="11" t="n"/>
      <c r="H57" s="4" t="n"/>
      <c r="I57" s="4" t="n"/>
      <c r="J57" t="str">
        <f>IF(COUNTA(B57:D57,F57)=0,"",IF(IFERROR(AND(B57&lt;&gt;"",C57&lt;&gt;"",D57&lt;&gt;"",ISNUMBER(F57),F57&gt;0,MOD(F57,1)=0),FALSE),"","НЕ ПРОВЕРЕНО: реквизиты или листаж"))</f>
      </c>
    </row>
    <row r="58">
      <c r="A58" s="10">
        <f>IF($B58="","",ROW()-10)</f>
        <v/>
      </c>
      <c r="B58" s="4" t="n"/>
      <c r="C58" s="4" t="n"/>
      <c r="D58" s="4" t="n"/>
      <c r="E58" s="4" t="n"/>
      <c r="F58" s="11" t="n"/>
      <c r="G58" s="11" t="n"/>
      <c r="H58" s="4" t="n"/>
      <c r="I58" s="4" t="n"/>
      <c r="J58" t="str">
        <f>IF(COUNTA(B58:D58,F58)=0,"",IF(IFERROR(AND(B58&lt;&gt;"",C58&lt;&gt;"",D58&lt;&gt;"",ISNUMBER(F58),F58&gt;0,MOD(F58,1)=0),FALSE),"","НЕ ПРОВЕРЕНО: реквизиты или листаж"))</f>
      </c>
    </row>
    <row r="59">
      <c r="A59" s="10">
        <f>IF($B59="","",ROW()-10)</f>
        <v/>
      </c>
      <c r="B59" s="4" t="n"/>
      <c r="C59" s="4" t="n"/>
      <c r="D59" s="4" t="n"/>
      <c r="E59" s="4" t="n"/>
      <c r="F59" s="11" t="n"/>
      <c r="G59" s="11" t="n"/>
      <c r="H59" s="4" t="n"/>
      <c r="I59" s="4" t="n"/>
      <c r="J59" t="str">
        <f>IF(COUNTA(B59:D59,F59)=0,"",IF(IFERROR(AND(B59&lt;&gt;"",C59&lt;&gt;"",D59&lt;&gt;"",ISNUMBER(F59),F59&gt;0,MOD(F59,1)=0),FALSE),"","НЕ ПРОВЕРЕНО: реквизиты или листаж"))</f>
      </c>
    </row>
    <row r="60">
      <c r="A60" s="10">
        <f>IF($B60="","",ROW()-10)</f>
        <v/>
      </c>
      <c r="B60" s="4" t="n"/>
      <c r="C60" s="4" t="n"/>
      <c r="D60" s="4" t="n"/>
      <c r="E60" s="4" t="n"/>
      <c r="F60" s="11" t="n"/>
      <c r="G60" s="11" t="n"/>
      <c r="H60" s="4" t="n"/>
      <c r="I60" s="4" t="n"/>
      <c r="J60" t="str">
        <f>IF(COUNTA(B60:D60,F60)=0,"",IF(IFERROR(AND(B60&lt;&gt;"",C60&lt;&gt;"",D60&lt;&gt;"",ISNUMBER(F60),F60&gt;0,MOD(F60,1)=0),FALSE),"","НЕ ПРОВЕРЕНО: реквизиты или листаж"))</f>
      </c>
    </row>
    <row r="61">
      <c r="A61" s="10">
        <f>IF($B61="","",ROW()-10)</f>
        <v/>
      </c>
      <c r="B61" s="4" t="n"/>
      <c r="C61" s="4" t="n"/>
      <c r="D61" s="4" t="n"/>
      <c r="E61" s="4" t="n"/>
      <c r="F61" s="11" t="n"/>
      <c r="G61" s="11" t="n"/>
      <c r="H61" s="4" t="n"/>
      <c r="I61" s="4" t="n"/>
      <c r="J61" t="str">
        <f>IF(COUNTA(B61:D61,F61)=0,"",IF(IFERROR(AND(B61&lt;&gt;"",C61&lt;&gt;"",D61&lt;&gt;"",ISNUMBER(F61),F61&gt;0,MOD(F61,1)=0),FALSE),"","НЕ ПРОВЕРЕНО: реквизиты или листаж"))</f>
      </c>
    </row>
    <row r="62">
      <c r="A62" s="10">
        <f>IF($B62="","",ROW()-10)</f>
        <v/>
      </c>
      <c r="B62" s="4" t="n"/>
      <c r="C62" s="4" t="n"/>
      <c r="D62" s="4" t="n"/>
      <c r="E62" s="4" t="n"/>
      <c r="F62" s="11" t="n"/>
      <c r="G62" s="11" t="n"/>
      <c r="H62" s="4" t="n"/>
      <c r="I62" s="4" t="n"/>
      <c r="J62" t="str">
        <f>IF(COUNTA(B62:D62,F62)=0,"",IF(IFERROR(AND(B62&lt;&gt;"",C62&lt;&gt;"",D62&lt;&gt;"",ISNUMBER(F62),F62&gt;0,MOD(F62,1)=0),FALSE),"","НЕ ПРОВЕРЕНО: реквизиты или листаж"))</f>
      </c>
    </row>
    <row r="63">
      <c r="A63" s="10">
        <f>IF($B63="","",ROW()-10)</f>
        <v/>
      </c>
      <c r="B63" s="4" t="n"/>
      <c r="C63" s="4" t="n"/>
      <c r="D63" s="4" t="n"/>
      <c r="E63" s="4" t="n"/>
      <c r="F63" s="11" t="n"/>
      <c r="G63" s="11" t="n"/>
      <c r="H63" s="4" t="n"/>
      <c r="I63" s="4" t="n"/>
      <c r="J63" t="str">
        <f>IF(COUNTA(B63:D63,F63)=0,"",IF(IFERROR(AND(B63&lt;&gt;"",C63&lt;&gt;"",D63&lt;&gt;"",ISNUMBER(F63),F63&gt;0,MOD(F63,1)=0),FALSE),"","НЕ ПРОВЕРЕНО: реквизиты или листаж"))</f>
      </c>
    </row>
    <row r="64">
      <c r="A64" s="10">
        <f>IF($B64="","",ROW()-10)</f>
        <v/>
      </c>
      <c r="B64" s="4" t="n"/>
      <c r="C64" s="4" t="n"/>
      <c r="D64" s="4" t="n"/>
      <c r="E64" s="4" t="n"/>
      <c r="F64" s="11" t="n"/>
      <c r="G64" s="11" t="n"/>
      <c r="H64" s="4" t="n"/>
      <c r="I64" s="4" t="n"/>
      <c r="J64" t="str">
        <f>IF(COUNTA(B64:D64,F64)=0,"",IF(IFERROR(AND(B64&lt;&gt;"",C64&lt;&gt;"",D64&lt;&gt;"",ISNUMBER(F64),F64&gt;0,MOD(F64,1)=0),FALSE),"","НЕ ПРОВЕРЕНО: реквизиты или листаж"))</f>
      </c>
    </row>
    <row r="65">
      <c r="A65" s="10">
        <f>IF($B65="","",ROW()-10)</f>
        <v/>
      </c>
      <c r="B65" s="4" t="n"/>
      <c r="C65" s="4" t="n"/>
      <c r="D65" s="4" t="n"/>
      <c r="E65" s="4" t="n"/>
      <c r="F65" s="11" t="n"/>
      <c r="G65" s="11" t="n"/>
      <c r="H65" s="4" t="n"/>
      <c r="I65" s="4" t="n"/>
      <c r="J65" t="str">
        <f>IF(COUNTA(B65:D65,F65)=0,"",IF(IFERROR(AND(B65&lt;&gt;"",C65&lt;&gt;"",D65&lt;&gt;"",ISNUMBER(F65),F65&gt;0,MOD(F65,1)=0),FALSE),"","НЕ ПРОВЕРЕНО: реквизиты или листаж"))</f>
      </c>
    </row>
    <row r="66">
      <c r="A66" s="10">
        <f>IF($B66="","",ROW()-10)</f>
        <v/>
      </c>
      <c r="B66" s="4" t="n"/>
      <c r="C66" s="4" t="n"/>
      <c r="D66" s="4" t="n"/>
      <c r="E66" s="4" t="n"/>
      <c r="F66" s="11" t="n"/>
      <c r="G66" s="11" t="n"/>
      <c r="H66" s="4" t="n"/>
      <c r="I66" s="4" t="n"/>
      <c r="J66" t="str">
        <f>IF(COUNTA(B66:D66,F66)=0,"",IF(IFERROR(AND(B66&lt;&gt;"",C66&lt;&gt;"",D66&lt;&gt;"",ISNUMBER(F66),F66&gt;0,MOD(F66,1)=0),FALSE),"","НЕ ПРОВЕРЕНО: реквизиты или листаж"))</f>
      </c>
    </row>
    <row r="67">
      <c r="A67" s="10">
        <f>IF($B67="","",ROW()-10)</f>
        <v/>
      </c>
      <c r="B67" s="4" t="n"/>
      <c r="C67" s="4" t="n"/>
      <c r="D67" s="4" t="n"/>
      <c r="E67" s="4" t="n"/>
      <c r="F67" s="11" t="n"/>
      <c r="G67" s="11" t="n"/>
      <c r="H67" s="4" t="n"/>
      <c r="I67" s="4" t="n"/>
      <c r="J67" t="str">
        <f>IF(COUNTA(B67:D67,F67)=0,"",IF(IFERROR(AND(B67&lt;&gt;"",C67&lt;&gt;"",D67&lt;&gt;"",ISNUMBER(F67),F67&gt;0,MOD(F67,1)=0),FALSE),"","НЕ ПРОВЕРЕНО: реквизиты или листаж"))</f>
      </c>
    </row>
    <row r="68">
      <c r="A68" s="10">
        <f>IF($B68="","",ROW()-10)</f>
        <v/>
      </c>
      <c r="B68" s="4" t="n"/>
      <c r="C68" s="4" t="n"/>
      <c r="D68" s="4" t="n"/>
      <c r="E68" s="4" t="n"/>
      <c r="F68" s="11" t="n"/>
      <c r="G68" s="11" t="n"/>
      <c r="H68" s="4" t="n"/>
      <c r="I68" s="4" t="n"/>
      <c r="J68" t="str">
        <f>IF(COUNTA(B68:D68,F68)=0,"",IF(IFERROR(AND(B68&lt;&gt;"",C68&lt;&gt;"",D68&lt;&gt;"",ISNUMBER(F68),F68&gt;0,MOD(F68,1)=0),FALSE),"","НЕ ПРОВЕРЕНО: реквизиты или листаж"))</f>
      </c>
    </row>
    <row r="69">
      <c r="A69" s="10">
        <f>IF($B69="","",ROW()-10)</f>
        <v/>
      </c>
      <c r="B69" s="4" t="n"/>
      <c r="C69" s="4" t="n"/>
      <c r="D69" s="4" t="n"/>
      <c r="E69" s="4" t="n"/>
      <c r="F69" s="11" t="n"/>
      <c r="G69" s="11" t="n"/>
      <c r="H69" s="4" t="n"/>
      <c r="I69" s="4" t="n"/>
      <c r="J69" t="str">
        <f>IF(COUNTA(B69:D69,F69)=0,"",IF(IFERROR(AND(B69&lt;&gt;"",C69&lt;&gt;"",D69&lt;&gt;"",ISNUMBER(F69),F69&gt;0,MOD(F69,1)=0),FALSE),"","НЕ ПРОВЕРЕНО: реквизиты или листаж"))</f>
      </c>
    </row>
    <row r="70">
      <c r="A70" s="10">
        <f>IF($B70="","",ROW()-10)</f>
        <v/>
      </c>
      <c r="B70" s="4" t="n"/>
      <c r="C70" s="4" t="n"/>
      <c r="D70" s="4" t="n"/>
      <c r="E70" s="4" t="n"/>
      <c r="F70" s="11" t="n"/>
      <c r="G70" s="11" t="n"/>
      <c r="H70" s="4" t="n"/>
      <c r="I70" s="4" t="n"/>
      <c r="J70" t="str">
        <f>IF(COUNTA(B70:D70,F70)=0,"",IF(IFERROR(AND(B70&lt;&gt;"",C70&lt;&gt;"",D70&lt;&gt;"",ISNUMBER(F70),F70&gt;0,MOD(F70,1)=0),FALSE),"","НЕ ПРОВЕРЕНО: реквизиты или листаж"))</f>
      </c>
    </row>
    <row r="71">
      <c r="A71" s="10">
        <f>IF($B71="","",ROW()-10)</f>
        <v/>
      </c>
      <c r="B71" s="4" t="n"/>
      <c r="C71" s="4" t="n"/>
      <c r="D71" s="4" t="n"/>
      <c r="E71" s="4" t="n"/>
      <c r="F71" s="11" t="n"/>
      <c r="G71" s="11" t="n"/>
      <c r="H71" s="4" t="n"/>
      <c r="I71" s="4" t="n"/>
      <c r="J71" t="str">
        <f>IF(COUNTA(B71:D71,F71)=0,"",IF(IFERROR(AND(B71&lt;&gt;"",C71&lt;&gt;"",D71&lt;&gt;"",ISNUMBER(F71),F71&gt;0,MOD(F71,1)=0),FALSE),"","НЕ ПРОВЕРЕНО: реквизиты или листаж"))</f>
      </c>
    </row>
    <row r="72">
      <c r="A72" s="10">
        <f>IF($B72="","",ROW()-10)</f>
        <v/>
      </c>
      <c r="B72" s="4" t="n"/>
      <c r="C72" s="4" t="n"/>
      <c r="D72" s="4" t="n"/>
      <c r="E72" s="4" t="n"/>
      <c r="F72" s="11" t="n"/>
      <c r="G72" s="11" t="n"/>
      <c r="H72" s="4" t="n"/>
      <c r="I72" s="4" t="n"/>
      <c r="J72" t="str">
        <f>IF(COUNTA(B72:D72,F72)=0,"",IF(IFERROR(AND(B72&lt;&gt;"",C72&lt;&gt;"",D72&lt;&gt;"",ISNUMBER(F72),F72&gt;0,MOD(F72,1)=0),FALSE),"","НЕ ПРОВЕРЕНО: реквизиты или листаж"))</f>
      </c>
    </row>
    <row r="73">
      <c r="A73" s="10">
        <f>IF($B73="","",ROW()-10)</f>
        <v/>
      </c>
      <c r="B73" s="4" t="n"/>
      <c r="C73" s="4" t="n"/>
      <c r="D73" s="4" t="n"/>
      <c r="E73" s="4" t="n"/>
      <c r="F73" s="11" t="n"/>
      <c r="G73" s="11" t="n"/>
      <c r="H73" s="4" t="n"/>
      <c r="I73" s="4" t="n"/>
      <c r="J73" t="str">
        <f>IF(COUNTA(B73:D73,F73)=0,"",IF(IFERROR(AND(B73&lt;&gt;"",C73&lt;&gt;"",D73&lt;&gt;"",ISNUMBER(F73),F73&gt;0,MOD(F73,1)=0),FALSE),"","НЕ ПРОВЕРЕНО: реквизиты или листаж"))</f>
      </c>
    </row>
    <row r="74">
      <c r="A74" s="10">
        <f>IF($B74="","",ROW()-10)</f>
        <v/>
      </c>
      <c r="B74" s="4" t="n"/>
      <c r="C74" s="4" t="n"/>
      <c r="D74" s="4" t="n"/>
      <c r="E74" s="4" t="n"/>
      <c r="F74" s="11" t="n"/>
      <c r="G74" s="11" t="n"/>
      <c r="H74" s="4" t="n"/>
      <c r="I74" s="4" t="n"/>
      <c r="J74" t="str">
        <f>IF(COUNTA(B74:D74,F74)=0,"",IF(IFERROR(AND(B74&lt;&gt;"",C74&lt;&gt;"",D74&lt;&gt;"",ISNUMBER(F74),F74&gt;0,MOD(F74,1)=0),FALSE),"","НЕ ПРОВЕРЕНО: реквизиты или листаж"))</f>
      </c>
    </row>
    <row r="75">
      <c r="A75" s="10">
        <f>IF($B75="","",ROW()-10)</f>
        <v/>
      </c>
      <c r="B75" s="4" t="n"/>
      <c r="C75" s="4" t="n"/>
      <c r="D75" s="4" t="n"/>
      <c r="E75" s="4" t="n"/>
      <c r="F75" s="11" t="n"/>
      <c r="G75" s="11" t="n"/>
      <c r="H75" s="4" t="n"/>
      <c r="I75" s="4" t="n"/>
      <c r="J75" t="str">
        <f>IF(COUNTA(B75:D75,F75)=0,"",IF(IFERROR(AND(B75&lt;&gt;"",C75&lt;&gt;"",D75&lt;&gt;"",ISNUMBER(F75),F75&gt;0,MOD(F75,1)=0),FALSE),"","НЕ ПРОВЕРЕНО: реквизиты или листаж"))</f>
      </c>
    </row>
    <row r="76">
      <c r="A76" s="10">
        <f>IF($B76="","",ROW()-10)</f>
        <v/>
      </c>
      <c r="B76" s="4" t="n"/>
      <c r="C76" s="4" t="n"/>
      <c r="D76" s="4" t="n"/>
      <c r="E76" s="4" t="n"/>
      <c r="F76" s="11" t="n"/>
      <c r="G76" s="11" t="n"/>
      <c r="H76" s="4" t="n"/>
      <c r="I76" s="4" t="n"/>
      <c r="J76" t="str">
        <f>IF(COUNTA(B76:D76,F76)=0,"",IF(IFERROR(AND(B76&lt;&gt;"",C76&lt;&gt;"",D76&lt;&gt;"",ISNUMBER(F76),F76&gt;0,MOD(F76,1)=0),FALSE),"","НЕ ПРОВЕРЕНО: реквизиты или листаж"))</f>
      </c>
    </row>
    <row r="77">
      <c r="A77" s="10">
        <f>IF($B77="","",ROW()-10)</f>
        <v/>
      </c>
      <c r="B77" s="4" t="n"/>
      <c r="C77" s="4" t="n"/>
      <c r="D77" s="4" t="n"/>
      <c r="E77" s="4" t="n"/>
      <c r="F77" s="11" t="n"/>
      <c r="G77" s="11" t="n"/>
      <c r="H77" s="4" t="n"/>
      <c r="I77" s="4" t="n"/>
      <c r="J77" t="str">
        <f>IF(COUNTA(B77:D77,F77)=0,"",IF(IFERROR(AND(B77&lt;&gt;"",C77&lt;&gt;"",D77&lt;&gt;"",ISNUMBER(F77),F77&gt;0,MOD(F77,1)=0),FALSE),"","НЕ ПРОВЕРЕНО: реквизиты или листаж"))</f>
      </c>
    </row>
    <row r="78">
      <c r="A78" s="10">
        <f>IF($B78="","",ROW()-10)</f>
        <v/>
      </c>
      <c r="B78" s="4" t="n"/>
      <c r="C78" s="4" t="n"/>
      <c r="D78" s="4" t="n"/>
      <c r="E78" s="4" t="n"/>
      <c r="F78" s="11" t="n"/>
      <c r="G78" s="11" t="n"/>
      <c r="H78" s="4" t="n"/>
      <c r="I78" s="4" t="n"/>
      <c r="J78" t="str">
        <f>IF(COUNTA(B78:D78,F78)=0,"",IF(IFERROR(AND(B78&lt;&gt;"",C78&lt;&gt;"",D78&lt;&gt;"",ISNUMBER(F78),F78&gt;0,MOD(F78,1)=0),FALSE),"","НЕ ПРОВЕРЕНО: реквизиты или листаж"))</f>
      </c>
    </row>
    <row r="79">
      <c r="A79" s="10">
        <f>IF($B79="","",ROW()-10)</f>
        <v/>
      </c>
      <c r="B79" s="4" t="n"/>
      <c r="C79" s="4" t="n"/>
      <c r="D79" s="4" t="n"/>
      <c r="E79" s="4" t="n"/>
      <c r="F79" s="11" t="n"/>
      <c r="G79" s="11" t="n"/>
      <c r="H79" s="4" t="n"/>
      <c r="I79" s="4" t="n"/>
      <c r="J79" t="str">
        <f>IF(COUNTA(B79:D79,F79)=0,"",IF(IFERROR(AND(B79&lt;&gt;"",C79&lt;&gt;"",D79&lt;&gt;"",ISNUMBER(F79),F79&gt;0,MOD(F79,1)=0),FALSE),"","НЕ ПРОВЕРЕНО: реквизиты или листаж"))</f>
      </c>
    </row>
    <row r="80">
      <c r="A80" s="10">
        <f>IF($B80="","",ROW()-10)</f>
        <v/>
      </c>
      <c r="B80" s="4" t="n"/>
      <c r="C80" s="4" t="n"/>
      <c r="D80" s="4" t="n"/>
      <c r="E80" s="4" t="n"/>
      <c r="F80" s="11" t="n"/>
      <c r="G80" s="11" t="n"/>
      <c r="H80" s="4" t="n"/>
      <c r="I80" s="4" t="n"/>
      <c r="J80" t="str">
        <f>IF(COUNTA(B80:D80,F80)=0,"",IF(IFERROR(AND(B80&lt;&gt;"",C80&lt;&gt;"",D80&lt;&gt;"",ISNUMBER(F80),F80&gt;0,MOD(F80,1)=0),FALSE),"","НЕ ПРОВЕРЕНО: реквизиты или листаж"))</f>
      </c>
    </row>
    <row r="81">
      <c r="A81" s="10">
        <f>IF($B81="","",ROW()-10)</f>
        <v/>
      </c>
      <c r="B81" s="4" t="n"/>
      <c r="C81" s="4" t="n"/>
      <c r="D81" s="4" t="n"/>
      <c r="E81" s="4" t="n"/>
      <c r="F81" s="11" t="n"/>
      <c r="G81" s="11" t="n"/>
      <c r="H81" s="4" t="n"/>
      <c r="I81" s="4" t="n"/>
      <c r="J81" t="str">
        <f>IF(COUNTA(B81:D81,F81)=0,"",IF(IFERROR(AND(B81&lt;&gt;"",C81&lt;&gt;"",D81&lt;&gt;"",ISNUMBER(F81),F81&gt;0,MOD(F81,1)=0),FALSE),"","НЕ ПРОВЕРЕНО: реквизиты или листаж"))</f>
      </c>
    </row>
    <row r="82">
      <c r="A82" s="10">
        <f>IF($B82="","",ROW()-10)</f>
        <v/>
      </c>
      <c r="B82" s="4" t="n"/>
      <c r="C82" s="4" t="n"/>
      <c r="D82" s="4" t="n"/>
      <c r="E82" s="4" t="n"/>
      <c r="F82" s="11" t="n"/>
      <c r="G82" s="11" t="n"/>
      <c r="H82" s="4" t="n"/>
      <c r="I82" s="4" t="n"/>
      <c r="J82" t="str">
        <f>IF(COUNTA(B82:D82,F82)=0,"",IF(IFERROR(AND(B82&lt;&gt;"",C82&lt;&gt;"",D82&lt;&gt;"",ISNUMBER(F82),F82&gt;0,MOD(F82,1)=0),FALSE),"","НЕ ПРОВЕРЕНО: реквизиты или листаж"))</f>
      </c>
    </row>
    <row r="83">
      <c r="A83" s="10">
        <f>IF($B83="","",ROW()-10)</f>
        <v/>
      </c>
      <c r="B83" s="4" t="n"/>
      <c r="C83" s="4" t="n"/>
      <c r="D83" s="4" t="n"/>
      <c r="E83" s="4" t="n"/>
      <c r="F83" s="11" t="n"/>
      <c r="G83" s="11" t="n"/>
      <c r="H83" s="4" t="n"/>
      <c r="I83" s="4" t="n"/>
      <c r="J83" t="str">
        <f>IF(COUNTA(B83:D83,F83)=0,"",IF(IFERROR(AND(B83&lt;&gt;"",C83&lt;&gt;"",D83&lt;&gt;"",ISNUMBER(F83),F83&gt;0,MOD(F83,1)=0),FALSE),"","НЕ ПРОВЕРЕНО: реквизиты или листаж"))</f>
      </c>
    </row>
    <row r="84">
      <c r="A84" s="10">
        <f>IF($B84="","",ROW()-10)</f>
        <v/>
      </c>
      <c r="B84" s="4" t="n"/>
      <c r="C84" s="4" t="n"/>
      <c r="D84" s="4" t="n"/>
      <c r="E84" s="4" t="n"/>
      <c r="F84" s="11" t="n"/>
      <c r="G84" s="11" t="n"/>
      <c r="H84" s="4" t="n"/>
      <c r="I84" s="4" t="n"/>
      <c r="J84" t="str">
        <f>IF(COUNTA(B84:D84,F84)=0,"",IF(IFERROR(AND(B84&lt;&gt;"",C84&lt;&gt;"",D84&lt;&gt;"",ISNUMBER(F84),F84&gt;0,MOD(F84,1)=0),FALSE),"","НЕ ПРОВЕРЕНО: реквизиты или листаж"))</f>
      </c>
    </row>
    <row r="85">
      <c r="A85" s="10">
        <f>IF($B85="","",ROW()-10)</f>
        <v/>
      </c>
      <c r="B85" s="4" t="n"/>
      <c r="C85" s="4" t="n"/>
      <c r="D85" s="4" t="n"/>
      <c r="E85" s="4" t="n"/>
      <c r="F85" s="11" t="n"/>
      <c r="G85" s="11" t="n"/>
      <c r="H85" s="4" t="n"/>
      <c r="I85" s="4" t="n"/>
      <c r="J85" t="str">
        <f>IF(COUNTA(B85:D85,F85)=0,"",IF(IFERROR(AND(B85&lt;&gt;"",C85&lt;&gt;"",D85&lt;&gt;"",ISNUMBER(F85),F85&gt;0,MOD(F85,1)=0),FALSE),"","НЕ ПРОВЕРЕНО: реквизиты или листаж"))</f>
      </c>
    </row>
    <row r="86">
      <c r="A86" s="10">
        <f>IF($B86="","",ROW()-10)</f>
        <v/>
      </c>
      <c r="B86" s="4" t="n"/>
      <c r="C86" s="4" t="n"/>
      <c r="D86" s="4" t="n"/>
      <c r="E86" s="4" t="n"/>
      <c r="F86" s="11" t="n"/>
      <c r="G86" s="11" t="n"/>
      <c r="H86" s="4" t="n"/>
      <c r="I86" s="4" t="n"/>
      <c r="J86" t="str">
        <f>IF(COUNTA(B86:D86,F86)=0,"",IF(IFERROR(AND(B86&lt;&gt;"",C86&lt;&gt;"",D86&lt;&gt;"",ISNUMBER(F86),F86&gt;0,MOD(F86,1)=0),FALSE),"","НЕ ПРОВЕРЕНО: реквизиты или листаж"))</f>
      </c>
    </row>
    <row r="87">
      <c r="A87" s="10">
        <f>IF($B87="","",ROW()-10)</f>
        <v/>
      </c>
      <c r="B87" s="4" t="n"/>
      <c r="C87" s="4" t="n"/>
      <c r="D87" s="4" t="n"/>
      <c r="E87" s="4" t="n"/>
      <c r="F87" s="11" t="n"/>
      <c r="G87" s="11" t="n"/>
      <c r="H87" s="4" t="n"/>
      <c r="I87" s="4" t="n"/>
      <c r="J87" t="str">
        <f>IF(COUNTA(B87:D87,F87)=0,"",IF(IFERROR(AND(B87&lt;&gt;"",C87&lt;&gt;"",D87&lt;&gt;"",ISNUMBER(F87),F87&gt;0,MOD(F87,1)=0),FALSE),"","НЕ ПРОВЕРЕНО: реквизиты или листаж"))</f>
      </c>
    </row>
    <row r="88">
      <c r="A88" s="10">
        <f>IF($B88="","",ROW()-10)</f>
        <v/>
      </c>
      <c r="B88" s="4" t="n"/>
      <c r="C88" s="4" t="n"/>
      <c r="D88" s="4" t="n"/>
      <c r="E88" s="4" t="n"/>
      <c r="F88" s="11" t="n"/>
      <c r="G88" s="11" t="n"/>
      <c r="H88" s="4" t="n"/>
      <c r="I88" s="4" t="n"/>
      <c r="J88" t="str">
        <f>IF(COUNTA(B88:D88,F88)=0,"",IF(IFERROR(AND(B88&lt;&gt;"",C88&lt;&gt;"",D88&lt;&gt;"",ISNUMBER(F88),F88&gt;0,MOD(F88,1)=0),FALSE),"","НЕ ПРОВЕРЕНО: реквизиты или листаж"))</f>
      </c>
    </row>
    <row r="89">
      <c r="A89" s="10">
        <f>IF($B89="","",ROW()-10)</f>
        <v/>
      </c>
      <c r="B89" s="4" t="n"/>
      <c r="C89" s="4" t="n"/>
      <c r="D89" s="4" t="n"/>
      <c r="E89" s="4" t="n"/>
      <c r="F89" s="11" t="n"/>
      <c r="G89" s="11" t="n"/>
      <c r="H89" s="4" t="n"/>
      <c r="I89" s="4" t="n"/>
      <c r="J89" t="str">
        <f>IF(COUNTA(B89:D89,F89)=0,"",IF(IFERROR(AND(B89&lt;&gt;"",C89&lt;&gt;"",D89&lt;&gt;"",ISNUMBER(F89),F89&gt;0,MOD(F89,1)=0),FALSE),"","НЕ ПРОВЕРЕНО: реквизиты или листаж"))</f>
      </c>
    </row>
    <row r="90">
      <c r="A90" s="10">
        <f>IF($B90="","",ROW()-10)</f>
        <v/>
      </c>
      <c r="B90" s="4" t="n"/>
      <c r="C90" s="4" t="n"/>
      <c r="D90" s="4" t="n"/>
      <c r="E90" s="4" t="n"/>
      <c r="F90" s="11" t="n"/>
      <c r="G90" s="11" t="n"/>
      <c r="H90" s="4" t="n"/>
      <c r="I90" s="4" t="n"/>
      <c r="J90" t="str">
        <f>IF(COUNTA(B90:D90,F90)=0,"",IF(IFERROR(AND(B90&lt;&gt;"",C90&lt;&gt;"",D90&lt;&gt;"",ISNUMBER(F90),F90&gt;0,MOD(F90,1)=0),FALSE),"","НЕ ПРОВЕРЕНО: реквизиты или листаж"))</f>
      </c>
    </row>
    <row r="91">
      <c r="A91" s="10">
        <f>IF($B91="","",ROW()-10)</f>
        <v/>
      </c>
      <c r="B91" s="4" t="n"/>
      <c r="C91" s="4" t="n"/>
      <c r="D91" s="4" t="n"/>
      <c r="E91" s="4" t="n"/>
      <c r="F91" s="11" t="n"/>
      <c r="G91" s="11" t="n"/>
      <c r="H91" s="4" t="n"/>
      <c r="I91" s="4" t="n"/>
      <c r="J91" t="str">
        <f>IF(COUNTA(B91:D91,F91)=0,"",IF(IFERROR(AND(B91&lt;&gt;"",C91&lt;&gt;"",D91&lt;&gt;"",ISNUMBER(F91),F91&gt;0,MOD(F91,1)=0),FALSE),"","НЕ ПРОВЕРЕНО: реквизиты или листаж"))</f>
      </c>
    </row>
    <row r="92">
      <c r="A92" s="10">
        <f>IF($B92="","",ROW()-10)</f>
        <v/>
      </c>
      <c r="B92" s="4" t="n"/>
      <c r="C92" s="4" t="n"/>
      <c r="D92" s="4" t="n"/>
      <c r="E92" s="4" t="n"/>
      <c r="F92" s="11" t="n"/>
      <c r="G92" s="11" t="n"/>
      <c r="H92" s="4" t="n"/>
      <c r="I92" s="4" t="n"/>
      <c r="J92" t="str">
        <f>IF(COUNTA(B92:D92,F92)=0,"",IF(IFERROR(AND(B92&lt;&gt;"",C92&lt;&gt;"",D92&lt;&gt;"",ISNUMBER(F92),F92&gt;0,MOD(F92,1)=0),FALSE),"","НЕ ПРОВЕРЕНО: реквизиты или листаж"))</f>
      </c>
    </row>
    <row r="93">
      <c r="A93" s="10">
        <f>IF($B93="","",ROW()-10)</f>
        <v/>
      </c>
      <c r="B93" s="4" t="n"/>
      <c r="C93" s="4" t="n"/>
      <c r="D93" s="4" t="n"/>
      <c r="E93" s="4" t="n"/>
      <c r="F93" s="11" t="n"/>
      <c r="G93" s="11" t="n"/>
      <c r="H93" s="4" t="n"/>
      <c r="I93" s="4" t="n"/>
      <c r="J93" t="str">
        <f>IF(COUNTA(B93:D93,F93)=0,"",IF(IFERROR(AND(B93&lt;&gt;"",C93&lt;&gt;"",D93&lt;&gt;"",ISNUMBER(F93),F93&gt;0,MOD(F93,1)=0),FALSE),"","НЕ ПРОВЕРЕНО: реквизиты или листаж"))</f>
      </c>
    </row>
    <row r="94">
      <c r="A94" s="10">
        <f>IF($B94="","",ROW()-10)</f>
        <v/>
      </c>
      <c r="B94" s="4" t="n"/>
      <c r="C94" s="4" t="n"/>
      <c r="D94" s="4" t="n"/>
      <c r="E94" s="4" t="n"/>
      <c r="F94" s="11" t="n"/>
      <c r="G94" s="11" t="n"/>
      <c r="H94" s="4" t="n"/>
      <c r="I94" s="4" t="n"/>
      <c r="J94" t="str">
        <f>IF(COUNTA(B94:D94,F94)=0,"",IF(IFERROR(AND(B94&lt;&gt;"",C94&lt;&gt;"",D94&lt;&gt;"",ISNUMBER(F94),F94&gt;0,MOD(F94,1)=0),FALSE),"","НЕ ПРОВЕРЕНО: реквизиты или листаж"))</f>
      </c>
    </row>
    <row r="95">
      <c r="A95" s="10">
        <f>IF($B95="","",ROW()-10)</f>
        <v/>
      </c>
      <c r="B95" s="4" t="n"/>
      <c r="C95" s="4" t="n"/>
      <c r="D95" s="4" t="n"/>
      <c r="E95" s="4" t="n"/>
      <c r="F95" s="11" t="n"/>
      <c r="G95" s="11" t="n"/>
      <c r="H95" s="4" t="n"/>
      <c r="I95" s="4" t="n"/>
      <c r="J95" t="str">
        <f>IF(COUNTA(B95:D95,F95)=0,"",IF(IFERROR(AND(B95&lt;&gt;"",C95&lt;&gt;"",D95&lt;&gt;"",ISNUMBER(F95),F95&gt;0,MOD(F95,1)=0),FALSE),"","НЕ ПРОВЕРЕНО: реквизиты или листаж"))</f>
      </c>
    </row>
    <row r="96">
      <c r="A96" s="10">
        <f>IF($B96="","",ROW()-10)</f>
        <v/>
      </c>
      <c r="B96" s="4" t="n"/>
      <c r="C96" s="4" t="n"/>
      <c r="D96" s="4" t="n"/>
      <c r="E96" s="4" t="n"/>
      <c r="F96" s="11" t="n"/>
      <c r="G96" s="11" t="n"/>
      <c r="H96" s="4" t="n"/>
      <c r="I96" s="4" t="n"/>
      <c r="J96" t="str">
        <f>IF(COUNTA(B96:D96,F96)=0,"",IF(IFERROR(AND(B96&lt;&gt;"",C96&lt;&gt;"",D96&lt;&gt;"",ISNUMBER(F96),F96&gt;0,MOD(F96,1)=0),FALSE),"","НЕ ПРОВЕРЕНО: реквизиты или листаж"))</f>
      </c>
    </row>
    <row r="97">
      <c r="A97" s="10">
        <f>IF($B97="","",ROW()-10)</f>
        <v/>
      </c>
      <c r="B97" s="4" t="n"/>
      <c r="C97" s="4" t="n"/>
      <c r="D97" s="4" t="n"/>
      <c r="E97" s="4" t="n"/>
      <c r="F97" s="11" t="n"/>
      <c r="G97" s="11" t="n"/>
      <c r="H97" s="4" t="n"/>
      <c r="I97" s="4" t="n"/>
      <c r="J97" t="str">
        <f>IF(COUNTA(B97:D97,F97)=0,"",IF(IFERROR(AND(B97&lt;&gt;"",C97&lt;&gt;"",D97&lt;&gt;"",ISNUMBER(F97),F97&gt;0,MOD(F97,1)=0),FALSE),"","НЕ ПРОВЕРЕНО: реквизиты или листаж"))</f>
      </c>
    </row>
    <row r="98">
      <c r="A98" s="10">
        <f>IF($B98="","",ROW()-10)</f>
        <v/>
      </c>
      <c r="B98" s="4" t="n"/>
      <c r="C98" s="4" t="n"/>
      <c r="D98" s="4" t="n"/>
      <c r="E98" s="4" t="n"/>
      <c r="F98" s="11" t="n"/>
      <c r="G98" s="11" t="n"/>
      <c r="H98" s="4" t="n"/>
      <c r="I98" s="4" t="n"/>
      <c r="J98" t="str">
        <f>IF(COUNTA(B98:D98,F98)=0,"",IF(IFERROR(AND(B98&lt;&gt;"",C98&lt;&gt;"",D98&lt;&gt;"",ISNUMBER(F98),F98&gt;0,MOD(F98,1)=0),FALSE),"","НЕ ПРОВЕРЕНО: реквизиты или листаж"))</f>
      </c>
    </row>
    <row r="99">
      <c r="A99" s="10">
        <f>IF($B99="","",ROW()-10)</f>
        <v/>
      </c>
      <c r="B99" s="4" t="n"/>
      <c r="C99" s="4" t="n"/>
      <c r="D99" s="4" t="n"/>
      <c r="E99" s="4" t="n"/>
      <c r="F99" s="11" t="n"/>
      <c r="G99" s="11" t="n"/>
      <c r="H99" s="4" t="n"/>
      <c r="I99" s="4" t="n"/>
      <c r="J99" t="str">
        <f>IF(COUNTA(B99:D99,F99)=0,"",IF(IFERROR(AND(B99&lt;&gt;"",C99&lt;&gt;"",D99&lt;&gt;"",ISNUMBER(F99),F99&gt;0,MOD(F99,1)=0),FALSE),"","НЕ ПРОВЕРЕНО: реквизиты или листаж"))</f>
      </c>
    </row>
    <row r="100">
      <c r="A100" s="10">
        <f>IF($B100="","",ROW()-10)</f>
        <v/>
      </c>
      <c r="B100" s="4" t="n"/>
      <c r="C100" s="4" t="n"/>
      <c r="D100" s="4" t="n"/>
      <c r="E100" s="4" t="n"/>
      <c r="F100" s="11" t="n"/>
      <c r="G100" s="11" t="n"/>
      <c r="H100" s="4" t="n"/>
      <c r="I100" s="4" t="n"/>
      <c r="J100" t="str">
        <f>IF(COUNTA(B100:D100,F100)=0,"",IF(IFERROR(AND(B100&lt;&gt;"",C100&lt;&gt;"",D100&lt;&gt;"",ISNUMBER(F100),F100&gt;0,MOD(F100,1)=0),FALSE),"","НЕ ПРОВЕРЕНО: реквизиты или листаж"))</f>
      </c>
    </row>
    <row r="101">
      <c r="A101" s="10">
        <f>IF($B101="","",ROW()-10)</f>
        <v/>
      </c>
      <c r="B101" s="4" t="n"/>
      <c r="C101" s="4" t="n"/>
      <c r="D101" s="4" t="n"/>
      <c r="E101" s="4" t="n"/>
      <c r="F101" s="11" t="n"/>
      <c r="G101" s="11" t="n"/>
      <c r="H101" s="4" t="n"/>
      <c r="I101" s="4" t="n"/>
      <c r="J101" t="str">
        <f>IF(COUNTA(B101:D101,F101)=0,"",IF(IFERROR(AND(B101&lt;&gt;"",C101&lt;&gt;"",D101&lt;&gt;"",ISNUMBER(F101),F101&gt;0,MOD(F101,1)=0),FALSE),"","НЕ ПРОВЕРЕНО: реквизиты или листаж"))</f>
      </c>
    </row>
    <row r="102">
      <c r="A102" s="10">
        <f>IF($B102="","",ROW()-10)</f>
        <v/>
      </c>
      <c r="B102" s="4" t="n"/>
      <c r="C102" s="4" t="n"/>
      <c r="D102" s="4" t="n"/>
      <c r="E102" s="4" t="n"/>
      <c r="F102" s="11" t="n"/>
      <c r="G102" s="11" t="n"/>
      <c r="H102" s="4" t="n"/>
      <c r="I102" s="4" t="n"/>
      <c r="J102" t="str">
        <f>IF(COUNTA(B102:D102,F102)=0,"",IF(IFERROR(AND(B102&lt;&gt;"",C102&lt;&gt;"",D102&lt;&gt;"",ISNUMBER(F102),F102&gt;0,MOD(F102,1)=0),FALSE),"","НЕ ПРОВЕРЕНО: реквизиты или листаж"))</f>
      </c>
    </row>
    <row r="103">
      <c r="A103" s="10">
        <f>IF($B103="","",ROW()-10)</f>
        <v/>
      </c>
      <c r="B103" s="4" t="n"/>
      <c r="C103" s="4" t="n"/>
      <c r="D103" s="4" t="n"/>
      <c r="E103" s="4" t="n"/>
      <c r="F103" s="11" t="n"/>
      <c r="G103" s="11" t="n"/>
      <c r="H103" s="4" t="n"/>
      <c r="I103" s="4" t="n"/>
      <c r="J103" t="str">
        <f>IF(COUNTA(B103:D103,F103)=0,"",IF(IFERROR(AND(B103&lt;&gt;"",C103&lt;&gt;"",D103&lt;&gt;"",ISNUMBER(F103),F103&gt;0,MOD(F103,1)=0),FALSE),"","НЕ ПРОВЕРЕНО: реквизиты или листаж"))</f>
      </c>
    </row>
    <row r="104">
      <c r="A104" s="10">
        <f>IF($B104="","",ROW()-10)</f>
        <v/>
      </c>
      <c r="B104" s="4" t="n"/>
      <c r="C104" s="4" t="n"/>
      <c r="D104" s="4" t="n"/>
      <c r="E104" s="4" t="n"/>
      <c r="F104" s="11" t="n"/>
      <c r="G104" s="11" t="n"/>
      <c r="H104" s="4" t="n"/>
      <c r="I104" s="4" t="n"/>
      <c r="J104" t="str">
        <f>IF(COUNTA(B104:D104,F104)=0,"",IF(IFERROR(AND(B104&lt;&gt;"",C104&lt;&gt;"",D104&lt;&gt;"",ISNUMBER(F104),F104&gt;0,MOD(F104,1)=0),FALSE),"","НЕ ПРОВЕРЕНО: реквизиты или листаж"))</f>
      </c>
    </row>
    <row r="105">
      <c r="A105" s="10">
        <f>IF($B105="","",ROW()-10)</f>
        <v/>
      </c>
      <c r="B105" s="4" t="n"/>
      <c r="C105" s="4" t="n"/>
      <c r="D105" s="4" t="n"/>
      <c r="E105" s="4" t="n"/>
      <c r="F105" s="11" t="n"/>
      <c r="G105" s="11" t="n"/>
      <c r="H105" s="4" t="n"/>
      <c r="I105" s="4" t="n"/>
      <c r="J105" t="str">
        <f>IF(COUNTA(B105:D105,F105)=0,"",IF(IFERROR(AND(B105&lt;&gt;"",C105&lt;&gt;"",D105&lt;&gt;"",ISNUMBER(F105),F105&gt;0,MOD(F105,1)=0),FALSE),"","НЕ ПРОВЕРЕНО: реквизиты или листаж"))</f>
      </c>
    </row>
    <row r="106">
      <c r="A106" s="10">
        <f>IF($B106="","",ROW()-10)</f>
        <v/>
      </c>
      <c r="B106" s="4" t="n"/>
      <c r="C106" s="4" t="n"/>
      <c r="D106" s="4" t="n"/>
      <c r="E106" s="4" t="n"/>
      <c r="F106" s="11" t="n"/>
      <c r="G106" s="11" t="n"/>
      <c r="H106" s="4" t="n"/>
      <c r="I106" s="4" t="n"/>
      <c r="J106" t="str">
        <f>IF(COUNTA(B106:D106,F106)=0,"",IF(IFERROR(AND(B106&lt;&gt;"",C106&lt;&gt;"",D106&lt;&gt;"",ISNUMBER(F106),F106&gt;0,MOD(F106,1)=0),FALSE),"","НЕ ПРОВЕРЕНО: реквизиты или листаж"))</f>
      </c>
    </row>
    <row r="107">
      <c r="A107" s="10">
        <f>IF($B107="","",ROW()-10)</f>
        <v/>
      </c>
      <c r="B107" s="4" t="n"/>
      <c r="C107" s="4" t="n"/>
      <c r="D107" s="4" t="n"/>
      <c r="E107" s="4" t="n"/>
      <c r="F107" s="11" t="n"/>
      <c r="G107" s="11" t="n"/>
      <c r="H107" s="4" t="n"/>
      <c r="I107" s="4" t="n"/>
      <c r="J107" t="str">
        <f>IF(COUNTA(B107:D107,F107)=0,"",IF(IFERROR(AND(B107&lt;&gt;"",C107&lt;&gt;"",D107&lt;&gt;"",ISNUMBER(F107),F107&gt;0,MOD(F107,1)=0),FALSE),"","НЕ ПРОВЕРЕНО: реквизиты или листаж"))</f>
      </c>
    </row>
    <row r="108">
      <c r="A108" s="10">
        <f>IF($B108="","",ROW()-10)</f>
        <v/>
      </c>
      <c r="B108" s="4" t="n"/>
      <c r="C108" s="4" t="n"/>
      <c r="D108" s="4" t="n"/>
      <c r="E108" s="4" t="n"/>
      <c r="F108" s="11" t="n"/>
      <c r="G108" s="11" t="n"/>
      <c r="H108" s="4" t="n"/>
      <c r="I108" s="4" t="n"/>
      <c r="J108" t="str">
        <f>IF(COUNTA(B108:D108,F108)=0,"",IF(IFERROR(AND(B108&lt;&gt;"",C108&lt;&gt;"",D108&lt;&gt;"",ISNUMBER(F108),F108&gt;0,MOD(F108,1)=0),FALSE),"","НЕ ПРОВЕРЕНО: реквизиты или листаж"))</f>
      </c>
    </row>
    <row r="109">
      <c r="A109" s="10">
        <f>IF($B109="","",ROW()-10)</f>
        <v/>
      </c>
      <c r="B109" s="4" t="n"/>
      <c r="C109" s="4" t="n"/>
      <c r="D109" s="4" t="n"/>
      <c r="E109" s="4" t="n"/>
      <c r="F109" s="11" t="n"/>
      <c r="G109" s="11" t="n"/>
      <c r="H109" s="4" t="n"/>
      <c r="I109" s="4" t="n"/>
      <c r="J109" t="str">
        <f>IF(COUNTA(B109:D109,F109)=0,"",IF(IFERROR(AND(B109&lt;&gt;"",C109&lt;&gt;"",D109&lt;&gt;"",ISNUMBER(F109),F109&gt;0,MOD(F109,1)=0),FALSE),"","НЕ ПРОВЕРЕНО: реквизиты или листаж"))</f>
      </c>
    </row>
    <row r="110">
      <c r="A110" s="10">
        <f>IF($B110="","",ROW()-10)</f>
        <v/>
      </c>
      <c r="B110" s="4" t="n"/>
      <c r="C110" s="4" t="n"/>
      <c r="D110" s="4" t="n"/>
      <c r="E110" s="4" t="n"/>
      <c r="F110" s="11" t="n"/>
      <c r="G110" s="11" t="n"/>
      <c r="H110" s="4" t="n"/>
      <c r="I110" s="4" t="n"/>
      <c r="J110" t="str">
        <f>IF(COUNTA(B110:D110,F110)=0,"",IF(IFERROR(AND(B110&lt;&gt;"",C110&lt;&gt;"",D110&lt;&gt;"",ISNUMBER(F110),F110&gt;0,MOD(F110,1)=0),FALSE),"","НЕ ПРОВЕРЕНО: реквизиты или листаж"))</f>
      </c>
    </row>
    <row r="111">
      <c r="A111" s="10">
        <f>IF($B111="","",ROW()-10)</f>
        <v/>
      </c>
      <c r="B111" s="4" t="n"/>
      <c r="C111" s="4" t="n"/>
      <c r="D111" s="4" t="n"/>
      <c r="E111" s="4" t="n"/>
      <c r="F111" s="11" t="n"/>
      <c r="G111" s="11" t="n"/>
      <c r="H111" s="4" t="n"/>
      <c r="I111" s="4" t="n"/>
      <c r="J111" t="str">
        <f>IF(COUNTA(B111:D111,F111)=0,"",IF(IFERROR(AND(B111&lt;&gt;"",C111&lt;&gt;"",D111&lt;&gt;"",ISNUMBER(F111),F111&gt;0,MOD(F111,1)=0),FALSE),"","НЕ ПРОВЕРЕНО: реквизиты или листаж"))</f>
      </c>
    </row>
    <row r="112">
      <c r="A112" s="10">
        <f>IF($B112="","",ROW()-10)</f>
        <v/>
      </c>
      <c r="B112" s="4" t="n"/>
      <c r="C112" s="4" t="n"/>
      <c r="D112" s="4" t="n"/>
      <c r="E112" s="4" t="n"/>
      <c r="F112" s="11" t="n"/>
      <c r="G112" s="11" t="n"/>
      <c r="H112" s="4" t="n"/>
      <c r="I112" s="4" t="n"/>
      <c r="J112" t="str">
        <f>IF(COUNTA(B112:D112,F112)=0,"",IF(IFERROR(AND(B112&lt;&gt;"",C112&lt;&gt;"",D112&lt;&gt;"",ISNUMBER(F112),F112&gt;0,MOD(F112,1)=0),FALSE),"","НЕ ПРОВЕРЕНО: реквизиты или листаж"))</f>
      </c>
    </row>
    <row r="113">
      <c r="A113" s="10">
        <f>IF($B113="","",ROW()-10)</f>
        <v/>
      </c>
      <c r="B113" s="4" t="n"/>
      <c r="C113" s="4" t="n"/>
      <c r="D113" s="4" t="n"/>
      <c r="E113" s="4" t="n"/>
      <c r="F113" s="11" t="n"/>
      <c r="G113" s="11" t="n"/>
      <c r="H113" s="4" t="n"/>
      <c r="I113" s="4" t="n"/>
      <c r="J113" t="str">
        <f>IF(COUNTA(B113:D113,F113)=0,"",IF(IFERROR(AND(B113&lt;&gt;"",C113&lt;&gt;"",D113&lt;&gt;"",ISNUMBER(F113),F113&gt;0,MOD(F113,1)=0),FALSE),"","НЕ ПРОВЕРЕНО: реквизиты или листаж"))</f>
      </c>
    </row>
    <row r="114">
      <c r="A114" s="10">
        <f>IF($B114="","",ROW()-10)</f>
        <v/>
      </c>
      <c r="B114" s="4" t="n"/>
      <c r="C114" s="4" t="n"/>
      <c r="D114" s="4" t="n"/>
      <c r="E114" s="4" t="n"/>
      <c r="F114" s="11" t="n"/>
      <c r="G114" s="11" t="n"/>
      <c r="H114" s="4" t="n"/>
      <c r="I114" s="4" t="n"/>
      <c r="J114" t="str">
        <f>IF(COUNTA(B114:D114,F114)=0,"",IF(IFERROR(AND(B114&lt;&gt;"",C114&lt;&gt;"",D114&lt;&gt;"",ISNUMBER(F114),F114&gt;0,MOD(F114,1)=0),FALSE),"","НЕ ПРОВЕРЕНО: реквизиты или листаж"))</f>
      </c>
    </row>
    <row r="115">
      <c r="A115" s="10">
        <f>IF($B115="","",ROW()-10)</f>
        <v/>
      </c>
      <c r="B115" s="4" t="n"/>
      <c r="C115" s="4" t="n"/>
      <c r="D115" s="4" t="n"/>
      <c r="E115" s="4" t="n"/>
      <c r="F115" s="11" t="n"/>
      <c r="G115" s="11" t="n"/>
      <c r="H115" s="4" t="n"/>
      <c r="I115" s="4" t="n"/>
      <c r="J115" t="str">
        <f>IF(COUNTA(B115:D115,F115)=0,"",IF(IFERROR(AND(B115&lt;&gt;"",C115&lt;&gt;"",D115&lt;&gt;"",ISNUMBER(F115),F115&gt;0,MOD(F115,1)=0),FALSE),"","НЕ ПРОВЕРЕНО: реквизиты или листаж"))</f>
      </c>
    </row>
    <row r="116">
      <c r="A116" s="10">
        <f>IF($B116="","",ROW()-10)</f>
        <v/>
      </c>
      <c r="B116" s="4" t="n"/>
      <c r="C116" s="4" t="n"/>
      <c r="D116" s="4" t="n"/>
      <c r="E116" s="4" t="n"/>
      <c r="F116" s="11" t="n"/>
      <c r="G116" s="11" t="n"/>
      <c r="H116" s="4" t="n"/>
      <c r="I116" s="4" t="n"/>
      <c r="J116" t="str">
        <f>IF(COUNTA(B116:D116,F116)=0,"",IF(IFERROR(AND(B116&lt;&gt;"",C116&lt;&gt;"",D116&lt;&gt;"",ISNUMBER(F116),F116&gt;0,MOD(F116,1)=0),FALSE),"","НЕ ПРОВЕРЕНО: реквизиты или листаж"))</f>
      </c>
    </row>
    <row r="117">
      <c r="A117" s="10">
        <f>IF($B117="","",ROW()-10)</f>
        <v/>
      </c>
      <c r="B117" s="4" t="n"/>
      <c r="C117" s="4" t="n"/>
      <c r="D117" s="4" t="n"/>
      <c r="E117" s="4" t="n"/>
      <c r="F117" s="11" t="n"/>
      <c r="G117" s="11" t="n"/>
      <c r="H117" s="4" t="n"/>
      <c r="I117" s="4" t="n"/>
      <c r="J117" t="str">
        <f>IF(COUNTA(B117:D117,F117)=0,"",IF(IFERROR(AND(B117&lt;&gt;"",C117&lt;&gt;"",D117&lt;&gt;"",ISNUMBER(F117),F117&gt;0,MOD(F117,1)=0),FALSE),"","НЕ ПРОВЕРЕНО: реквизиты или листаж"))</f>
      </c>
    </row>
    <row r="118">
      <c r="A118" s="10">
        <f>IF($B118="","",ROW()-10)</f>
        <v/>
      </c>
      <c r="B118" s="4" t="n"/>
      <c r="C118" s="4" t="n"/>
      <c r="D118" s="4" t="n"/>
      <c r="E118" s="4" t="n"/>
      <c r="F118" s="11" t="n"/>
      <c r="G118" s="11" t="n"/>
      <c r="H118" s="4" t="n"/>
      <c r="I118" s="4" t="n"/>
      <c r="J118" t="str">
        <f>IF(COUNTA(B118:D118,F118)=0,"",IF(IFERROR(AND(B118&lt;&gt;"",C118&lt;&gt;"",D118&lt;&gt;"",ISNUMBER(F118),F118&gt;0,MOD(F118,1)=0),FALSE),"","НЕ ПРОВЕРЕНО: реквизиты или листаж"))</f>
      </c>
    </row>
    <row r="119">
      <c r="A119" s="10">
        <f>IF($B119="","",ROW()-10)</f>
        <v/>
      </c>
      <c r="B119" s="4" t="n"/>
      <c r="C119" s="4" t="n"/>
      <c r="D119" s="4" t="n"/>
      <c r="E119" s="4" t="n"/>
      <c r="F119" s="11" t="n"/>
      <c r="G119" s="11" t="n"/>
      <c r="H119" s="4" t="n"/>
      <c r="I119" s="4" t="n"/>
      <c r="J119" t="str">
        <f>IF(COUNTA(B119:D119,F119)=0,"",IF(IFERROR(AND(B119&lt;&gt;"",C119&lt;&gt;"",D119&lt;&gt;"",ISNUMBER(F119),F119&gt;0,MOD(F119,1)=0),FALSE),"","НЕ ПРОВЕРЕНО: реквизиты или листаж"))</f>
      </c>
    </row>
    <row r="120">
      <c r="A120" s="10">
        <f>IF($B120="","",ROW()-10)</f>
        <v/>
      </c>
      <c r="B120" s="4" t="n"/>
      <c r="C120" s="4" t="n"/>
      <c r="D120" s="4" t="n"/>
      <c r="E120" s="4" t="n"/>
      <c r="F120" s="11" t="n"/>
      <c r="G120" s="11" t="n"/>
      <c r="H120" s="4" t="n"/>
      <c r="I120" s="4" t="n"/>
      <c r="J120" t="str">
        <f>IF(COUNTA(B120:D120,F120)=0,"",IF(IFERROR(AND(B120&lt;&gt;"",C120&lt;&gt;"",D120&lt;&gt;"",ISNUMBER(F120),F120&gt;0,MOD(F120,1)=0),FALSE),"","НЕ ПРОВЕРЕНО: реквизиты или листаж"))</f>
      </c>
    </row>
    <row r="121">
      <c r="A121" s="10">
        <f>IF($B121="","",ROW()-10)</f>
        <v/>
      </c>
      <c r="B121" s="4" t="n"/>
      <c r="C121" s="4" t="n"/>
      <c r="D121" s="4" t="n"/>
      <c r="E121" s="4" t="n"/>
      <c r="F121" s="11" t="n"/>
      <c r="G121" s="11" t="n"/>
      <c r="H121" s="4" t="n"/>
      <c r="I121" s="4" t="n"/>
      <c r="J121" t="str">
        <f>IF(COUNTA(B121:D121,F121)=0,"",IF(IFERROR(AND(B121&lt;&gt;"",C121&lt;&gt;"",D121&lt;&gt;"",ISNUMBER(F121),F121&gt;0,MOD(F121,1)=0),FALSE),"","НЕ ПРОВЕРЕНО: реквизиты или листаж"))</f>
      </c>
    </row>
    <row r="122">
      <c r="A122" s="10">
        <f>IF($B122="","",ROW()-10)</f>
        <v/>
      </c>
      <c r="B122" s="4" t="n"/>
      <c r="C122" s="4" t="n"/>
      <c r="D122" s="4" t="n"/>
      <c r="E122" s="4" t="n"/>
      <c r="F122" s="11" t="n"/>
      <c r="G122" s="11" t="n"/>
      <c r="H122" s="4" t="n"/>
      <c r="I122" s="4" t="n"/>
      <c r="J122" t="str">
        <f>IF(COUNTA(B122:D122,F122)=0,"",IF(IFERROR(AND(B122&lt;&gt;"",C122&lt;&gt;"",D122&lt;&gt;"",ISNUMBER(F122),F122&gt;0,MOD(F122,1)=0),FALSE),"","НЕ ПРОВЕРЕНО: реквизиты или листаж"))</f>
      </c>
    </row>
    <row r="123">
      <c r="A123" s="10">
        <f>IF($B123="","",ROW()-10)</f>
        <v/>
      </c>
      <c r="B123" s="4" t="n"/>
      <c r="C123" s="4" t="n"/>
      <c r="D123" s="4" t="n"/>
      <c r="E123" s="4" t="n"/>
      <c r="F123" s="11" t="n"/>
      <c r="G123" s="11" t="n"/>
      <c r="H123" s="4" t="n"/>
      <c r="I123" s="4" t="n"/>
      <c r="J123" t="str">
        <f>IF(COUNTA(B123:D123,F123)=0,"",IF(IFERROR(AND(B123&lt;&gt;"",C123&lt;&gt;"",D123&lt;&gt;"",ISNUMBER(F123),F123&gt;0,MOD(F123,1)=0),FALSE),"","НЕ ПРОВЕРЕНО: реквизиты или листаж"))</f>
      </c>
    </row>
    <row r="124">
      <c r="A124" s="10">
        <f>IF($B124="","",ROW()-10)</f>
        <v/>
      </c>
      <c r="B124" s="4" t="n"/>
      <c r="C124" s="4" t="n"/>
      <c r="D124" s="4" t="n"/>
      <c r="E124" s="4" t="n"/>
      <c r="F124" s="11" t="n"/>
      <c r="G124" s="11" t="n"/>
      <c r="H124" s="4" t="n"/>
      <c r="I124" s="4" t="n"/>
      <c r="J124" t="str">
        <f>IF(COUNTA(B124:D124,F124)=0,"",IF(IFERROR(AND(B124&lt;&gt;"",C124&lt;&gt;"",D124&lt;&gt;"",ISNUMBER(F124),F124&gt;0,MOD(F124,1)=0),FALSE),"","НЕ ПРОВЕРЕНО: реквизиты или листаж"))</f>
      </c>
    </row>
    <row r="125">
      <c r="A125" s="10">
        <f>IF($B125="","",ROW()-10)</f>
        <v/>
      </c>
      <c r="B125" s="4" t="n"/>
      <c r="C125" s="4" t="n"/>
      <c r="D125" s="4" t="n"/>
      <c r="E125" s="4" t="n"/>
      <c r="F125" s="11" t="n"/>
      <c r="G125" s="11" t="n"/>
      <c r="H125" s="4" t="n"/>
      <c r="I125" s="4" t="n"/>
      <c r="J125" t="str">
        <f>IF(COUNTA(B125:D125,F125)=0,"",IF(IFERROR(AND(B125&lt;&gt;"",C125&lt;&gt;"",D125&lt;&gt;"",ISNUMBER(F125),F125&gt;0,MOD(F125,1)=0),FALSE),"","НЕ ПРОВЕРЕНО: реквизиты или листаж"))</f>
      </c>
    </row>
    <row r="126">
      <c r="A126" s="10">
        <f>IF($B126="","",ROW()-10)</f>
        <v/>
      </c>
      <c r="B126" s="4" t="n"/>
      <c r="C126" s="4" t="n"/>
      <c r="D126" s="4" t="n"/>
      <c r="E126" s="4" t="n"/>
      <c r="F126" s="11" t="n"/>
      <c r="G126" s="11" t="n"/>
      <c r="H126" s="4" t="n"/>
      <c r="I126" s="4" t="n"/>
      <c r="J126" t="str">
        <f>IF(COUNTA(B126:D126,F126)=0,"",IF(IFERROR(AND(B126&lt;&gt;"",C126&lt;&gt;"",D126&lt;&gt;"",ISNUMBER(F126),F126&gt;0,MOD(F126,1)=0),FALSE),"","НЕ ПРОВЕРЕНО: реквизиты или листаж"))</f>
      </c>
    </row>
    <row r="127">
      <c r="A127" s="10">
        <f>IF($B127="","",ROW()-10)</f>
        <v/>
      </c>
      <c r="B127" s="4" t="n"/>
      <c r="C127" s="4" t="n"/>
      <c r="D127" s="4" t="n"/>
      <c r="E127" s="4" t="n"/>
      <c r="F127" s="11" t="n"/>
      <c r="G127" s="11" t="n"/>
      <c r="H127" s="4" t="n"/>
      <c r="I127" s="4" t="n"/>
      <c r="J127" t="str">
        <f>IF(COUNTA(B127:D127,F127)=0,"",IF(IFERROR(AND(B127&lt;&gt;"",C127&lt;&gt;"",D127&lt;&gt;"",ISNUMBER(F127),F127&gt;0,MOD(F127,1)=0),FALSE),"","НЕ ПРОВЕРЕНО: реквизиты или листаж"))</f>
      </c>
    </row>
    <row r="128">
      <c r="A128" s="10">
        <f>IF($B128="","",ROW()-10)</f>
        <v/>
      </c>
      <c r="B128" s="4" t="n"/>
      <c r="C128" s="4" t="n"/>
      <c r="D128" s="4" t="n"/>
      <c r="E128" s="4" t="n"/>
      <c r="F128" s="11" t="n"/>
      <c r="G128" s="11" t="n"/>
      <c r="H128" s="4" t="n"/>
      <c r="I128" s="4" t="n"/>
      <c r="J128" t="str">
        <f>IF(COUNTA(B128:D128,F128)=0,"",IF(IFERROR(AND(B128&lt;&gt;"",C128&lt;&gt;"",D128&lt;&gt;"",ISNUMBER(F128),F128&gt;0,MOD(F128,1)=0),FALSE),"","НЕ ПРОВЕРЕНО: реквизиты или листаж"))</f>
      </c>
    </row>
    <row r="129">
      <c r="A129" s="10">
        <f>IF($B129="","",ROW()-10)</f>
        <v/>
      </c>
      <c r="B129" s="4" t="n"/>
      <c r="C129" s="4" t="n"/>
      <c r="D129" s="4" t="n"/>
      <c r="E129" s="4" t="n"/>
      <c r="F129" s="11" t="n"/>
      <c r="G129" s="11" t="n"/>
      <c r="H129" s="4" t="n"/>
      <c r="I129" s="4" t="n"/>
      <c r="J129" t="str">
        <f>IF(COUNTA(B129:D129,F129)=0,"",IF(IFERROR(AND(B129&lt;&gt;"",C129&lt;&gt;"",D129&lt;&gt;"",ISNUMBER(F129),F129&gt;0,MOD(F129,1)=0),FALSE),"","НЕ ПРОВЕРЕНО: реквизиты или листаж"))</f>
      </c>
    </row>
    <row r="130">
      <c r="A130" s="10">
        <f>IF($B130="","",ROW()-10)</f>
        <v/>
      </c>
      <c r="B130" s="4" t="n"/>
      <c r="C130" s="4" t="n"/>
      <c r="D130" s="4" t="n"/>
      <c r="E130" s="4" t="n"/>
      <c r="F130" s="11" t="n"/>
      <c r="G130" s="11" t="n"/>
      <c r="H130" s="4" t="n"/>
      <c r="I130" s="4" t="n"/>
      <c r="J130" t="str">
        <f>IF(COUNTA(B130:D130,F130)=0,"",IF(IFERROR(AND(B130&lt;&gt;"",C130&lt;&gt;"",D130&lt;&gt;"",ISNUMBER(F130),F130&gt;0,MOD(F130,1)=0),FALSE),"","НЕ ПРОВЕРЕНО: реквизиты или листаж"))</f>
      </c>
    </row>
    <row r="132" ht="28" customHeight="1">
      <c r="A132" s="12" t="inlineStr">
        <is>
          <t>Итого позиций</t>
        </is>
      </c>
      <c r="B132" s="8" t="n"/>
      <c r="C132" s="12">
        <f>SUMPRODUCT(('Опись'!$B$11:$B$130&lt;&gt;"")*1)</f>
        <v/>
      </c>
      <c r="D132" s="12" t="inlineStr">
        <is>
          <t>Итого листов</t>
        </is>
      </c>
      <c r="E132" s="12" t="n">
        <f>IF(C133&gt;0,"ПРОВЕРЬТЕ СТРОКИ",SUM(F11:F130))</f>
        <v>0</v>
      </c>
      <c r="F132" s="12" t="inlineStr">
        <is>
          <t>Экз.</t>
        </is>
      </c>
      <c r="G132" s="11" t="n"/>
      <c r="H132" s="2" t="inlineStr">
        <is>
          <t>Эти три числа переносятся в сопроводительное письмо и в акт приёма-передачи.</t>
        </is>
      </c>
    </row>
    <row r="133" ht="46" customHeight="1">
      <c r="A133" s="12" t="inlineStr">
        <is>
          <t>Неполных / неверных строк</t>
        </is>
      </c>
      <c r="B133" s="8" t="n"/>
      <c r="C133" s="13" t="n">
        <f>COUNTIF(J11:J130,"НЕ ПРОВЕРЕНО*")</f>
        <v>0</v>
      </c>
      <c r="D133" s="20" t="inlineStr">
        <is>
          <t>Позиций без привязки к акту</t>
        </is>
      </c>
      <c r="E133" s="13">
        <f>SUMPRODUCT(('Опись'!$B$11:$B$130&lt;&gt;"")*('Опись'!$E$11:$E$130=""))</f>
        <v/>
      </c>
      <c r="F133" s="2" t="inlineStr">
        <is>
          <t>Проверьте позиции без листажа. Связь с актом укажите для документов, подтверждающих выполненные работы; для титульных листов и описи поясните назначение в примечании.</t>
        </is>
      </c>
    </row>
    <row r="135" ht="38" customHeight="1">
      <c r="A135" s="12" t="inlineStr">
        <is>
          <t>Передал</t>
        </is>
      </c>
      <c r="B135" s="21" t="inlineStr">
        <is>
          <t>должность, фамилия и инициалы, подпись, дата</t>
        </is>
      </c>
      <c r="F135" s="12" t="inlineStr">
        <is>
          <t>Принял</t>
        </is>
      </c>
      <c r="G135" s="21" t="inlineStr">
        <is>
          <t>должность, фамилия и инициалы, подпись, дата, основание полномочий</t>
        </is>
      </c>
    </row>
    <row r="136" ht="40" customHeight="1">
      <c r="A136" s="2" t="inlineStr">
        <is>
          <t>Подпись принимающего подтверждает получение перечисленных документов. Факт передачи и рассмотрение документации по существу фиксируйте раздельно. При отказе подписать опись сохраните документы, подтверждающие состав, дату и адресата передачи.</t>
        </is>
      </c>
    </row>
  </sheetData>
  <mergeCells count="14">
    <mergeCell ref="B5:D5"/>
    <mergeCell ref="A2:I2"/>
    <mergeCell ref="E4:I4"/>
    <mergeCell ref="B135:E135"/>
    <mergeCell ref="A133:B133"/>
    <mergeCell ref="H132:I132"/>
    <mergeCell ref="C6:I6"/>
    <mergeCell ref="A8:I8"/>
    <mergeCell ref="A132:B132"/>
    <mergeCell ref="G135:I135"/>
    <mergeCell ref="F5:I5"/>
    <mergeCell ref="F133:I133"/>
    <mergeCell ref="A136:I136"/>
    <mergeCell ref="A6:B6"/>
  </mergeCells>
  <conditionalFormatting sqref="A11:I130">
    <cfRule type="expression" priority="1" dxfId="0" stopIfTrue="1">
      <formula>AND($B11&lt;&gt;"",$F11="")</formula>
    </cfRule>
    <cfRule type="expression" priority="2" dxfId="1" stopIfTrue="1">
      <formula>AND($B11&lt;&gt;"",$E11="")</formula>
    </cfRule>
  </conditionalFormatting>
  <dataValidations count="2">
    <dataValidation sqref="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showDropDown="0" showInputMessage="0" showErrorMessage="0" allowBlank="1" error="Выберите вид из справочника листа «Виды»" type="list">
      <formula1>'Виды'!$A$3:$A$13</formula1>
    </dataValidation>
    <dataValidation sqref="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showDropDown="0" showInputMessage="0" showErrorMessage="0" allowBlank="1" error="Выберите: оригинал / копия / копия заверенная" type="list">
      <formula1>"оригинал,копия,копия заверенная"</formula1>
    </dataValidation>
  </dataValidations>
  <pageMargins left="0.25" right="0.25" top="0.3" bottom="0.3" header="0.15" footer="0.15"/>
  <pageSetup paperSize="9" orientation="landscape" fitToWidth="1" fitToHeight="3" useFirstPageNumber="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autoPageBreaks="0"/>
  </sheetPr>
  <dimension ref="A1:B18"/>
  <sheetViews>
    <sheetView workbookViewId="0">
      <selection activeCell="A1" sqref="A1"/>
    </sheetView>
  </sheetViews>
  <sheetFormatPr baseColWidth="8" defaultRowHeight="15"/>
  <cols>
    <col width="4" customWidth="1" min="1" max="1"/>
    <col width="120" customWidth="1" min="2" max="2"/>
  </cols>
  <sheetData>
    <row r="1">
      <c r="A1" s="1" t="inlineStr">
        <is>
          <t>Как заполнять опись</t>
        </is>
      </c>
    </row>
    <row r="3">
      <c r="A3" s="3" t="inlineStr">
        <is>
          <t>Порядок работы</t>
        </is>
      </c>
    </row>
    <row r="4" ht="45" customHeight="1">
      <c r="A4" s="22" t="inlineStr">
        <is>
          <t>1</t>
        </is>
      </c>
      <c r="B4" s="15" t="inlineStr">
        <is>
          <t>Укажите номер и дату описи, объект, договор, участок или этап. Наименование участка должно соответствовать договору и актам выполненных работ.</t>
        </is>
      </c>
    </row>
    <row r="5" ht="45" customHeight="1">
      <c r="A5" s="22" t="inlineStr">
        <is>
          <t>2</t>
        </is>
      </c>
      <c r="B5" s="15" t="inlineStr">
        <is>
          <t>Вносите документы последовательно, без пропуска строк. Каждой позиции соответствует один документ с конкретным наименованием и реквизитами.</t>
        </is>
      </c>
    </row>
    <row r="6" ht="60" customHeight="1">
      <c r="A6" s="22" t="inlineStr">
        <is>
          <t>3</t>
        </is>
      </c>
      <c r="B6" s="15" t="inlineStr">
        <is>
          <t>Для документов, подтверждающих выполненные работы, укажите номер и дату соответствующего акта в колонке «Подтверждает объём по акту».</t>
        </is>
      </c>
    </row>
    <row r="7" ht="45" customHeight="1">
      <c r="A7" s="22" t="inlineStr">
        <is>
          <t>4</t>
        </is>
      </c>
      <c r="B7" s="15" t="inlineStr">
        <is>
          <t>Укажите число листов каждого документа. Красным выделяются позиции, для которых листаж не заполнен. Проверьте их до переноса общего итога в письмо и акт.</t>
        </is>
      </c>
    </row>
    <row r="8" ht="60" customHeight="1">
      <c r="A8" s="22" t="inlineStr">
        <is>
          <t>5</t>
        </is>
      </c>
      <c r="B8" s="15" t="inlineStr">
        <is>
          <t>Сверьте номер и дату описи, число позиций и общий листаж с сопроводительным письмом и актом передачи. Итоги рассчитываются в C132 и E132 листа «Опись».</t>
        </is>
      </c>
    </row>
    <row r="9" ht="45" customHeight="1">
      <c r="A9" s="22" t="inlineStr">
        <is>
          <t>6</t>
        </is>
      </c>
      <c r="B9" s="15" t="inlineStr">
        <is>
          <t>Распечатайте опись в согласованном количестве экземпляров. Получите подпись уполномоченного представителя либо сохраните подтверждения направления и получения.</t>
        </is>
      </c>
    </row>
    <row r="11">
      <c r="A11" s="3" t="inlineStr">
        <is>
          <t>Контроль перед направлением</t>
        </is>
      </c>
    </row>
    <row r="12" ht="45" customHeight="1">
      <c r="A12" s="22" t="inlineStr">
        <is>
          <t>—</t>
        </is>
      </c>
      <c r="B12" s="15" t="inlineStr">
        <is>
          <t>Сверьте состав описи с фактически подготовленными документами и реестром исполнительной документации по объекту.</t>
        </is>
      </c>
    </row>
    <row r="13" ht="45" customHeight="1">
      <c r="A13" s="22" t="inlineStr">
        <is>
          <t>—</t>
        </is>
      </c>
      <c r="B13" s="15" t="inlineStr">
        <is>
          <t>Проверьте связь передаваемой документации с актами выполненных работ и устраните расхождения по позициям.</t>
        </is>
      </c>
    </row>
    <row r="14" ht="45" customHeight="1">
      <c r="A14" s="22" t="inlineStr">
        <is>
          <t>—</t>
        </is>
      </c>
      <c r="B14" s="15" t="inlineStr">
        <is>
          <t>Зафиксируйте полученные замечания по позициям описи, ответственного за исправление и контрольную дату повторной передачи.</t>
        </is>
      </c>
    </row>
    <row r="15" ht="45" customHeight="1">
      <c r="A15" s="22" t="inlineStr">
        <is>
          <t>—</t>
        </is>
      </c>
      <c r="B15" s="15" t="inlineStr">
        <is>
          <t>Установите срок рассмотрения по договору. Сохраните подписанную опись, сопроводительное письмо, акт и подтверждения доставки.</t>
        </is>
      </c>
    </row>
    <row r="17">
      <c r="A17" s="3" t="inlineStr">
        <is>
          <t>Проверка состава и форм</t>
        </is>
      </c>
    </row>
    <row r="18" ht="75" customHeight="1">
      <c r="A18" s="14" t="inlineStr"/>
      <c r="B18" s="15" t="inlineStr">
        <is>
          <t>Перед передачей сверьте состав и наименования документов с договором, проектом и действующими обязательными требованиями. Для вида документа, отсутствующего в списке, выберите «иное» и укажите точное наименование.</t>
        </is>
      </c>
    </row>
  </sheetData>
  <mergeCells count="3">
    <mergeCell ref="A3:B3"/>
    <mergeCell ref="A11:B11"/>
    <mergeCell ref="A17:B17"/>
  </mergeCells>
  <pageMargins left="0.25" right="0.25" top="0.3" bottom="0.3" header="0.15" footer="0.15"/>
  <pageSetup paperSize="9" orientation="portrait" fitToWidth="1" fitToHeight="1" useFirstPageNumber="0"/>
</worksheet>
</file>

<file path=xl/worksheets/sheet3.xml><?xml version="1.0" encoding="utf-8"?>
<worksheet xmlns="http://schemas.openxmlformats.org/spreadsheetml/2006/main">
  <sheetPr>
    <outlinePr summaryBelow="1" summaryRight="1"/>
    <pageSetUpPr fitToPage="1" autoPageBreaks="0"/>
  </sheetPr>
  <dimension ref="A1:E15"/>
  <sheetViews>
    <sheetView workbookViewId="0">
      <selection activeCell="A1" sqref="A1"/>
    </sheetView>
  </sheetViews>
  <sheetFormatPr baseColWidth="8" defaultRowHeight="15"/>
  <cols>
    <col width="46" customWidth="1" min="1" max="1"/>
  </cols>
  <sheetData>
    <row r="1">
      <c r="A1" s="1" t="inlineStr">
        <is>
          <t>Виды документов</t>
        </is>
      </c>
    </row>
    <row r="3">
      <c r="A3" s="10" t="inlineStr">
        <is>
          <t>исполнительная схема</t>
        </is>
      </c>
    </row>
    <row r="4">
      <c r="A4" s="10" t="inlineStr">
        <is>
          <t>акт освидетельствования скрытых работ</t>
        </is>
      </c>
    </row>
    <row r="5">
      <c r="A5" s="10" t="inlineStr">
        <is>
          <t>акт освидетельствования ответственных конструкций</t>
        </is>
      </c>
    </row>
    <row r="6">
      <c r="A6" s="10" t="inlineStr">
        <is>
          <t>журнал работ</t>
        </is>
      </c>
    </row>
    <row r="7">
      <c r="A7" s="10" t="inlineStr">
        <is>
          <t>журнал входного контроля</t>
        </is>
      </c>
    </row>
    <row r="8">
      <c r="A8" s="10" t="inlineStr">
        <is>
          <t>документ о качестве материала (паспорт, сертификат)</t>
        </is>
      </c>
    </row>
    <row r="9">
      <c r="A9" s="10" t="inlineStr">
        <is>
          <t>протокол испытаний</t>
        </is>
      </c>
    </row>
    <row r="10">
      <c r="A10" s="10" t="inlineStr">
        <is>
          <t>геодезическая съёмка, разбивочная основа</t>
        </is>
      </c>
    </row>
    <row r="11">
      <c r="A11" s="10" t="inlineStr">
        <is>
          <t>документ об изменении проектного решения</t>
        </is>
      </c>
    </row>
    <row r="12">
      <c r="A12" s="10" t="inlineStr">
        <is>
          <t>реестр, опись, титульный лист</t>
        </is>
      </c>
    </row>
    <row r="13">
      <c r="A13" s="10" t="inlineStr">
        <is>
          <t>иное</t>
        </is>
      </c>
    </row>
    <row r="15" ht="60" customHeight="1">
      <c r="A15" s="2" t="inlineStr">
        <is>
          <t>Выбирайте вид документа из списка. Состав документации определяйте по договору, проекту и обязательным требованиям. Для другой позиции выберите «иное» и заполните точное наименование.</t>
        </is>
      </c>
    </row>
  </sheetData>
  <mergeCells count="1">
    <mergeCell ref="A15:E15"/>
  </mergeCells>
  <pageMargins left="0.25" right="0.25" top="0.3" bottom="0.3" header="0.15" footer="0.15"/>
  <pageSetup paperSize="9" orientation="portrait" fitToWidth="1" fitToHeight="1" useFirstPageNumber="0"/>
</worksheet>
</file>

<file path=xl/worksheets/sheet4.xml><?xml version="1.0" encoding="utf-8"?>
<worksheet xmlns="http://schemas.openxmlformats.org/spreadsheetml/2006/main">
  <sheetPr>
    <outlinePr summaryBelow="1" summaryRight="1"/>
    <pageSetUpPr fitToPage="1" autoPageBreaks="0"/>
  </sheetPr>
  <dimension ref="A1:I14"/>
  <sheetViews>
    <sheetView workbookViewId="0">
      <selection activeCell="A1" sqref="A1"/>
    </sheetView>
  </sheetViews>
  <sheetFormatPr baseColWidth="8" defaultRowHeight="15"/>
  <cols>
    <col width="5" customWidth="1" min="1" max="1"/>
    <col width="26" customWidth="1" min="2" max="2"/>
    <col width="34" customWidth="1" min="3" max="3"/>
    <col width="18" customWidth="1" min="4" max="4"/>
    <col width="20" customWidth="1" min="5" max="5"/>
    <col width="8" customWidth="1" min="6" max="6"/>
    <col width="7" customWidth="1" min="7" max="7"/>
    <col width="16" customWidth="1" min="8" max="8"/>
    <col width="26" customWidth="1" min="9" max="9"/>
  </cols>
  <sheetData>
    <row r="1" ht="26" customHeight="1">
      <c r="A1" s="1" t="inlineStr">
        <is>
          <t>Пример: как выглядят заполненные строки</t>
        </is>
      </c>
    </row>
    <row r="2" ht="32" customHeight="1">
      <c r="A2" s="16" t="inlineStr">
        <is>
          <t>Пример заполнения на условных данных. Для своего объекта укажите фактические наименования, реквизиты, листаж и количество экземпляров.</t>
        </is>
      </c>
    </row>
    <row r="4" ht="36" customHeight="1">
      <c r="A4" s="9" t="inlineStr">
        <is>
          <t>№</t>
        </is>
      </c>
      <c r="B4" s="9" t="inlineStr">
        <is>
          <t>Вид документа</t>
        </is>
      </c>
      <c r="C4" s="9" t="inlineStr">
        <is>
          <t>Наименование, участок, оси и отметки</t>
        </is>
      </c>
      <c r="D4" s="9" t="inlineStr">
        <is>
          <t>Реквизиты документа</t>
        </is>
      </c>
      <c r="E4" s="9" t="inlineStr">
        <is>
          <t>Подтверждает объём по акту</t>
        </is>
      </c>
      <c r="F4" s="9" t="inlineStr">
        <is>
          <t>Листов</t>
        </is>
      </c>
      <c r="G4" s="9" t="inlineStr">
        <is>
          <t>Экз.</t>
        </is>
      </c>
      <c r="H4" s="9" t="inlineStr">
        <is>
          <t>Оригинал / копия</t>
        </is>
      </c>
      <c r="I4" s="9" t="inlineStr">
        <is>
          <t>Примечание</t>
        </is>
      </c>
    </row>
    <row r="5" ht="48" customHeight="1">
      <c r="A5" s="17" t="inlineStr">
        <is>
          <t>1</t>
        </is>
      </c>
      <c r="B5" s="18" t="inlineStr">
        <is>
          <t>акт освидетельствования скрытых работ</t>
        </is>
      </c>
      <c r="C5" s="18" t="inlineStr">
        <is>
          <t>армирование плиты перекрытия, отм. +3,300, оси 1–7, корпус 2</t>
        </is>
      </c>
      <c r="D5" s="18" t="inlineStr">
        <is>
          <t>№ 12 от 14.04.2026</t>
        </is>
      </c>
      <c r="E5" s="18" t="inlineStr">
        <is>
          <t>акт № 4 от 30.04.2026</t>
        </is>
      </c>
      <c r="F5" s="18" t="inlineStr">
        <is>
          <t>2</t>
        </is>
      </c>
      <c r="G5" s="18" t="inlineStr">
        <is>
          <t>2</t>
        </is>
      </c>
      <c r="H5" s="18" t="inlineStr">
        <is>
          <t>оригинал</t>
        </is>
      </c>
      <c r="I5" s="18" t="inlineStr"/>
    </row>
    <row r="6" ht="48" customHeight="1">
      <c r="A6" s="17" t="inlineStr">
        <is>
          <t>2</t>
        </is>
      </c>
      <c r="B6" s="18" t="inlineStr">
        <is>
          <t>исполнительная схема</t>
        </is>
      </c>
      <c r="C6" s="18" t="inlineStr">
        <is>
          <t>колонны 1-го этажа, оси 1–7, корпус 2</t>
        </is>
      </c>
      <c r="D6" s="18" t="inlineStr">
        <is>
          <t>СХ-07 от 16.04.2026</t>
        </is>
      </c>
      <c r="E6" s="18" t="inlineStr">
        <is>
          <t>акт № 4 от 30.04.2026</t>
        </is>
      </c>
      <c r="F6" s="18" t="inlineStr">
        <is>
          <t>1</t>
        </is>
      </c>
      <c r="G6" s="18" t="inlineStr">
        <is>
          <t>2</t>
        </is>
      </c>
      <c r="H6" s="18" t="inlineStr">
        <is>
          <t>оригинал</t>
        </is>
      </c>
      <c r="I6" s="18" t="inlineStr"/>
    </row>
    <row r="7" ht="48" customHeight="1">
      <c r="A7" s="17" t="inlineStr">
        <is>
          <t>3</t>
        </is>
      </c>
      <c r="B7" s="18" t="inlineStr">
        <is>
          <t>документ о качестве материала (паспорт, сертификат)</t>
        </is>
      </c>
      <c r="C7" s="18" t="inlineStr">
        <is>
          <t>бетон B25, партия 218</t>
        </is>
      </c>
      <c r="D7" s="18" t="inlineStr">
        <is>
          <t>паспорт № 218 от 12.04.2026</t>
        </is>
      </c>
      <c r="E7" s="18" t="inlineStr">
        <is>
          <t>акт № 4 от 30.04.2026</t>
        </is>
      </c>
      <c r="F7" s="18" t="inlineStr">
        <is>
          <t>1</t>
        </is>
      </c>
      <c r="G7" s="18" t="inlineStr">
        <is>
          <t>2</t>
        </is>
      </c>
      <c r="H7" s="18" t="inlineStr">
        <is>
          <t>копия заверенная</t>
        </is>
      </c>
      <c r="I7" s="18" t="inlineStr"/>
    </row>
    <row r="8" ht="48" customHeight="1">
      <c r="A8" s="17" t="inlineStr">
        <is>
          <t>4</t>
        </is>
      </c>
      <c r="B8" s="18" t="inlineStr">
        <is>
          <t>реестр, опись, титульный лист</t>
        </is>
      </c>
      <c r="C8" s="18" t="inlineStr">
        <is>
          <t>титульный лист тома 3</t>
        </is>
      </c>
      <c r="D8" s="18" t="inlineStr">
        <is>
          <t>—</t>
        </is>
      </c>
      <c r="E8" s="18" t="inlineStr"/>
      <c r="F8" s="18" t="inlineStr">
        <is>
          <t>1</t>
        </is>
      </c>
      <c r="G8" s="18" t="inlineStr">
        <is>
          <t>2</t>
        </is>
      </c>
      <c r="H8" s="18" t="inlineStr">
        <is>
          <t>оригинал</t>
        </is>
      </c>
      <c r="I8" s="18" t="inlineStr">
        <is>
          <t>объёма не подтверждает</t>
        </is>
      </c>
    </row>
    <row r="10" ht="36" customHeight="1">
      <c r="A10" s="19" t="inlineStr">
        <is>
          <t>В рабочей описи титульный лист без привязки к акту выделяется жёлтым. Документы без листажа выделяются красным. Проверьте соответствующие позиции перед передачей.</t>
        </is>
      </c>
    </row>
    <row r="12" ht="24" customHeight="1">
      <c r="A12" s="3" t="inlineStr">
        <is>
          <t>Итог под таблицей при этих четырёх строках</t>
        </is>
      </c>
    </row>
    <row r="13" ht="24" customHeight="1">
      <c r="A13" s="14" t="inlineStr">
        <is>
          <t>Итого позиций: 4. Итого листов: 5. Экземпляров: 2.</t>
        </is>
      </c>
    </row>
    <row r="14" ht="28" customHeight="1">
      <c r="A14" s="6" t="inlineStr">
        <is>
          <t>Перенесите проверенные итоги в пункт 3 сопроводительного письма и пункт 2 акта передачи.</t>
        </is>
      </c>
    </row>
  </sheetData>
  <mergeCells count="4">
    <mergeCell ref="A10:I10"/>
    <mergeCell ref="A14:I14"/>
    <mergeCell ref="A13:I13"/>
    <mergeCell ref="A2:I2"/>
  </mergeCells>
  <pageMargins left="0.25" right="0.25" top="0.3" bottom="0.3" header="0.15" footer="0.15"/>
  <pageSetup paperSize="9" orientation="landscape" fitToWidth="1" fitToHeight="1" useFirstPageNumber="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2026-08-10T14:18:17Z</dcterms:created>
  <dcterms:modified xmlns:dcterms="http://purl.org/dc/terms/" xmlns:xsi="http://www.w3.org/2001/XMLSchema-instance" xsi:type="dcterms:W3CDTF">2026-08-10T14:18:17Z</dcterms:modified>
</cp:coreProperties>
</file>