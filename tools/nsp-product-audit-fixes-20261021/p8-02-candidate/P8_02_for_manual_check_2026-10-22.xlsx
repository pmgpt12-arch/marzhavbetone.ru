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График КС" sheetId="2" state="visible" r:id="rId2"/>
    <sheet xmlns:r="http://schemas.openxmlformats.org/officeDocument/2006/relationships" name="Профиль А" sheetId="3" state="visible" r:id="rId3"/>
    <sheet xmlns:r="http://schemas.openxmlformats.org/officeDocument/2006/relationships" name="Профиль Б" sheetId="4" state="visible" r:id="rId4"/>
    <sheet xmlns:r="http://schemas.openxmlformats.org/officeDocument/2006/relationships" name="Сравнение" sheetId="5" state="visible" r:id="rId5"/>
    <sheet xmlns:r="http://schemas.openxmlformats.org/officeDocument/2006/relationships" name="Как читать" sheetId="6" state="visible" r:id="rId6"/>
    <sheet xmlns:r="http://schemas.openxmlformats.org/officeDocument/2006/relationships" name="Пример заполнения" sheetId="7" state="visible" r:id="rId7"/>
  </sheets>
  <definedNames>
    <definedName name="_xlnm.Print_Area" localSheetId="1">'График КС'!$A$1:$D$44</definedName>
    <definedName name="_xlnm.Print_Area" localSheetId="2">'Профиль А'!$A$1:$P$42</definedName>
    <definedName name="_xlnm.Print_Area" localSheetId="3">'Профиль Б'!$A$1:$P$42</definedName>
    <definedName name="_xlnm.Print_Area" localSheetId="4">'Сравнение'!$A$1:$E$23</definedName>
    <definedName name="_xlnm.Print_Area" localSheetId="6">'Пример заполнения'!$A$1:$D$26</definedName>
    <definedName name="_xlnm.Print_Area" localSheetId="0">'Условия'!$A$1:$D$38</definedName>
    <definedName name="_xlnm.Print_Titles" localSheetId="0">'Условия'!$1:$4</definedName>
    <definedName name="_xlnm.Print_Titles" localSheetId="1">'График КС'!$1:$4</definedName>
    <definedName name="_xlnm.Print_Titles" localSheetId="2">'Профиль А'!$1:$4</definedName>
    <definedName name="_xlnm.Print_Titles" localSheetId="3">'Профиль Б'!$1:$4</definedName>
    <definedName name="_xlnm.Print_Area" localSheetId="5">'Как читать'!$A$1:$B$21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6" fillId="0" borderId="1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Калькулятор условий аванса</t>
        </is>
      </c>
    </row>
    <row r="2" ht="46" customHeight="1">
      <c r="A2" s="2" t="inlineStr">
        <is>
          <t>Сравните сценарии А и Б. Числовые поля заполните числами; подтверждённое отсутствие расхода — 0, неизвестное значение не заменяйте нулём. Итоги доступны после проверки условий и профиля.</t>
        </is>
      </c>
    </row>
    <row r="4">
      <c r="A4" s="3" t="inlineStr">
        <is>
          <t>Условие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 xml:space="preserve">Содержание показателя и источник данных</t>
        </is>
      </c>
    </row>
    <row r="5" ht="30" customHeight="1">
      <c r="A5" s="4" t="inlineStr">
        <is>
          <t>Сумма договора, руб.</t>
        </is>
      </c>
      <c r="B5" s="5" t="n"/>
      <c r="C5" s="5" t="n"/>
      <c r="D5" s="2" t="inlineStr">
        <is>
          <t xml:space="preserve">Цена договора. Используйте единый порядок учёта НДС во всех исходных суммах и расходах.</t>
        </is>
      </c>
    </row>
    <row r="6" ht="30" customHeight="1">
      <c r="A6" s="4" t="inlineStr">
        <is>
          <t>Размер аванса, % от суммы договора</t>
        </is>
      </c>
      <c r="B6" s="6" t="n"/>
      <c r="C6" s="6" t="n"/>
      <c r="D6" s="2" t="inlineStr">
        <is>
          <t xml:space="preserve">Доля цены договора, выплачиваемая авансом. Для оценки потребности в финансировании рассмотрите также сценарий без аванса.</t>
        </is>
      </c>
    </row>
    <row r="7" ht="30" customHeight="1">
      <c r="A7" s="4" t="inlineStr">
        <is>
          <t>Месяц поступления аванса</t>
        </is>
      </c>
      <c r="B7" s="7" t="n"/>
      <c r="C7" s="7" t="n"/>
      <c r="D7" s="2" t="inlineStr">
        <is>
          <t>Целый месяц 1–36. При нулевом авансе — 0 или пусто. Погашение ранее получения аванса требует исправления графика.</t>
        </is>
      </c>
    </row>
    <row r="8" ht="30" customHeight="1">
      <c r="A8" s="4" t="inlineStr">
        <is>
          <t>Порядок погашения аванса</t>
        </is>
      </c>
      <c r="B8" s="8" t="n"/>
      <c r="C8" s="8" t="n"/>
      <c r="D8" s="2" t="inlineStr">
        <is>
          <t xml:space="preserve">Выберите предусмотренный договором порядок погашения из справочника этого листа.</t>
        </is>
      </c>
    </row>
    <row r="9" ht="30" customHeight="1">
      <c r="A9" s="4" t="inlineStr">
        <is>
          <t>Доля выполнения, с которой начинается погашение, %</t>
        </is>
      </c>
      <c r="B9" s="6" t="n"/>
      <c r="C9" s="6" t="n"/>
      <c r="D9" s="2" t="inlineStr">
        <is>
          <t>Для третьего порядка: число от 0 до менее 100. Для других порядков — 0 или пусто.</t>
        </is>
      </c>
    </row>
    <row r="10" ht="30" customHeight="1">
      <c r="A10" s="4" t="inlineStr">
        <is>
          <t>Ставка обеспечения аванса, % годовых</t>
        </is>
      </c>
      <c r="B10" s="6" t="n"/>
      <c r="C10" s="6" t="n"/>
      <c r="D10" s="2" t="inlineStr">
        <is>
          <t xml:space="preserve">Годовая ставка комиссии за обеспечение по предложению банка или страховщика на дату расчёта. При отсутствии обеспечения укажите 0.</t>
        </is>
      </c>
    </row>
    <row r="11" ht="30" customHeight="1">
      <c r="A11" s="4" t="inlineStr">
        <is>
          <t>Срок действия обеспечения, мес.</t>
        </is>
      </c>
      <c r="B11" s="7" t="n"/>
      <c r="C11" s="7" t="n"/>
      <c r="D11" s="2" t="inlineStr">
        <is>
          <t>При платном обеспечении: положительное целое число месяцев. Без обеспечения — 0 или пусто.</t>
        </is>
      </c>
    </row>
    <row r="12" ht="30" customHeight="1">
      <c r="A12" s="4" t="inlineStr">
        <is>
          <t>Месяц оплаты обеспечения</t>
        </is>
      </c>
      <c r="B12" s="7" t="n"/>
      <c r="C12" s="7" t="n"/>
      <c r="D12" s="2" t="inlineStr">
        <is>
          <t>При платном обеспечении: целый месяц 1–36. Без обеспечения — 0 или пусто.</t>
        </is>
      </c>
    </row>
    <row r="13" ht="30" customHeight="1">
      <c r="A13" s="4" t="inlineStr">
        <is>
          <t>Гарантийное удержание, % от каждой КС</t>
        </is>
      </c>
      <c r="B13" s="6" t="n"/>
      <c r="C13" s="6" t="n"/>
      <c r="D13" s="2" t="inlineStr">
        <is>
          <t xml:space="preserve">Доля стоимости каждого акта, удерживаемая в качестве гарантийного обеспечения. Рассматривается совместно с погашением аванса.</t>
        </is>
      </c>
    </row>
    <row r="14" ht="30" customHeight="1">
      <c r="A14" s="4" t="inlineStr">
        <is>
          <t>Месяц возврата гарантийного удержания</t>
        </is>
      </c>
      <c r="B14" s="7" t="n"/>
      <c r="C14" s="7" t="n"/>
      <c r="D14" s="2" t="inlineStr">
        <is>
          <t>Целый месяц 0–36; 0 — возврата нет. Возврат возможен только в пределах удержания, накопленного к сроку оплаты КС.</t>
        </is>
      </c>
    </row>
    <row r="15" ht="30" customHeight="1">
      <c r="A15" s="4" t="inlineStr">
        <is>
          <t>Доля возвращаемого удержания, %</t>
        </is>
      </c>
      <c r="B15" s="6" t="n"/>
      <c r="C15" s="6" t="n"/>
      <c r="D15" s="2" t="inlineStr">
        <is>
          <t>Процент от общего удержания по графику. Ранний возврат всей будущей суммы не допускается; проверьте остаток в выбранном месяце.</t>
        </is>
      </c>
    </row>
    <row r="16" ht="30" customHeight="1">
      <c r="A16" s="4" t="inlineStr">
        <is>
          <t>Срок объекта, мес.</t>
        </is>
      </c>
      <c r="B16" s="7" t="n"/>
      <c r="C16" s="7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" t="inlineStr">
        <is>
          <t>Отсрочка оплаты КС, мес.</t>
        </is>
      </c>
      <c r="B17" s="7" t="n"/>
      <c r="C17" s="7" t="n"/>
      <c r="D17" s="2" t="inlineStr">
        <is>
          <t>Целое число месяцев 0–36. При дробных сроках используйте отдельный расчёт с меньшим шагом.</t>
        </is>
      </c>
    </row>
    <row r="18" ht="30" customHeight="1">
      <c r="A18" s="4" t="inlineStr">
        <is>
          <t>Себестоимость работ, % от суммы договора</t>
        </is>
      </c>
      <c r="B18" s="6" t="n"/>
      <c r="C18" s="6" t="n"/>
      <c r="D18" s="2" t="inlineStr">
        <is>
          <t>Число не меньше 0; доля затрат может превышать 100 при убыточном объекте. Пусто — затраты неизвестны, расчёт не завершён.</t>
        </is>
      </c>
    </row>
    <row r="19" ht="30" customHeight="1">
      <c r="A19" s="4" t="inlineStr">
        <is>
          <t>Опережение расходов, мес.</t>
        </is>
      </c>
      <c r="B19" s="7" t="n"/>
      <c r="C19" s="7" t="n"/>
      <c r="D19" s="2" t="inlineStr">
        <is>
          <t>Целое число 0–35. Расходы, относящиеся к началу и более ранним периодам, объединены в первом месяце.</t>
        </is>
      </c>
    </row>
    <row r="20" ht="30" customHeight="1">
      <c r="A20" s="4" t="inlineStr">
        <is>
          <t>Стартовые затраты до первой КС, руб.</t>
        </is>
      </c>
      <c r="B20" s="5" t="n"/>
      <c r="C20" s="5" t="n"/>
      <c r="D20" s="2" t="inlineStr">
        <is>
          <t>Дополнительные стартовые расходы в первом месяце. Не включайте повторно затраты, уже учтённые в себестоимости. При отсутствии — 0.</t>
        </is>
      </c>
    </row>
    <row r="22">
      <c r="A22" s="9" t="inlineStr">
        <is>
          <t xml:space="preserve">Расчётные показатели</t>
        </is>
      </c>
    </row>
    <row r="23">
      <c r="A23" s="10" t="inlineStr">
        <is>
          <t>Сумма аванса, руб.</t>
        </is>
      </c>
      <c r="B23" s="11">
        <f>IF(B26&lt;&gt;"Условия заполнены","",ROUND(B5*B6/100,2))</f>
        <v/>
      </c>
      <c r="C23" s="11">
        <f>IF(C26&lt;&gt;"Условия заполнены","",ROUND(C5*C6/100,2))</f>
        <v/>
      </c>
    </row>
    <row r="24">
      <c r="A24" s="10" t="inlineStr">
        <is>
          <t>Стоимость обеспечения аванса, руб.</t>
        </is>
      </c>
      <c r="B24" s="11">
        <f>IF(B26&lt;&gt;"Условия заполнены","",IF(OR(B6=0,B10=0),0,ROUND(B23*B10/100*B11/12,2)))</f>
        <v/>
      </c>
      <c r="C24" s="11">
        <f>IF(C26&lt;&gt;"Условия заполнены","",IF(OR(C6=0,C10=0),0,ROUND(C23*C10/100*C11/12,2)))</f>
        <v/>
      </c>
    </row>
    <row r="25">
      <c r="A25" s="10" t="inlineStr">
        <is>
          <t>Код порядка погашения (1, 2 или 3)</t>
        </is>
      </c>
      <c r="B25" s="12">
        <f>IF(B6=0,0,IFERROR(MATCH(B8,$A$29:$A$31,0),0))</f>
        <v/>
      </c>
      <c r="C25" s="12">
        <f>IF(C6=0,0,IFERROR(MATCH(C8,$A$29:$A$31,0),0))</f>
        <v/>
      </c>
    </row>
    <row r="26" ht="78" customHeight="1">
      <c r="A26" s="9" t="inlineStr">
        <is>
          <t>Проверка условий</t>
        </is>
      </c>
      <c r="B26" s="13">
        <f>IFERROR(IF(OR(LEN(B5)=0,LEN(B6)=0,LEN(B10)=0,LEN(B13)=0,LEN(B16)=0,LEN(B17)=0,LEN(B18)=0,LEN(B19)=0,LEN(B20)=0),"НЕ ЗАПОЛНЕНО: обязательные суммы, проценты и сроки",IF(OR(NOT(ISNUMBER(B5)),NOT(ISNUMBER(B6)),NOT(ISNUMBER(B10)),NOT(ISNUMBER(B13)),NOT(ISNUMBER(B16)),NOT(ISNUMBER(B17)),NOT(ISNUMBER(B18)),NOT(ISNUMBER(B19)),NOT(ISNUMBER(B20))),"ОШИБКА: обязательные показатели вводятся числами",IF(OR(B5&lt;=0,B6&lt;0,B6&gt;100,B10&lt;0,B13&lt;0,B13&gt;100,B18&lt;0,B20&lt;0),"ОШИБКА: проверьте знак сумм и диапазон процентов",IF(OR(B16&lt;1,B16&gt;36,B16&lt;&gt;INT(B16),B17&lt;0,B17&gt;36,B17&lt;&gt;INT(B17),B19&lt;0,B19&gt;35,B19&lt;&gt;INT(B19)),"ОШИБКА: сроки — целые месяцы в пределах горизонта",IF(AND(B6&gt;0,OR(NOT(ISNUMBER(B7)),B7&lt;1,B7&gt;36,B7&lt;&gt;INT(B7))),"ОШИБКА: укажите целый месяц получения аванса 1–36",IF(AND(B6&gt;0,B25=0),"ОШИБКА: выберите порядок погашения из списка",IF(AND(B6&gt;0,B25=3,OR(LEN(B9)=0,NOT(ISNUMBER(B9)),B9&lt;0,B9&gt;=100)),"ОШИБКА: порог погашения от 0 до менее 100%",IF(AND(B6&gt;0,B10&gt;0,OR(NOT(ISNUMBER(B11)),B11&lt;=0,B11&lt;&gt;INT(B11),NOT(ISNUMBER(B12)),B12&lt;1,B12&gt;36,B12&lt;&gt;INT(B12))),"ОШИБКА: проверьте срок и месяц оплаты обеспечения",IF(AND(B13&gt;0,OR(NOT(ISNUMBER(B14)),B14&lt;0,B14&gt;36,B14&lt;&gt;INT(B14),NOT(ISNUMBER(B15)),B15&lt;0,B15&gt;100,LEN(B14)=0,LEN(B15)=0)),"ОШИБКА: проверьте месяц и долю возврата удержания",IF(COUNT('График КС'!B5:B40)&lt;&gt;COUNTA('График КС'!B5:B40),"ОШИБКА: доли графика должны быть числами",IF(OR(COUNTIF('График КС'!B5:B40,"&lt;0")&gt;0,COUNTIF('График КС'!B5:B40,"&gt;100")&gt;0),"ОШИБКА: доля графика вне диапазона 0–100%",IF(ABS(SUM('График КС'!B5:B40)-100)&gt;0.000001,"НЕ ЗАПОЛНЕНО: сумма долей графика должна быть 100%",IF(SUMIF('График КС'!$A$5:$A$40,"&gt;"&amp;B16,'График КС'!B5:B40)&gt;0,"ОШИБКА: работы в графике выходят за срок объекта","Условия заполнены"))))))))))))),"ОШИБКА: проверьте числовые исходные данные")</f>
        <v/>
      </c>
      <c r="C26" s="13">
        <f>IFERROR(IF(OR(LEN(C5)=0,LEN(C6)=0,LEN(C10)=0,LEN(C13)=0,LEN(C16)=0,LEN(C17)=0,LEN(C18)=0,LEN(C19)=0,LEN(C20)=0),"НЕ ЗАПОЛНЕНО: обязательные суммы, проценты и сроки",IF(OR(NOT(ISNUMBER(C5)),NOT(ISNUMBER(C6)),NOT(ISNUMBER(C10)),NOT(ISNUMBER(C13)),NOT(ISNUMBER(C16)),NOT(ISNUMBER(C17)),NOT(ISNUMBER(C18)),NOT(ISNUMBER(C19)),NOT(ISNUMBER(C20))),"ОШИБКА: обязательные показатели вводятся числами",IF(OR(C5&lt;=0,C6&lt;0,C6&gt;100,C10&lt;0,C13&lt;0,C13&gt;100,C18&lt;0,C20&lt;0),"ОШИБКА: проверьте знак сумм и диапазон процентов",IF(OR(C16&lt;1,C16&gt;36,C16&lt;&gt;INT(C16),C17&lt;0,C17&gt;36,C17&lt;&gt;INT(C17),C19&lt;0,C19&gt;35,C19&lt;&gt;INT(C19)),"ОШИБКА: сроки — целые месяцы в пределах горизонта",IF(AND(C6&gt;0,OR(NOT(ISNUMBER(C7)),C7&lt;1,C7&gt;36,C7&lt;&gt;INT(C7))),"ОШИБКА: укажите целый месяц получения аванса 1–36",IF(AND(C6&gt;0,C25=0),"ОШИБКА: выберите порядок погашения из списка",IF(AND(C6&gt;0,C25=3,OR(LEN(C9)=0,NOT(ISNUMBER(C9)),C9&lt;0,C9&gt;=100)),"ОШИБКА: порог погашения от 0 до менее 100%",IF(AND(C6&gt;0,C10&gt;0,OR(NOT(ISNUMBER(C11)),C11&lt;=0,C11&lt;&gt;INT(C11),NOT(ISNUMBER(C12)),C12&lt;1,C12&gt;36,C12&lt;&gt;INT(C12))),"ОШИБКА: проверьте срок и месяц оплаты обеспечения",IF(AND(C13&gt;0,OR(NOT(ISNUMBER(C14)),C14&lt;0,C14&gt;36,C14&lt;&gt;INT(C14),NOT(ISNUMBER(C15)),C15&lt;0,C15&gt;100,LEN(C14)=0,LEN(C15)=0)),"ОШИБКА: проверьте месяц и долю возврата удержания",IF(COUNT('График КС'!C5:C40)&lt;&gt;COUNTA('График КС'!C5:C40),"ОШИБКА: доли графика должны быть числами",IF(OR(COUNTIF('График КС'!C5:C40,"&lt;0")&gt;0,COUNTIF('График КС'!C5:C40,"&gt;100")&gt;0),"ОШИБКА: доля графика вне диапазона 0–100%",IF(ABS(SUM('График КС'!C5:C40)-100)&gt;0.000001,"НЕ ЗАПОЛНЕНО: сумма долей графика должна быть 100%",IF(SUMIF('График КС'!$A$5:$A$40,"&gt;"&amp;C16,'График КС'!C5:C40)&gt;0,"ОШИБКА: работы в графике выходят за срок объекта","Условия заполнены"))))))))))))),"ОШИБКА: проверьте числовые исходные данные")</f>
        <v/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 xml:space="preserve">Из стоимости каждого акта погашается согласованная доля аванса.</t>
        </is>
      </c>
    </row>
    <row r="30" ht="24.0" customHeight="1">
      <c r="A30" s="14" t="inlineStr">
        <is>
          <t>единовременно из последней КС</t>
        </is>
      </c>
      <c r="B30" s="15" t="n">
        <v>2</v>
      </c>
      <c r="D30" s="2" t="inlineStr">
        <is>
          <t xml:space="preserve">Аванс погашается из стоимости последнего акта. Проверьте остаток к оплате в соответствующем месяце.</t>
        </is>
      </c>
    </row>
    <row r="31" ht="24.0" customHeight="1">
      <c r="A31" s="14" t="inlineStr">
        <is>
          <t>с отсрочкой до доли выполнения</t>
        </is>
      </c>
      <c r="B31" s="15" t="n">
        <v>3</v>
      </c>
      <c r="D31" s="2" t="inlineStr">
        <is>
          <t xml:space="preserve">Погашение начинается после достижения указанной доли выполнения и распределяется на оставшийся объём.</t>
        </is>
      </c>
    </row>
    <row r="34">
      <c r="A34" s="9" t="inlineStr">
        <is>
          <t>Проверка исходных ставок и сроков</t>
        </is>
      </c>
    </row>
    <row r="35" ht="36" customHeight="1">
      <c r="A35" s="2" t="inlineStr">
        <is>
          <t>Ставки и сроки берите из договора и предложения банка. Проценты вводите числом: 20 означает 20%, не 0,2. В календарных полях используются порядковые месяцы, а не даты.</t>
        </is>
      </c>
    </row>
    <row r="37">
      <c r="A37" s="9" t="inlineStr">
        <is>
          <t>Контроль условий перед переговорами</t>
        </is>
      </c>
    </row>
    <row r="38" ht="36" customHeight="1">
      <c r="A38" s="16" t="inlineStr">
        <is>
          <t>Готовность показана на листе «Сравнение», строка 18. При сообщении о профиле проверьте колонку P. Это месячный денежный расчёт, не прибыль и не внутримесячный максимум потребности.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0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 ht="16.8" customHeight="1">
      <c r="A1" s="1" t="inlineStr">
        <is>
          <t xml:space="preserve">Помесячное распределение стоимости выполненных работ</t>
        </is>
      </c>
    </row>
    <row r="2" ht="32" customHeight="1">
      <c r="A2" s="2" t="inlineStr">
        <is>
          <t>В жёлтых колонках укажите долю выполненных работ каждого месяца, числом от 0 до 100. Сумма каждого сценария — 100. Месяцы без работ можно оставить пустыми или указать 0.</t>
        </is>
      </c>
    </row>
    <row r="4">
      <c r="A4" s="3" t="inlineStr">
        <is>
          <t>Месяц</t>
        </is>
      </c>
      <c r="B4" s="3" t="inlineStr">
        <is>
          <t>Доля объёма, % — сценарий А</t>
        </is>
      </c>
      <c r="C4" s="3" t="inlineStr">
        <is>
          <t>Доля объёма, % — сценарий Б</t>
        </is>
      </c>
      <c r="D4" s="3" t="inlineStr">
        <is>
          <t>Проверка</t>
        </is>
      </c>
    </row>
    <row r="5">
      <c r="A5" s="17" t="n">
        <v>1</v>
      </c>
      <c r="B5" s="6" t="n"/>
      <c r="C5" s="6" t="n"/>
      <c r="D5" s="18">
        <f>IF(COUNTA(B5:C5)=0,"",IF(OR(AND(B5&lt;&gt;"",NOT(ISNUMBER(B5))),AND(C5&lt;&gt;"",NOT(ISNUMBER(C5)))),"ОШИБКА: доля должна быть числом",IF(OR(B5&lt;0,C5&lt;0,B5&gt;100,C5&gt;100),"ОШИБКА: доля вне 0–100%","")))</f>
        <v/>
      </c>
    </row>
    <row r="6">
      <c r="A6" s="17" t="n">
        <v>2</v>
      </c>
      <c r="B6" s="6" t="n"/>
      <c r="C6" s="6" t="n"/>
      <c r="D6" s="18">
        <f>IF(COUNTA(B6:C6)=0,"",IF(OR(AND(B6&lt;&gt;"",NOT(ISNUMBER(B6))),AND(C6&lt;&gt;"",NOT(ISNUMBER(C6)))),"ОШИБКА: доля должна быть числом",IF(OR(B6&lt;0,C6&lt;0,B6&gt;100,C6&gt;100),"ОШИБКА: доля вне 0–100%","")))</f>
        <v/>
      </c>
    </row>
    <row r="7">
      <c r="A7" s="17" t="n">
        <v>3</v>
      </c>
      <c r="B7" s="6" t="n"/>
      <c r="C7" s="6" t="n"/>
      <c r="D7" s="18">
        <f>IF(COUNTA(B7:C7)=0,"",IF(OR(AND(B7&lt;&gt;"",NOT(ISNUMBER(B7))),AND(C7&lt;&gt;"",NOT(ISNUMBER(C7)))),"ОШИБКА: доля должна быть числом",IF(OR(B7&lt;0,C7&lt;0,B7&gt;100,C7&gt;100),"ОШИБКА: доля вне 0–100%","")))</f>
        <v/>
      </c>
    </row>
    <row r="8">
      <c r="A8" s="17" t="n">
        <v>4</v>
      </c>
      <c r="B8" s="6" t="n"/>
      <c r="C8" s="6" t="n"/>
      <c r="D8" s="18">
        <f>IF(COUNTA(B8:C8)=0,"",IF(OR(AND(B8&lt;&gt;"",NOT(ISNUMBER(B8))),AND(C8&lt;&gt;"",NOT(ISNUMBER(C8)))),"ОШИБКА: доля должна быть числом",IF(OR(B8&lt;0,C8&lt;0,B8&gt;100,C8&gt;100),"ОШИБКА: доля вне 0–100%","")))</f>
        <v/>
      </c>
    </row>
    <row r="9">
      <c r="A9" s="17" t="n">
        <v>5</v>
      </c>
      <c r="B9" s="6" t="n"/>
      <c r="C9" s="6" t="n"/>
      <c r="D9" s="18">
        <f>IF(COUNTA(B9:C9)=0,"",IF(OR(AND(B9&lt;&gt;"",NOT(ISNUMBER(B9))),AND(C9&lt;&gt;"",NOT(ISNUMBER(C9)))),"ОШИБКА: доля должна быть числом",IF(OR(B9&lt;0,C9&lt;0,B9&gt;100,C9&gt;100),"ОШИБКА: доля вне 0–100%","")))</f>
        <v/>
      </c>
    </row>
    <row r="10">
      <c r="A10" s="17" t="n">
        <v>6</v>
      </c>
      <c r="B10" s="6" t="n"/>
      <c r="C10" s="6" t="n"/>
      <c r="D10" s="18">
        <f>IF(COUNTA(B10:C10)=0,"",IF(OR(AND(B10&lt;&gt;"",NOT(ISNUMBER(B10))),AND(C10&lt;&gt;"",NOT(ISNUMBER(C10)))),"ОШИБКА: доля должна быть числом",IF(OR(B10&lt;0,C10&lt;0,B10&gt;100,C10&gt;100),"ОШИБКА: доля вне 0–100%","")))</f>
        <v/>
      </c>
    </row>
    <row r="11">
      <c r="A11" s="17" t="n">
        <v>7</v>
      </c>
      <c r="B11" s="6" t="n"/>
      <c r="C11" s="6" t="n"/>
      <c r="D11" s="18">
        <f>IF(COUNTA(B11:C11)=0,"",IF(OR(AND(B11&lt;&gt;"",NOT(ISNUMBER(B11))),AND(C11&lt;&gt;"",NOT(ISNUMBER(C11)))),"ОШИБКА: доля должна быть числом",IF(OR(B11&lt;0,C11&lt;0,B11&gt;100,C11&gt;100),"ОШИБКА: доля вне 0–100%","")))</f>
        <v/>
      </c>
    </row>
    <row r="12">
      <c r="A12" s="17" t="n">
        <v>8</v>
      </c>
      <c r="B12" s="6" t="n"/>
      <c r="C12" s="6" t="n"/>
      <c r="D12" s="18">
        <f>IF(COUNTA(B12:C12)=0,"",IF(OR(AND(B12&lt;&gt;"",NOT(ISNUMBER(B12))),AND(C12&lt;&gt;"",NOT(ISNUMBER(C12)))),"ОШИБКА: доля должна быть числом",IF(OR(B12&lt;0,C12&lt;0,B12&gt;100,C12&gt;100),"ОШИБКА: доля вне 0–100%","")))</f>
        <v/>
      </c>
    </row>
    <row r="13">
      <c r="A13" s="17" t="n">
        <v>9</v>
      </c>
      <c r="B13" s="6" t="n"/>
      <c r="C13" s="6" t="n"/>
      <c r="D13" s="18">
        <f>IF(COUNTA(B13:C13)=0,"",IF(OR(AND(B13&lt;&gt;"",NOT(ISNUMBER(B13))),AND(C13&lt;&gt;"",NOT(ISNUMBER(C13)))),"ОШИБКА: доля должна быть числом",IF(OR(B13&lt;0,C13&lt;0,B13&gt;100,C13&gt;100),"ОШИБКА: доля вне 0–100%","")))</f>
        <v/>
      </c>
    </row>
    <row r="14">
      <c r="A14" s="17" t="n">
        <v>10</v>
      </c>
      <c r="B14" s="6" t="n"/>
      <c r="C14" s="6" t="n"/>
      <c r="D14" s="18">
        <f>IF(COUNTA(B14:C14)=0,"",IF(OR(AND(B14&lt;&gt;"",NOT(ISNUMBER(B14))),AND(C14&lt;&gt;"",NOT(ISNUMBER(C14)))),"ОШИБКА: доля должна быть числом",IF(OR(B14&lt;0,C14&lt;0,B14&gt;100,C14&gt;100),"ОШИБКА: доля вне 0–100%","")))</f>
        <v/>
      </c>
    </row>
    <row r="15">
      <c r="A15" s="17" t="n">
        <v>11</v>
      </c>
      <c r="B15" s="6" t="n"/>
      <c r="C15" s="6" t="n"/>
      <c r="D15" s="18">
        <f>IF(COUNTA(B15:C15)=0,"",IF(OR(AND(B15&lt;&gt;"",NOT(ISNUMBER(B15))),AND(C15&lt;&gt;"",NOT(ISNUMBER(C15)))),"ОШИБКА: доля должна быть числом",IF(OR(B15&lt;0,C15&lt;0,B15&gt;100,C15&gt;100),"ОШИБКА: доля вне 0–100%","")))</f>
        <v/>
      </c>
    </row>
    <row r="16">
      <c r="A16" s="17" t="n">
        <v>12</v>
      </c>
      <c r="B16" s="6" t="n"/>
      <c r="C16" s="6" t="n"/>
      <c r="D16" s="18">
        <f>IF(COUNTA(B16:C16)=0,"",IF(OR(AND(B16&lt;&gt;"",NOT(ISNUMBER(B16))),AND(C16&lt;&gt;"",NOT(ISNUMBER(C16)))),"ОШИБКА: доля должна быть числом",IF(OR(B16&lt;0,C16&lt;0,B16&gt;100,C16&gt;100),"ОШИБКА: доля вне 0–100%","")))</f>
        <v/>
      </c>
    </row>
    <row r="17">
      <c r="A17" s="17" t="n">
        <v>13</v>
      </c>
      <c r="B17" s="6" t="n"/>
      <c r="C17" s="6" t="n"/>
      <c r="D17" s="18">
        <f>IF(COUNTA(B17:C17)=0,"",IF(OR(AND(B17&lt;&gt;"",NOT(ISNUMBER(B17))),AND(C17&lt;&gt;"",NOT(ISNUMBER(C17)))),"ОШИБКА: доля должна быть числом",IF(OR(B17&lt;0,C17&lt;0,B17&gt;100,C17&gt;100),"ОШИБКА: доля вне 0–100%","")))</f>
        <v/>
      </c>
    </row>
    <row r="18">
      <c r="A18" s="17" t="n">
        <v>14</v>
      </c>
      <c r="B18" s="6" t="n"/>
      <c r="C18" s="6" t="n"/>
      <c r="D18" s="18">
        <f>IF(COUNTA(B18:C18)=0,"",IF(OR(AND(B18&lt;&gt;"",NOT(ISNUMBER(B18))),AND(C18&lt;&gt;"",NOT(ISNUMBER(C18)))),"ОШИБКА: доля должна быть числом",IF(OR(B18&lt;0,C18&lt;0,B18&gt;100,C18&gt;100),"ОШИБКА: доля вне 0–100%","")))</f>
        <v/>
      </c>
    </row>
    <row r="19">
      <c r="A19" s="17" t="n">
        <v>15</v>
      </c>
      <c r="B19" s="6" t="n"/>
      <c r="C19" s="6" t="n"/>
      <c r="D19" s="18">
        <f>IF(COUNTA(B19:C19)=0,"",IF(OR(AND(B19&lt;&gt;"",NOT(ISNUMBER(B19))),AND(C19&lt;&gt;"",NOT(ISNUMBER(C19)))),"ОШИБКА: доля должна быть числом",IF(OR(B19&lt;0,C19&lt;0,B19&gt;100,C19&gt;100),"ОШИБКА: доля вне 0–100%","")))</f>
        <v/>
      </c>
    </row>
    <row r="20">
      <c r="A20" s="17" t="n">
        <v>16</v>
      </c>
      <c r="B20" s="6" t="n"/>
      <c r="C20" s="6" t="n"/>
      <c r="D20" s="18">
        <f>IF(COUNTA(B20:C20)=0,"",IF(OR(AND(B20&lt;&gt;"",NOT(ISNUMBER(B20))),AND(C20&lt;&gt;"",NOT(ISNUMBER(C20)))),"ОШИБКА: доля должна быть числом",IF(OR(B20&lt;0,C20&lt;0,B20&gt;100,C20&gt;100),"ОШИБКА: доля вне 0–100%","")))</f>
        <v/>
      </c>
    </row>
    <row r="21">
      <c r="A21" s="17" t="n">
        <v>17</v>
      </c>
      <c r="B21" s="6" t="n"/>
      <c r="C21" s="6" t="n"/>
      <c r="D21" s="18">
        <f>IF(COUNTA(B21:C21)=0,"",IF(OR(AND(B21&lt;&gt;"",NOT(ISNUMBER(B21))),AND(C21&lt;&gt;"",NOT(ISNUMBER(C21)))),"ОШИБКА: доля должна быть числом",IF(OR(B21&lt;0,C21&lt;0,B21&gt;100,C21&gt;100),"ОШИБКА: доля вне 0–100%","")))</f>
        <v/>
      </c>
    </row>
    <row r="22">
      <c r="A22" s="17" t="n">
        <v>18</v>
      </c>
      <c r="B22" s="6" t="n"/>
      <c r="C22" s="6" t="n"/>
      <c r="D22" s="18">
        <f>IF(COUNTA(B22:C22)=0,"",IF(OR(AND(B22&lt;&gt;"",NOT(ISNUMBER(B22))),AND(C22&lt;&gt;"",NOT(ISNUMBER(C22)))),"ОШИБКА: доля должна быть числом",IF(OR(B22&lt;0,C22&lt;0,B22&gt;100,C22&gt;100),"ОШИБКА: доля вне 0–100%","")))</f>
        <v/>
      </c>
    </row>
    <row r="23">
      <c r="A23" s="17" t="n">
        <v>19</v>
      </c>
      <c r="B23" s="6" t="n"/>
      <c r="C23" s="6" t="n"/>
      <c r="D23" s="18">
        <f>IF(COUNTA(B23:C23)=0,"",IF(OR(AND(B23&lt;&gt;"",NOT(ISNUMBER(B23))),AND(C23&lt;&gt;"",NOT(ISNUMBER(C23)))),"ОШИБКА: доля должна быть числом",IF(OR(B23&lt;0,C23&lt;0,B23&gt;100,C23&gt;100),"ОШИБКА: доля вне 0–100%","")))</f>
        <v/>
      </c>
    </row>
    <row r="24">
      <c r="A24" s="17" t="n">
        <v>20</v>
      </c>
      <c r="B24" s="6" t="n"/>
      <c r="C24" s="6" t="n"/>
      <c r="D24" s="18">
        <f>IF(COUNTA(B24:C24)=0,"",IF(OR(AND(B24&lt;&gt;"",NOT(ISNUMBER(B24))),AND(C24&lt;&gt;"",NOT(ISNUMBER(C24)))),"ОШИБКА: доля должна быть числом",IF(OR(B24&lt;0,C24&lt;0,B24&gt;100,C24&gt;100),"ОШИБКА: доля вне 0–100%","")))</f>
        <v/>
      </c>
    </row>
    <row r="25">
      <c r="A25" s="17" t="n">
        <v>21</v>
      </c>
      <c r="B25" s="6" t="n"/>
      <c r="C25" s="6" t="n"/>
      <c r="D25" s="18">
        <f>IF(COUNTA(B25:C25)=0,"",IF(OR(AND(B25&lt;&gt;"",NOT(ISNUMBER(B25))),AND(C25&lt;&gt;"",NOT(ISNUMBER(C25)))),"ОШИБКА: доля должна быть числом",IF(OR(B25&lt;0,C25&lt;0,B25&gt;100,C25&gt;100),"ОШИБКА: доля вне 0–100%","")))</f>
        <v/>
      </c>
    </row>
    <row r="26">
      <c r="A26" s="17" t="n">
        <v>22</v>
      </c>
      <c r="B26" s="6" t="n"/>
      <c r="C26" s="6" t="n"/>
      <c r="D26" s="18">
        <f>IF(COUNTA(B26:C26)=0,"",IF(OR(AND(B26&lt;&gt;"",NOT(ISNUMBER(B26))),AND(C26&lt;&gt;"",NOT(ISNUMBER(C26)))),"ОШИБКА: доля должна быть числом",IF(OR(B26&lt;0,C26&lt;0,B26&gt;100,C26&gt;100),"ОШИБКА: доля вне 0–100%","")))</f>
        <v/>
      </c>
    </row>
    <row r="27">
      <c r="A27" s="17" t="n">
        <v>23</v>
      </c>
      <c r="B27" s="6" t="n"/>
      <c r="C27" s="6" t="n"/>
      <c r="D27" s="18">
        <f>IF(COUNTA(B27:C27)=0,"",IF(OR(AND(B27&lt;&gt;"",NOT(ISNUMBER(B27))),AND(C27&lt;&gt;"",NOT(ISNUMBER(C27)))),"ОШИБКА: доля должна быть числом",IF(OR(B27&lt;0,C27&lt;0,B27&gt;100,C27&gt;100),"ОШИБКА: доля вне 0–100%","")))</f>
        <v/>
      </c>
    </row>
    <row r="28">
      <c r="A28" s="17" t="n">
        <v>24</v>
      </c>
      <c r="B28" s="6" t="n"/>
      <c r="C28" s="6" t="n"/>
      <c r="D28" s="18">
        <f>IF(COUNTA(B28:C28)=0,"",IF(OR(AND(B28&lt;&gt;"",NOT(ISNUMBER(B28))),AND(C28&lt;&gt;"",NOT(ISNUMBER(C28)))),"ОШИБКА: доля должна быть числом",IF(OR(B28&lt;0,C28&lt;0,B28&gt;100,C28&gt;100),"ОШИБКА: доля вне 0–100%","")))</f>
        <v/>
      </c>
    </row>
    <row r="29">
      <c r="A29" s="17" t="n">
        <v>25</v>
      </c>
      <c r="B29" s="6" t="n"/>
      <c r="C29" s="6" t="n"/>
      <c r="D29" s="18">
        <f>IF(COUNTA(B29:C29)=0,"",IF(OR(AND(B29&lt;&gt;"",NOT(ISNUMBER(B29))),AND(C29&lt;&gt;"",NOT(ISNUMBER(C29)))),"ОШИБКА: доля должна быть числом",IF(OR(B29&lt;0,C29&lt;0,B29&gt;100,C29&gt;100),"ОШИБКА: доля вне 0–100%","")))</f>
        <v/>
      </c>
    </row>
    <row r="30">
      <c r="A30" s="17" t="n">
        <v>26</v>
      </c>
      <c r="B30" s="6" t="n"/>
      <c r="C30" s="6" t="n"/>
      <c r="D30" s="18">
        <f>IF(COUNTA(B30:C30)=0,"",IF(OR(AND(B30&lt;&gt;"",NOT(ISNUMBER(B30))),AND(C30&lt;&gt;"",NOT(ISNUMBER(C30)))),"ОШИБКА: доля должна быть числом",IF(OR(B30&lt;0,C30&lt;0,B30&gt;100,C30&gt;100),"ОШИБКА: доля вне 0–100%","")))</f>
        <v/>
      </c>
    </row>
    <row r="31">
      <c r="A31" s="17" t="n">
        <v>27</v>
      </c>
      <c r="B31" s="6" t="n"/>
      <c r="C31" s="6" t="n"/>
      <c r="D31" s="18">
        <f>IF(COUNTA(B31:C31)=0,"",IF(OR(AND(B31&lt;&gt;"",NOT(ISNUMBER(B31))),AND(C31&lt;&gt;"",NOT(ISNUMBER(C31)))),"ОШИБКА: доля должна быть числом",IF(OR(B31&lt;0,C31&lt;0,B31&gt;100,C31&gt;100),"ОШИБКА: доля вне 0–100%","")))</f>
        <v/>
      </c>
    </row>
    <row r="32">
      <c r="A32" s="17" t="n">
        <v>28</v>
      </c>
      <c r="B32" s="6" t="n"/>
      <c r="C32" s="6" t="n"/>
      <c r="D32" s="18">
        <f>IF(COUNTA(B32:C32)=0,"",IF(OR(AND(B32&lt;&gt;"",NOT(ISNUMBER(B32))),AND(C32&lt;&gt;"",NOT(ISNUMBER(C32)))),"ОШИБКА: доля должна быть числом",IF(OR(B32&lt;0,C32&lt;0,B32&gt;100,C32&gt;100),"ОШИБКА: доля вне 0–100%","")))</f>
        <v/>
      </c>
    </row>
    <row r="33">
      <c r="A33" s="17" t="n">
        <v>29</v>
      </c>
      <c r="B33" s="6" t="n"/>
      <c r="C33" s="6" t="n"/>
      <c r="D33" s="18">
        <f>IF(COUNTA(B33:C33)=0,"",IF(OR(AND(B33&lt;&gt;"",NOT(ISNUMBER(B33))),AND(C33&lt;&gt;"",NOT(ISNUMBER(C33)))),"ОШИБКА: доля должна быть числом",IF(OR(B33&lt;0,C33&lt;0,B33&gt;100,C33&gt;100),"ОШИБКА: доля вне 0–100%","")))</f>
        <v/>
      </c>
    </row>
    <row r="34">
      <c r="A34" s="17" t="n">
        <v>30</v>
      </c>
      <c r="B34" s="6" t="n"/>
      <c r="C34" s="6" t="n"/>
      <c r="D34" s="18">
        <f>IF(COUNTA(B34:C34)=0,"",IF(OR(AND(B34&lt;&gt;"",NOT(ISNUMBER(B34))),AND(C34&lt;&gt;"",NOT(ISNUMBER(C34)))),"ОШИБКА: доля должна быть числом",IF(OR(B34&lt;0,C34&lt;0,B34&gt;100,C34&gt;100),"ОШИБКА: доля вне 0–100%","")))</f>
        <v/>
      </c>
    </row>
    <row r="35">
      <c r="A35" s="17" t="n">
        <v>31</v>
      </c>
      <c r="B35" s="6" t="n"/>
      <c r="C35" s="6" t="n"/>
      <c r="D35" s="18">
        <f>IF(COUNTA(B35:C35)=0,"",IF(OR(AND(B35&lt;&gt;"",NOT(ISNUMBER(B35))),AND(C35&lt;&gt;"",NOT(ISNUMBER(C35)))),"ОШИБКА: доля должна быть числом",IF(OR(B35&lt;0,C35&lt;0,B35&gt;100,C35&gt;100),"ОШИБКА: доля вне 0–100%","")))</f>
        <v/>
      </c>
    </row>
    <row r="36">
      <c r="A36" s="17" t="n">
        <v>32</v>
      </c>
      <c r="B36" s="6" t="n"/>
      <c r="C36" s="6" t="n"/>
      <c r="D36" s="18">
        <f>IF(COUNTA(B36:C36)=0,"",IF(OR(AND(B36&lt;&gt;"",NOT(ISNUMBER(B36))),AND(C36&lt;&gt;"",NOT(ISNUMBER(C36)))),"ОШИБКА: доля должна быть числом",IF(OR(B36&lt;0,C36&lt;0,B36&gt;100,C36&gt;100),"ОШИБКА: доля вне 0–100%","")))</f>
        <v/>
      </c>
    </row>
    <row r="37">
      <c r="A37" s="17" t="n">
        <v>33</v>
      </c>
      <c r="B37" s="6" t="n"/>
      <c r="C37" s="6" t="n"/>
      <c r="D37" s="18">
        <f>IF(COUNTA(B37:C37)=0,"",IF(OR(AND(B37&lt;&gt;"",NOT(ISNUMBER(B37))),AND(C37&lt;&gt;"",NOT(ISNUMBER(C37)))),"ОШИБКА: доля должна быть числом",IF(OR(B37&lt;0,C37&lt;0,B37&gt;100,C37&gt;100),"ОШИБКА: доля вне 0–100%","")))</f>
        <v/>
      </c>
    </row>
    <row r="38">
      <c r="A38" s="17" t="n">
        <v>34</v>
      </c>
      <c r="B38" s="6" t="n"/>
      <c r="C38" s="6" t="n"/>
      <c r="D38" s="18">
        <f>IF(COUNTA(B38:C38)=0,"",IF(OR(AND(B38&lt;&gt;"",NOT(ISNUMBER(B38))),AND(C38&lt;&gt;"",NOT(ISNUMBER(C38)))),"ОШИБКА: доля должна быть числом",IF(OR(B38&lt;0,C38&lt;0,B38&gt;100,C38&gt;100),"ОШИБКА: доля вне 0–100%","")))</f>
        <v/>
      </c>
    </row>
    <row r="39">
      <c r="A39" s="17" t="n">
        <v>35</v>
      </c>
      <c r="B39" s="6" t="n"/>
      <c r="C39" s="6" t="n"/>
      <c r="D39" s="18">
        <f>IF(COUNTA(B39:C39)=0,"",IF(OR(AND(B39&lt;&gt;"",NOT(ISNUMBER(B39))),AND(C39&lt;&gt;"",NOT(ISNUMBER(C39)))),"ОШИБКА: доля должна быть числом",IF(OR(B39&lt;0,C39&lt;0,B39&gt;100,C39&gt;100),"ОШИБКА: доля вне 0–100%","")))</f>
        <v/>
      </c>
    </row>
    <row r="40">
      <c r="A40" s="17" t="n">
        <v>36</v>
      </c>
      <c r="B40" s="6" t="n"/>
      <c r="C40" s="6" t="n"/>
      <c r="D40" s="18">
        <f>IF(COUNTA(B40:C40)=0,"",IF(OR(AND(B40&lt;&gt;"",NOT(ISNUMBER(B40))),AND(C40&lt;&gt;"",NOT(ISNUMBER(C40)))),"ОШИБКА: доля должна быть числом",IF(OR(B40&lt;0,C40&lt;0,B40&gt;100,C40&gt;100),"ОШИБКА: доля вне 0–100%","")))</f>
        <v/>
      </c>
    </row>
    <row r="42" ht="42" customHeight="1">
      <c r="A42" s="9" t="inlineStr">
        <is>
          <t>Итого</t>
        </is>
      </c>
      <c r="B42" s="19">
        <f>ROUND(SUM($B$5:$B$40),4)</f>
        <v/>
      </c>
      <c r="C42" s="19">
        <f>ROUND(SUM($C$5:$C$40),4)</f>
        <v/>
      </c>
      <c r="D42" s="31">
        <f>IF(AND(ROUND($B42,2)=100,ROUND($C42,2)=100),"Сумма долей выполнения в каждом сценарии составляет 100%.","Сумма долей выполнения отличается от 100%: проверьте полноту графика.")</f>
      </c>
    </row>
    <row r="44" ht="46" customHeight="1">
      <c r="A44" s="2" t="inlineStr">
        <is>
          <t xml:space="preserve">Горизонт расчёта составляет 36 месяцев с месячным шагом. Для более длительного проекта подготовьте отдельный график с соответствующим горизонтом. Единицу периода в данном расчёте сохраняйте. Остаток «Начислено, но не поступило» сопоставьте с договорными датами платежей после окончания расчёта.</t>
        </is>
      </c>
    </row>
  </sheetData>
  <mergeCells count="2">
    <mergeCell ref="A2:D2"/>
    <mergeCell ref="A44:D4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А</t>
        </is>
      </c>
    </row>
    <row r="2" ht="46" customHeight="1">
      <c r="A2" s="2" t="inlineStr">
        <is>
          <t>Помесячные денежные потоки. Колонка P показывает противоречия по срокам и суммам; при них итог сравнения блокируется. Возврат удержания ограничен суммой, накопленной к плановой дате оплаты КС.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 xml:space="preserve">Отрицательный остаток</t>
        </is>
      </c>
      <c r="P4" s="3" t="inlineStr">
        <is>
          <t>Проверка</t>
        </is>
      </c>
    </row>
    <row r="5">
      <c r="A5" s="17" t="n">
        <v>1</v>
      </c>
      <c r="B5" s="20">
        <f>IF('Условия'!$B$26&lt;&gt;"Условия заполнены","",ROUND(IFERROR('Условия'!$B$5*INDEX('График КС'!$B$5:$B$40,MATCH($A5,'График КС'!$A$5:$A$40,0))/100,0),2))</f>
        <v/>
      </c>
      <c r="C5" s="20">
        <f>IF('Условия'!$B$26&lt;&gt;"Условия заполнены","",SUMIFS($B$5:$B$40,$A$5:$A$40,"&lt;="&amp;$A5))</f>
        <v/>
      </c>
      <c r="D5" s="21">
        <f>IF('Условия'!$B$26&lt;&gt;"Условия заполнены","",SUMIFS('График КС'!$B$5:$B$40,'График КС'!$A$5:$A$40,"&lt;="&amp;$A5))</f>
        <v/>
      </c>
      <c r="E5" s="20">
        <f>IF('Условия'!$B$26&lt;&gt;"Условия заполнены","",IF('Условия'!$B$25=0,0,IFERROR(MAX(0,MIN('Условия'!$B$23,IF('Условия'!$B$25=1,ROUND('Условия'!$B$23*$D5/'График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КС'!$B$42-'Условия'!$B$9),2))))),0)))</f>
        <v/>
      </c>
      <c r="F5" s="20">
        <f>IF('Условия'!$B$26&lt;&gt;"Условия заполнены","",ROUND($E5,2))</f>
        <v/>
      </c>
      <c r="G5" s="20">
        <f>IF('Условия'!$B$26&lt;&gt;"Условия заполнены","",ROUND($B5*'Условия'!$B$13/100,2))</f>
        <v/>
      </c>
      <c r="H5" s="20">
        <f>IF('Условия'!$B$26&lt;&gt;"Условия заполнены","",ROUND($B5-$F5-$G5,2))</f>
        <v/>
      </c>
      <c r="I5" s="20">
        <f>IF('Условия'!$B$26&lt;&gt;"Условия заполнены","",IF($A5='Условия'!$B$7,'Условия'!$B$23,0))</f>
        <v/>
      </c>
      <c r="J5" s="20">
        <f>IF('Условия'!$B$26&lt;&gt;"Условия заполнены","",IFERROR(INDEX($H$5:$H$40,MATCH($A5-'Условия'!$B$17,$A$5:$A$40,0)),0))</f>
        <v/>
      </c>
      <c r="K5" s="20">
        <f>IF('Условия'!$B$26&lt;&gt;"Условия заполнены","",IF(AND('Условия'!$B$13&gt;0,'Условия'!$B$14&gt;0,$A5='Условия'!$B$14),ROUND(MIN(ROUND(SUM($G$5:$G$40)*'Условия'!$B$15/100,2),SUMIFS($G$5:$G$40,$A$5:$A$40,"&lt;="&amp;($A5-'Условия'!$B$17))),2),0))</f>
        <v/>
      </c>
      <c r="L5" s="20">
        <f>IF('Условия'!$B$26&lt;&gt;"Условия заполнены","",ROUND(SUMIFS($B$5:$B$40,$A$5:$A$40,"&lt;="&amp;($A5+'Условия'!$B$19))*'Условия'!$B$18/100,2)+IF($A5=1,'Условия'!$B$20,0)+IF($A5='Условия'!$B$12,'Условия'!$B$24,0))</f>
        <v/>
      </c>
      <c r="M5" s="20">
        <f>IF('Условия'!$B$26&lt;&gt;"Условия заполнены","",ROUND($I5+$J5+$K5-$L5,2))</f>
        <v/>
      </c>
      <c r="N5" s="20">
        <f>IF('Условия'!$B$26&lt;&gt;"Условия заполнены","",ROUND($M5,2))</f>
        <v/>
      </c>
      <c r="O5" s="22">
        <f>IF('Условия'!$B$26&lt;&gt;"Условия заполнены","",IF($N5&lt;0,$A5,""))</f>
        <v/>
      </c>
      <c r="P5" s="13">
        <f>IF('Условия'!$B$26&lt;&gt;"Условия заполнены","",IF($H5&lt;-0.01,"ОШИБКА: погашение и удержание больше стоимости КС",IF(AND($F5&gt;0.01,$A5&lt;'Условия'!$B$7),"ОШИБКА: аванс погашается до поступления",IF(AND('Условия'!$B$13&gt;0,'Условия'!$B$14&gt;0,$A5='Условия'!$B$14,ROUND(SUM($G$5:$G$40)*'Условия'!$B$15/100,2)&gt;SUMIFS($G$5:$G$40,$A$5:$A$40,"&lt;="&amp;($A5-'Условия'!$B$17))+0.01),"ОШИБКА: возврат больше накопленного удержания",""))))</f>
        <v/>
      </c>
    </row>
    <row r="6">
      <c r="A6" s="17" t="n">
        <v>2</v>
      </c>
      <c r="B6" s="20">
        <f>IF('Условия'!$B$26&lt;&gt;"Условия заполнены","",ROUND(IFERROR('Условия'!$B$5*INDEX('График КС'!$B$5:$B$40,MATCH($A6,'График КС'!$A$5:$A$40,0))/100,0),2))</f>
        <v/>
      </c>
      <c r="C6" s="20">
        <f>IF('Условия'!$B$26&lt;&gt;"Условия заполнены","",SUMIFS($B$5:$B$40,$A$5:$A$40,"&lt;="&amp;$A6))</f>
        <v/>
      </c>
      <c r="D6" s="21">
        <f>IF('Условия'!$B$26&lt;&gt;"Условия заполнены","",SUMIFS('График КС'!$B$5:$B$40,'График КС'!$A$5:$A$40,"&lt;="&amp;$A6))</f>
        <v/>
      </c>
      <c r="E6" s="20">
        <f>IF('Условия'!$B$26&lt;&gt;"Условия заполнены","",IF('Условия'!$B$25=0,0,IFERROR(MAX(0,MIN('Условия'!$B$23,IF('Условия'!$B$25=1,ROUND('Условия'!$B$23*$D6/'График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КС'!$B$42-'Условия'!$B$9),2))))),0)))</f>
        <v/>
      </c>
      <c r="F6" s="20">
        <f>IF('Условия'!$B$26&lt;&gt;"Условия заполнены","",ROUND($E6-$E5,2))</f>
        <v/>
      </c>
      <c r="G6" s="20">
        <f>IF('Условия'!$B$26&lt;&gt;"Условия заполнены","",ROUND($B6*'Условия'!$B$13/100,2))</f>
        <v/>
      </c>
      <c r="H6" s="20">
        <f>IF('Условия'!$B$26&lt;&gt;"Условия заполнены","",ROUND($B6-$F6-$G6,2))</f>
        <v/>
      </c>
      <c r="I6" s="20">
        <f>IF('Условия'!$B$26&lt;&gt;"Условия заполнены","",IF($A6='Условия'!$B$7,'Условия'!$B$23,0))</f>
        <v/>
      </c>
      <c r="J6" s="20">
        <f>IF('Условия'!$B$26&lt;&gt;"Условия заполнены","",IFERROR(INDEX($H$5:$H$40,MATCH($A6-'Условия'!$B$17,$A$5:$A$40,0)),0))</f>
        <v/>
      </c>
      <c r="K6" s="20">
        <f>IF('Условия'!$B$26&lt;&gt;"Условия заполнены","",IF(AND('Условия'!$B$13&gt;0,'Условия'!$B$14&gt;0,$A6='Условия'!$B$14),ROUND(MIN(ROUND(SUM($G$5:$G$40)*'Условия'!$B$15/100,2),SUMIFS($G$5:$G$40,$A$5:$A$40,"&lt;="&amp;($A6-'Условия'!$B$17))),2),0))</f>
        <v/>
      </c>
      <c r="L6" s="20">
        <f>IF('Условия'!$B$26&lt;&gt;"Условия заполнены","",ROUND(IFERROR(INDEX($B$5:$B$40,MATCH($A6+'Условия'!$B$19,$A$5:$A$40,0)),0)*'Условия'!$B$18/100,2)+IF($A6=1,'Условия'!$B$20,0)+IF($A6='Условия'!$B$12,'Условия'!$B$24,0))</f>
        <v/>
      </c>
      <c r="M6" s="20">
        <f>IF('Условия'!$B$26&lt;&gt;"Условия заполнены","",ROUND($I6+$J6+$K6-$L6,2))</f>
        <v/>
      </c>
      <c r="N6" s="20">
        <f>IF('Условия'!$B$26&lt;&gt;"Условия заполнены","",ROUND($N5+$M6,2))</f>
        <v/>
      </c>
      <c r="O6" s="22">
        <f>IF('Условия'!$B$26&lt;&gt;"Условия заполнены","",IF($N6&lt;0,$A6,""))</f>
        <v/>
      </c>
      <c r="P6" s="13">
        <f>IF('Условия'!$B$26&lt;&gt;"Условия заполнены","",IF($H6&lt;-0.01,"ОШИБКА: погашение и удержание больше стоимости КС",IF(AND($F6&gt;0.01,$A6&lt;'Условия'!$B$7),"ОШИБКА: аванс погашается до поступления",IF(AND('Условия'!$B$13&gt;0,'Условия'!$B$14&gt;0,$A6='Условия'!$B$14,ROUND(SUM($G$5:$G$40)*'Условия'!$B$15/100,2)&gt;SUMIFS($G$5:$G$40,$A$5:$A$40,"&lt;="&amp;($A6-'Условия'!$B$17))+0.01),"ОШИБКА: возврат больше накопленного удержания",""))))</f>
        <v/>
      </c>
    </row>
    <row r="7">
      <c r="A7" s="17" t="n">
        <v>3</v>
      </c>
      <c r="B7" s="20">
        <f>IF('Условия'!$B$26&lt;&gt;"Условия заполнены","",ROUND(IFERROR('Условия'!$B$5*INDEX('График КС'!$B$5:$B$40,MATCH($A7,'График КС'!$A$5:$A$40,0))/100,0),2))</f>
        <v/>
      </c>
      <c r="C7" s="20">
        <f>IF('Условия'!$B$26&lt;&gt;"Условия заполнены","",SUMIFS($B$5:$B$40,$A$5:$A$40,"&lt;="&amp;$A7))</f>
        <v/>
      </c>
      <c r="D7" s="21">
        <f>IF('Условия'!$B$26&lt;&gt;"Условия заполнены","",SUMIFS('График КС'!$B$5:$B$40,'График КС'!$A$5:$A$40,"&lt;="&amp;$A7))</f>
        <v/>
      </c>
      <c r="E7" s="20">
        <f>IF('Условия'!$B$26&lt;&gt;"Условия заполнены","",IF('Условия'!$B$25=0,0,IFERROR(MAX(0,MIN('Условия'!$B$23,IF('Условия'!$B$25=1,ROUND('Условия'!$B$23*$D7/'График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КС'!$B$42-'Условия'!$B$9),2))))),0)))</f>
        <v/>
      </c>
      <c r="F7" s="20">
        <f>IF('Условия'!$B$26&lt;&gt;"Условия заполнены","",ROUND($E7-$E6,2))</f>
        <v/>
      </c>
      <c r="G7" s="20">
        <f>IF('Условия'!$B$26&lt;&gt;"Условия заполнены","",ROUND($B7*'Условия'!$B$13/100,2))</f>
        <v/>
      </c>
      <c r="H7" s="20">
        <f>IF('Условия'!$B$26&lt;&gt;"Условия заполнены","",ROUND($B7-$F7-$G7,2))</f>
        <v/>
      </c>
      <c r="I7" s="20">
        <f>IF('Условия'!$B$26&lt;&gt;"Условия заполнены","",IF($A7='Условия'!$B$7,'Условия'!$B$23,0))</f>
        <v/>
      </c>
      <c r="J7" s="20">
        <f>IF('Условия'!$B$26&lt;&gt;"Условия заполнены","",IFERROR(INDEX($H$5:$H$40,MATCH($A7-'Условия'!$B$17,$A$5:$A$40,0)),0))</f>
        <v/>
      </c>
      <c r="K7" s="20">
        <f>IF('Условия'!$B$26&lt;&gt;"Условия заполнены","",IF(AND('Условия'!$B$13&gt;0,'Условия'!$B$14&gt;0,$A7='Условия'!$B$14),ROUND(MIN(ROUND(SUM($G$5:$G$40)*'Условия'!$B$15/100,2),SUMIFS($G$5:$G$40,$A$5:$A$40,"&lt;="&amp;($A7-'Условия'!$B$17))),2),0))</f>
        <v/>
      </c>
      <c r="L7" s="20">
        <f>IF('Условия'!$B$26&lt;&gt;"Условия заполнены","",ROUND(IFERROR(INDEX($B$5:$B$40,MATCH($A7+'Условия'!$B$19,$A$5:$A$40,0)),0)*'Условия'!$B$18/100,2)+IF($A7=1,'Условия'!$B$20,0)+IF($A7='Условия'!$B$12,'Условия'!$B$24,0))</f>
        <v/>
      </c>
      <c r="M7" s="20">
        <f>IF('Условия'!$B$26&lt;&gt;"Условия заполнены","",ROUND($I7+$J7+$K7-$L7,2))</f>
        <v/>
      </c>
      <c r="N7" s="20">
        <f>IF('Условия'!$B$26&lt;&gt;"Условия заполнены","",ROUND($N6+$M7,2))</f>
        <v/>
      </c>
      <c r="O7" s="22">
        <f>IF('Условия'!$B$26&lt;&gt;"Условия заполнены","",IF($N7&lt;0,$A7,""))</f>
        <v/>
      </c>
      <c r="P7" s="13">
        <f>IF('Условия'!$B$26&lt;&gt;"Условия заполнены","",IF($H7&lt;-0.01,"ОШИБКА: погашение и удержание больше стоимости КС",IF(AND($F7&gt;0.01,$A7&lt;'Условия'!$B$7),"ОШИБКА: аванс погашается до поступления",IF(AND('Условия'!$B$13&gt;0,'Условия'!$B$14&gt;0,$A7='Условия'!$B$14,ROUND(SUM($G$5:$G$40)*'Условия'!$B$15/100,2)&gt;SUMIFS($G$5:$G$40,$A$5:$A$40,"&lt;="&amp;($A7-'Условия'!$B$17))+0.01),"ОШИБКА: возврат больше накопленного удержания",""))))</f>
        <v/>
      </c>
    </row>
    <row r="8">
      <c r="A8" s="17" t="n">
        <v>4</v>
      </c>
      <c r="B8" s="20">
        <f>IF('Условия'!$B$26&lt;&gt;"Условия заполнены","",ROUND(IFERROR('Условия'!$B$5*INDEX('График КС'!$B$5:$B$40,MATCH($A8,'График КС'!$A$5:$A$40,0))/100,0),2))</f>
        <v/>
      </c>
      <c r="C8" s="20">
        <f>IF('Условия'!$B$26&lt;&gt;"Условия заполнены","",SUMIFS($B$5:$B$40,$A$5:$A$40,"&lt;="&amp;$A8))</f>
        <v/>
      </c>
      <c r="D8" s="21">
        <f>IF('Условия'!$B$26&lt;&gt;"Условия заполнены","",SUMIFS('График КС'!$B$5:$B$40,'График КС'!$A$5:$A$40,"&lt;="&amp;$A8))</f>
        <v/>
      </c>
      <c r="E8" s="20">
        <f>IF('Условия'!$B$26&lt;&gt;"Условия заполнены","",IF('Условия'!$B$25=0,0,IFERROR(MAX(0,MIN('Условия'!$B$23,IF('Условия'!$B$25=1,ROUND('Условия'!$B$23*$D8/'График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КС'!$B$42-'Условия'!$B$9),2))))),0)))</f>
        <v/>
      </c>
      <c r="F8" s="20">
        <f>IF('Условия'!$B$26&lt;&gt;"Условия заполнены","",ROUND($E8-$E7,2))</f>
        <v/>
      </c>
      <c r="G8" s="20">
        <f>IF('Условия'!$B$26&lt;&gt;"Условия заполнены","",ROUND($B8*'Условия'!$B$13/100,2))</f>
        <v/>
      </c>
      <c r="H8" s="20">
        <f>IF('Условия'!$B$26&lt;&gt;"Условия заполнены","",ROUND($B8-$F8-$G8,2))</f>
        <v/>
      </c>
      <c r="I8" s="20">
        <f>IF('Условия'!$B$26&lt;&gt;"Условия заполнены","",IF($A8='Условия'!$B$7,'Условия'!$B$23,0))</f>
        <v/>
      </c>
      <c r="J8" s="20">
        <f>IF('Условия'!$B$26&lt;&gt;"Условия заполнены","",IFERROR(INDEX($H$5:$H$40,MATCH($A8-'Условия'!$B$17,$A$5:$A$40,0)),0))</f>
        <v/>
      </c>
      <c r="K8" s="20">
        <f>IF('Условия'!$B$26&lt;&gt;"Условия заполнены","",IF(AND('Условия'!$B$13&gt;0,'Условия'!$B$14&gt;0,$A8='Условия'!$B$14),ROUND(MIN(ROUND(SUM($G$5:$G$40)*'Условия'!$B$15/100,2),SUMIFS($G$5:$G$40,$A$5:$A$40,"&lt;="&amp;($A8-'Условия'!$B$17))),2),0))</f>
        <v/>
      </c>
      <c r="L8" s="20">
        <f>IF('Условия'!$B$26&lt;&gt;"Условия заполнены","",ROUND(IFERROR(INDEX($B$5:$B$40,MATCH($A8+'Условия'!$B$19,$A$5:$A$40,0)),0)*'Условия'!$B$18/100,2)+IF($A8=1,'Условия'!$B$20,0)+IF($A8='Условия'!$B$12,'Условия'!$B$24,0))</f>
        <v/>
      </c>
      <c r="M8" s="20">
        <f>IF('Условия'!$B$26&lt;&gt;"Условия заполнены","",ROUND($I8+$J8+$K8-$L8,2))</f>
        <v/>
      </c>
      <c r="N8" s="20">
        <f>IF('Условия'!$B$26&lt;&gt;"Условия заполнены","",ROUND($N7+$M8,2))</f>
        <v/>
      </c>
      <c r="O8" s="22">
        <f>IF('Условия'!$B$26&lt;&gt;"Условия заполнены","",IF($N8&lt;0,$A8,""))</f>
        <v/>
      </c>
      <c r="P8" s="13">
        <f>IF('Условия'!$B$26&lt;&gt;"Условия заполнены","",IF($H8&lt;-0.01,"ОШИБКА: погашение и удержание больше стоимости КС",IF(AND($F8&gt;0.01,$A8&lt;'Условия'!$B$7),"ОШИБКА: аванс погашается до поступления",IF(AND('Условия'!$B$13&gt;0,'Условия'!$B$14&gt;0,$A8='Условия'!$B$14,ROUND(SUM($G$5:$G$40)*'Условия'!$B$15/100,2)&gt;SUMIFS($G$5:$G$40,$A$5:$A$40,"&lt;="&amp;($A8-'Условия'!$B$17))+0.01),"ОШИБКА: возврат больше накопленного удержания",""))))</f>
        <v/>
      </c>
    </row>
    <row r="9">
      <c r="A9" s="17" t="n">
        <v>5</v>
      </c>
      <c r="B9" s="20">
        <f>IF('Условия'!$B$26&lt;&gt;"Условия заполнены","",ROUND(IFERROR('Условия'!$B$5*INDEX('График КС'!$B$5:$B$40,MATCH($A9,'График КС'!$A$5:$A$40,0))/100,0),2))</f>
        <v/>
      </c>
      <c r="C9" s="20">
        <f>IF('Условия'!$B$26&lt;&gt;"Условия заполнены","",SUMIFS($B$5:$B$40,$A$5:$A$40,"&lt;="&amp;$A9))</f>
        <v/>
      </c>
      <c r="D9" s="21">
        <f>IF('Условия'!$B$26&lt;&gt;"Условия заполнены","",SUMIFS('График КС'!$B$5:$B$40,'График КС'!$A$5:$A$40,"&lt;="&amp;$A9))</f>
        <v/>
      </c>
      <c r="E9" s="20">
        <f>IF('Условия'!$B$26&lt;&gt;"Условия заполнены","",IF('Условия'!$B$25=0,0,IFERROR(MAX(0,MIN('Условия'!$B$23,IF('Условия'!$B$25=1,ROUND('Условия'!$B$23*$D9/'График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КС'!$B$42-'Условия'!$B$9),2))))),0)))</f>
        <v/>
      </c>
      <c r="F9" s="20">
        <f>IF('Условия'!$B$26&lt;&gt;"Условия заполнены","",ROUND($E9-$E8,2))</f>
        <v/>
      </c>
      <c r="G9" s="20">
        <f>IF('Условия'!$B$26&lt;&gt;"Условия заполнены","",ROUND($B9*'Условия'!$B$13/100,2))</f>
        <v/>
      </c>
      <c r="H9" s="20">
        <f>IF('Условия'!$B$26&lt;&gt;"Условия заполнены","",ROUND($B9-$F9-$G9,2))</f>
        <v/>
      </c>
      <c r="I9" s="20">
        <f>IF('Условия'!$B$26&lt;&gt;"Условия заполнены","",IF($A9='Условия'!$B$7,'Условия'!$B$23,0))</f>
        <v/>
      </c>
      <c r="J9" s="20">
        <f>IF('Условия'!$B$26&lt;&gt;"Условия заполнены","",IFERROR(INDEX($H$5:$H$40,MATCH($A9-'Условия'!$B$17,$A$5:$A$40,0)),0))</f>
        <v/>
      </c>
      <c r="K9" s="20">
        <f>IF('Условия'!$B$26&lt;&gt;"Условия заполнены","",IF(AND('Условия'!$B$13&gt;0,'Условия'!$B$14&gt;0,$A9='Условия'!$B$14),ROUND(MIN(ROUND(SUM($G$5:$G$40)*'Условия'!$B$15/100,2),SUMIFS($G$5:$G$40,$A$5:$A$40,"&lt;="&amp;($A9-'Условия'!$B$17))),2),0))</f>
        <v/>
      </c>
      <c r="L9" s="20">
        <f>IF('Условия'!$B$26&lt;&gt;"Условия заполнены","",ROUND(IFERROR(INDEX($B$5:$B$40,MATCH($A9+'Условия'!$B$19,$A$5:$A$40,0)),0)*'Условия'!$B$18/100,2)+IF($A9=1,'Условия'!$B$20,0)+IF($A9='Условия'!$B$12,'Условия'!$B$24,0))</f>
        <v/>
      </c>
      <c r="M9" s="20">
        <f>IF('Условия'!$B$26&lt;&gt;"Условия заполнены","",ROUND($I9+$J9+$K9-$L9,2))</f>
        <v/>
      </c>
      <c r="N9" s="20">
        <f>IF('Условия'!$B$26&lt;&gt;"Условия заполнены","",ROUND($N8+$M9,2))</f>
        <v/>
      </c>
      <c r="O9" s="22">
        <f>IF('Условия'!$B$26&lt;&gt;"Условия заполнены","",IF($N9&lt;0,$A9,""))</f>
        <v/>
      </c>
      <c r="P9" s="13">
        <f>IF('Условия'!$B$26&lt;&gt;"Условия заполнены","",IF($H9&lt;-0.01,"ОШИБКА: погашение и удержание больше стоимости КС",IF(AND($F9&gt;0.01,$A9&lt;'Условия'!$B$7),"ОШИБКА: аванс погашается до поступления",IF(AND('Условия'!$B$13&gt;0,'Условия'!$B$14&gt;0,$A9='Условия'!$B$14,ROUND(SUM($G$5:$G$40)*'Условия'!$B$15/100,2)&gt;SUMIFS($G$5:$G$40,$A$5:$A$40,"&lt;="&amp;($A9-'Условия'!$B$17))+0.01),"ОШИБКА: возврат больше накопленного удержания",""))))</f>
        <v/>
      </c>
    </row>
    <row r="10">
      <c r="A10" s="17" t="n">
        <v>6</v>
      </c>
      <c r="B10" s="20">
        <f>IF('Условия'!$B$26&lt;&gt;"Условия заполнены","",ROUND(IFERROR('Условия'!$B$5*INDEX('График КС'!$B$5:$B$40,MATCH($A10,'График КС'!$A$5:$A$40,0))/100,0),2))</f>
        <v/>
      </c>
      <c r="C10" s="20">
        <f>IF('Условия'!$B$26&lt;&gt;"Условия заполнены","",SUMIFS($B$5:$B$40,$A$5:$A$40,"&lt;="&amp;$A10))</f>
        <v/>
      </c>
      <c r="D10" s="21">
        <f>IF('Условия'!$B$26&lt;&gt;"Условия заполнены","",SUMIFS('График КС'!$B$5:$B$40,'График КС'!$A$5:$A$40,"&lt;="&amp;$A10))</f>
        <v/>
      </c>
      <c r="E10" s="20">
        <f>IF('Условия'!$B$26&lt;&gt;"Условия заполнены","",IF('Условия'!$B$25=0,0,IFERROR(MAX(0,MIN('Условия'!$B$23,IF('Условия'!$B$25=1,ROUND('Условия'!$B$23*$D10/'График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КС'!$B$42-'Условия'!$B$9),2))))),0)))</f>
        <v/>
      </c>
      <c r="F10" s="20">
        <f>IF('Условия'!$B$26&lt;&gt;"Условия заполнены","",ROUND($E10-$E9,2))</f>
        <v/>
      </c>
      <c r="G10" s="20">
        <f>IF('Условия'!$B$26&lt;&gt;"Условия заполнены","",ROUND($B10*'Условия'!$B$13/100,2))</f>
        <v/>
      </c>
      <c r="H10" s="20">
        <f>IF('Условия'!$B$26&lt;&gt;"Условия заполнены","",ROUND($B10-$F10-$G10,2))</f>
        <v/>
      </c>
      <c r="I10" s="20">
        <f>IF('Условия'!$B$26&lt;&gt;"Условия заполнены","",IF($A10='Условия'!$B$7,'Условия'!$B$23,0))</f>
        <v/>
      </c>
      <c r="J10" s="20">
        <f>IF('Условия'!$B$26&lt;&gt;"Условия заполнены","",IFERROR(INDEX($H$5:$H$40,MATCH($A10-'Условия'!$B$17,$A$5:$A$40,0)),0))</f>
        <v/>
      </c>
      <c r="K10" s="20">
        <f>IF('Условия'!$B$26&lt;&gt;"Условия заполнены","",IF(AND('Условия'!$B$13&gt;0,'Условия'!$B$14&gt;0,$A10='Условия'!$B$14),ROUND(MIN(ROUND(SUM($G$5:$G$40)*'Условия'!$B$15/100,2),SUMIFS($G$5:$G$40,$A$5:$A$40,"&lt;="&amp;($A10-'Условия'!$B$17))),2),0))</f>
        <v/>
      </c>
      <c r="L10" s="20">
        <f>IF('Условия'!$B$26&lt;&gt;"Условия заполнены","",ROUND(IFERROR(INDEX($B$5:$B$40,MATCH($A10+'Условия'!$B$19,$A$5:$A$40,0)),0)*'Условия'!$B$18/100,2)+IF($A10=1,'Условия'!$B$20,0)+IF($A10='Условия'!$B$12,'Условия'!$B$24,0))</f>
        <v/>
      </c>
      <c r="M10" s="20">
        <f>IF('Условия'!$B$26&lt;&gt;"Условия заполнены","",ROUND($I10+$J10+$K10-$L10,2))</f>
        <v/>
      </c>
      <c r="N10" s="20">
        <f>IF('Условия'!$B$26&lt;&gt;"Условия заполнены","",ROUND($N9+$M10,2))</f>
        <v/>
      </c>
      <c r="O10" s="22">
        <f>IF('Условия'!$B$26&lt;&gt;"Условия заполнены","",IF($N10&lt;0,$A10,""))</f>
        <v/>
      </c>
      <c r="P10" s="13">
        <f>IF('Условия'!$B$26&lt;&gt;"Условия заполнены","",IF($H10&lt;-0.01,"ОШИБКА: погашение и удержание больше стоимости КС",IF(AND($F10&gt;0.01,$A10&lt;'Условия'!$B$7),"ОШИБКА: аванс погашается до поступления",IF(AND('Условия'!$B$13&gt;0,'Условия'!$B$14&gt;0,$A10='Условия'!$B$14,ROUND(SUM($G$5:$G$40)*'Условия'!$B$15/100,2)&gt;SUMIFS($G$5:$G$40,$A$5:$A$40,"&lt;="&amp;($A10-'Условия'!$B$17))+0.01),"ОШИБКА: возврат больше накопленного удержания",""))))</f>
        <v/>
      </c>
    </row>
    <row r="11">
      <c r="A11" s="17" t="n">
        <v>7</v>
      </c>
      <c r="B11" s="20">
        <f>IF('Условия'!$B$26&lt;&gt;"Условия заполнены","",ROUND(IFERROR('Условия'!$B$5*INDEX('График КС'!$B$5:$B$40,MATCH($A11,'График КС'!$A$5:$A$40,0))/100,0),2))</f>
        <v/>
      </c>
      <c r="C11" s="20">
        <f>IF('Условия'!$B$26&lt;&gt;"Условия заполнены","",SUMIFS($B$5:$B$40,$A$5:$A$40,"&lt;="&amp;$A11))</f>
        <v/>
      </c>
      <c r="D11" s="21">
        <f>IF('Условия'!$B$26&lt;&gt;"Условия заполнены","",SUMIFS('График КС'!$B$5:$B$40,'График КС'!$A$5:$A$40,"&lt;="&amp;$A11))</f>
        <v/>
      </c>
      <c r="E11" s="20">
        <f>IF('Условия'!$B$26&lt;&gt;"Условия заполнены","",IF('Условия'!$B$25=0,0,IFERROR(MAX(0,MIN('Условия'!$B$23,IF('Условия'!$B$25=1,ROUND('Условия'!$B$23*$D11/'График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КС'!$B$42-'Условия'!$B$9),2))))),0)))</f>
        <v/>
      </c>
      <c r="F11" s="20">
        <f>IF('Условия'!$B$26&lt;&gt;"Условия заполнены","",ROUND($E11-$E10,2))</f>
        <v/>
      </c>
      <c r="G11" s="20">
        <f>IF('Условия'!$B$26&lt;&gt;"Условия заполнены","",ROUND($B11*'Условия'!$B$13/100,2))</f>
        <v/>
      </c>
      <c r="H11" s="20">
        <f>IF('Условия'!$B$26&lt;&gt;"Условия заполнены","",ROUND($B11-$F11-$G11,2))</f>
        <v/>
      </c>
      <c r="I11" s="20">
        <f>IF('Условия'!$B$26&lt;&gt;"Условия заполнены","",IF($A11='Условия'!$B$7,'Условия'!$B$23,0))</f>
        <v/>
      </c>
      <c r="J11" s="20">
        <f>IF('Условия'!$B$26&lt;&gt;"Условия заполнены","",IFERROR(INDEX($H$5:$H$40,MATCH($A11-'Условия'!$B$17,$A$5:$A$40,0)),0))</f>
        <v/>
      </c>
      <c r="K11" s="20">
        <f>IF('Условия'!$B$26&lt;&gt;"Условия заполнены","",IF(AND('Условия'!$B$13&gt;0,'Условия'!$B$14&gt;0,$A11='Условия'!$B$14),ROUND(MIN(ROUND(SUM($G$5:$G$40)*'Условия'!$B$15/100,2),SUMIFS($G$5:$G$40,$A$5:$A$40,"&lt;="&amp;($A11-'Условия'!$B$17))),2),0))</f>
        <v/>
      </c>
      <c r="L11" s="20">
        <f>IF('Условия'!$B$26&lt;&gt;"Условия заполнены","",ROUND(IFERROR(INDEX($B$5:$B$40,MATCH($A11+'Условия'!$B$19,$A$5:$A$40,0)),0)*'Условия'!$B$18/100,2)+IF($A11=1,'Условия'!$B$20,0)+IF($A11='Условия'!$B$12,'Условия'!$B$24,0))</f>
        <v/>
      </c>
      <c r="M11" s="20">
        <f>IF('Условия'!$B$26&lt;&gt;"Условия заполнены","",ROUND($I11+$J11+$K11-$L11,2))</f>
        <v/>
      </c>
      <c r="N11" s="20">
        <f>IF('Условия'!$B$26&lt;&gt;"Условия заполнены","",ROUND($N10+$M11,2))</f>
        <v/>
      </c>
      <c r="O11" s="22">
        <f>IF('Условия'!$B$26&lt;&gt;"Условия заполнены","",IF($N11&lt;0,$A11,""))</f>
        <v/>
      </c>
      <c r="P11" s="13">
        <f>IF('Условия'!$B$26&lt;&gt;"Условия заполнены","",IF($H11&lt;-0.01,"ОШИБКА: погашение и удержание больше стоимости КС",IF(AND($F11&gt;0.01,$A11&lt;'Условия'!$B$7),"ОШИБКА: аванс погашается до поступления",IF(AND('Условия'!$B$13&gt;0,'Условия'!$B$14&gt;0,$A11='Условия'!$B$14,ROUND(SUM($G$5:$G$40)*'Условия'!$B$15/100,2)&gt;SUMIFS($G$5:$G$40,$A$5:$A$40,"&lt;="&amp;($A11-'Условия'!$B$17))+0.01),"ОШИБКА: возврат больше накопленного удержания",""))))</f>
        <v/>
      </c>
    </row>
    <row r="12">
      <c r="A12" s="17" t="n">
        <v>8</v>
      </c>
      <c r="B12" s="20">
        <f>IF('Условия'!$B$26&lt;&gt;"Условия заполнены","",ROUND(IFERROR('Условия'!$B$5*INDEX('График КС'!$B$5:$B$40,MATCH($A12,'График КС'!$A$5:$A$40,0))/100,0),2))</f>
        <v/>
      </c>
      <c r="C12" s="20">
        <f>IF('Условия'!$B$26&lt;&gt;"Условия заполнены","",SUMIFS($B$5:$B$40,$A$5:$A$40,"&lt;="&amp;$A12))</f>
        <v/>
      </c>
      <c r="D12" s="21">
        <f>IF('Условия'!$B$26&lt;&gt;"Условия заполнены","",SUMIFS('График КС'!$B$5:$B$40,'График КС'!$A$5:$A$40,"&lt;="&amp;$A12))</f>
        <v/>
      </c>
      <c r="E12" s="20">
        <f>IF('Условия'!$B$26&lt;&gt;"Условия заполнены","",IF('Условия'!$B$25=0,0,IFERROR(MAX(0,MIN('Условия'!$B$23,IF('Условия'!$B$25=1,ROUND('Условия'!$B$23*$D12/'График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КС'!$B$42-'Условия'!$B$9),2))))),0)))</f>
        <v/>
      </c>
      <c r="F12" s="20">
        <f>IF('Условия'!$B$26&lt;&gt;"Условия заполнены","",ROUND($E12-$E11,2))</f>
        <v/>
      </c>
      <c r="G12" s="20">
        <f>IF('Условия'!$B$26&lt;&gt;"Условия заполнены","",ROUND($B12*'Условия'!$B$13/100,2))</f>
        <v/>
      </c>
      <c r="H12" s="20">
        <f>IF('Условия'!$B$26&lt;&gt;"Условия заполнены","",ROUND($B12-$F12-$G12,2))</f>
        <v/>
      </c>
      <c r="I12" s="20">
        <f>IF('Условия'!$B$26&lt;&gt;"Условия заполнены","",IF($A12='Условия'!$B$7,'Условия'!$B$23,0))</f>
        <v/>
      </c>
      <c r="J12" s="20">
        <f>IF('Условия'!$B$26&lt;&gt;"Условия заполнены","",IFERROR(INDEX($H$5:$H$40,MATCH($A12-'Условия'!$B$17,$A$5:$A$40,0)),0))</f>
        <v/>
      </c>
      <c r="K12" s="20">
        <f>IF('Условия'!$B$26&lt;&gt;"Условия заполнены","",IF(AND('Условия'!$B$13&gt;0,'Условия'!$B$14&gt;0,$A12='Условия'!$B$14),ROUND(MIN(ROUND(SUM($G$5:$G$40)*'Условия'!$B$15/100,2),SUMIFS($G$5:$G$40,$A$5:$A$40,"&lt;="&amp;($A12-'Условия'!$B$17))),2),0))</f>
        <v/>
      </c>
      <c r="L12" s="20">
        <f>IF('Условия'!$B$26&lt;&gt;"Условия заполнены","",ROUND(IFERROR(INDEX($B$5:$B$40,MATCH($A12+'Условия'!$B$19,$A$5:$A$40,0)),0)*'Условия'!$B$18/100,2)+IF($A12=1,'Условия'!$B$20,0)+IF($A12='Условия'!$B$12,'Условия'!$B$24,0))</f>
        <v/>
      </c>
      <c r="M12" s="20">
        <f>IF('Условия'!$B$26&lt;&gt;"Условия заполнены","",ROUND($I12+$J12+$K12-$L12,2))</f>
        <v/>
      </c>
      <c r="N12" s="20">
        <f>IF('Условия'!$B$26&lt;&gt;"Условия заполнены","",ROUND($N11+$M12,2))</f>
        <v/>
      </c>
      <c r="O12" s="22">
        <f>IF('Условия'!$B$26&lt;&gt;"Условия заполнены","",IF($N12&lt;0,$A12,""))</f>
        <v/>
      </c>
      <c r="P12" s="13">
        <f>IF('Условия'!$B$26&lt;&gt;"Условия заполнены","",IF($H12&lt;-0.01,"ОШИБКА: погашение и удержание больше стоимости КС",IF(AND($F12&gt;0.01,$A12&lt;'Условия'!$B$7),"ОШИБКА: аванс погашается до поступления",IF(AND('Условия'!$B$13&gt;0,'Условия'!$B$14&gt;0,$A12='Условия'!$B$14,ROUND(SUM($G$5:$G$40)*'Условия'!$B$15/100,2)&gt;SUMIFS($G$5:$G$40,$A$5:$A$40,"&lt;="&amp;($A12-'Условия'!$B$17))+0.01),"ОШИБКА: возврат больше накопленного удержания",""))))</f>
        <v/>
      </c>
    </row>
    <row r="13">
      <c r="A13" s="17" t="n">
        <v>9</v>
      </c>
      <c r="B13" s="20">
        <f>IF('Условия'!$B$26&lt;&gt;"Условия заполнены","",ROUND(IFERROR('Условия'!$B$5*INDEX('График КС'!$B$5:$B$40,MATCH($A13,'График КС'!$A$5:$A$40,0))/100,0),2))</f>
        <v/>
      </c>
      <c r="C13" s="20">
        <f>IF('Условия'!$B$26&lt;&gt;"Условия заполнены","",SUMIFS($B$5:$B$40,$A$5:$A$40,"&lt;="&amp;$A13))</f>
        <v/>
      </c>
      <c r="D13" s="21">
        <f>IF('Условия'!$B$26&lt;&gt;"Условия заполнены","",SUMIFS('График КС'!$B$5:$B$40,'График КС'!$A$5:$A$40,"&lt;="&amp;$A13))</f>
        <v/>
      </c>
      <c r="E13" s="20">
        <f>IF('Условия'!$B$26&lt;&gt;"Условия заполнены","",IF('Условия'!$B$25=0,0,IFERROR(MAX(0,MIN('Условия'!$B$23,IF('Условия'!$B$25=1,ROUND('Условия'!$B$23*$D13/'График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КС'!$B$42-'Условия'!$B$9),2))))),0)))</f>
        <v/>
      </c>
      <c r="F13" s="20">
        <f>IF('Условия'!$B$26&lt;&gt;"Условия заполнены","",ROUND($E13-$E12,2))</f>
        <v/>
      </c>
      <c r="G13" s="20">
        <f>IF('Условия'!$B$26&lt;&gt;"Условия заполнены","",ROUND($B13*'Условия'!$B$13/100,2))</f>
        <v/>
      </c>
      <c r="H13" s="20">
        <f>IF('Условия'!$B$26&lt;&gt;"Условия заполнены","",ROUND($B13-$F13-$G13,2))</f>
        <v/>
      </c>
      <c r="I13" s="20">
        <f>IF('Условия'!$B$26&lt;&gt;"Условия заполнены","",IF($A13='Условия'!$B$7,'Условия'!$B$23,0))</f>
        <v/>
      </c>
      <c r="J13" s="20">
        <f>IF('Условия'!$B$26&lt;&gt;"Условия заполнены","",IFERROR(INDEX($H$5:$H$40,MATCH($A13-'Условия'!$B$17,$A$5:$A$40,0)),0))</f>
        <v/>
      </c>
      <c r="K13" s="20">
        <f>IF('Условия'!$B$26&lt;&gt;"Условия заполнены","",IF(AND('Условия'!$B$13&gt;0,'Условия'!$B$14&gt;0,$A13='Условия'!$B$14),ROUND(MIN(ROUND(SUM($G$5:$G$40)*'Условия'!$B$15/100,2),SUMIFS($G$5:$G$40,$A$5:$A$40,"&lt;="&amp;($A13-'Условия'!$B$17))),2),0))</f>
        <v/>
      </c>
      <c r="L13" s="20">
        <f>IF('Условия'!$B$26&lt;&gt;"Условия заполнены","",ROUND(IFERROR(INDEX($B$5:$B$40,MATCH($A13+'Условия'!$B$19,$A$5:$A$40,0)),0)*'Условия'!$B$18/100,2)+IF($A13=1,'Условия'!$B$20,0)+IF($A13='Условия'!$B$12,'Условия'!$B$24,0))</f>
        <v/>
      </c>
      <c r="M13" s="20">
        <f>IF('Условия'!$B$26&lt;&gt;"Условия заполнены","",ROUND($I13+$J13+$K13-$L13,2))</f>
        <v/>
      </c>
      <c r="N13" s="20">
        <f>IF('Условия'!$B$26&lt;&gt;"Условия заполнены","",ROUND($N12+$M13,2))</f>
        <v/>
      </c>
      <c r="O13" s="22">
        <f>IF('Условия'!$B$26&lt;&gt;"Условия заполнены","",IF($N13&lt;0,$A13,""))</f>
        <v/>
      </c>
      <c r="P13" s="13">
        <f>IF('Условия'!$B$26&lt;&gt;"Условия заполнены","",IF($H13&lt;-0.01,"ОШИБКА: погашение и удержание больше стоимости КС",IF(AND($F13&gt;0.01,$A13&lt;'Условия'!$B$7),"ОШИБКА: аванс погашается до поступления",IF(AND('Условия'!$B$13&gt;0,'Условия'!$B$14&gt;0,$A13='Условия'!$B$14,ROUND(SUM($G$5:$G$40)*'Условия'!$B$15/100,2)&gt;SUMIFS($G$5:$G$40,$A$5:$A$40,"&lt;="&amp;($A13-'Условия'!$B$17))+0.01),"ОШИБКА: возврат больше накопленного удержания",""))))</f>
        <v/>
      </c>
    </row>
    <row r="14">
      <c r="A14" s="17" t="n">
        <v>10</v>
      </c>
      <c r="B14" s="20">
        <f>IF('Условия'!$B$26&lt;&gt;"Условия заполнены","",ROUND(IFERROR('Условия'!$B$5*INDEX('График КС'!$B$5:$B$40,MATCH($A14,'График КС'!$A$5:$A$40,0))/100,0),2))</f>
        <v/>
      </c>
      <c r="C14" s="20">
        <f>IF('Условия'!$B$26&lt;&gt;"Условия заполнены","",SUMIFS($B$5:$B$40,$A$5:$A$40,"&lt;="&amp;$A14))</f>
        <v/>
      </c>
      <c r="D14" s="21">
        <f>IF('Условия'!$B$26&lt;&gt;"Условия заполнены","",SUMIFS('График КС'!$B$5:$B$40,'График КС'!$A$5:$A$40,"&lt;="&amp;$A14))</f>
        <v/>
      </c>
      <c r="E14" s="20">
        <f>IF('Условия'!$B$26&lt;&gt;"Условия заполнены","",IF('Условия'!$B$25=0,0,IFERROR(MAX(0,MIN('Условия'!$B$23,IF('Условия'!$B$25=1,ROUND('Условия'!$B$23*$D14/'График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КС'!$B$42-'Условия'!$B$9),2))))),0)))</f>
        <v/>
      </c>
      <c r="F14" s="20">
        <f>IF('Условия'!$B$26&lt;&gt;"Условия заполнены","",ROUND($E14-$E13,2))</f>
        <v/>
      </c>
      <c r="G14" s="20">
        <f>IF('Условия'!$B$26&lt;&gt;"Условия заполнены","",ROUND($B14*'Условия'!$B$13/100,2))</f>
        <v/>
      </c>
      <c r="H14" s="20">
        <f>IF('Условия'!$B$26&lt;&gt;"Условия заполнены","",ROUND($B14-$F14-$G14,2))</f>
        <v/>
      </c>
      <c r="I14" s="20">
        <f>IF('Условия'!$B$26&lt;&gt;"Условия заполнены","",IF($A14='Условия'!$B$7,'Условия'!$B$23,0))</f>
        <v/>
      </c>
      <c r="J14" s="20">
        <f>IF('Условия'!$B$26&lt;&gt;"Условия заполнены","",IFERROR(INDEX($H$5:$H$40,MATCH($A14-'Условия'!$B$17,$A$5:$A$40,0)),0))</f>
        <v/>
      </c>
      <c r="K14" s="20">
        <f>IF('Условия'!$B$26&lt;&gt;"Условия заполнены","",IF(AND('Условия'!$B$13&gt;0,'Условия'!$B$14&gt;0,$A14='Условия'!$B$14),ROUND(MIN(ROUND(SUM($G$5:$G$40)*'Условия'!$B$15/100,2),SUMIFS($G$5:$G$40,$A$5:$A$40,"&lt;="&amp;($A14-'Условия'!$B$17))),2),0))</f>
        <v/>
      </c>
      <c r="L14" s="20">
        <f>IF('Условия'!$B$26&lt;&gt;"Условия заполнены","",ROUND(IFERROR(INDEX($B$5:$B$40,MATCH($A14+'Условия'!$B$19,$A$5:$A$40,0)),0)*'Условия'!$B$18/100,2)+IF($A14=1,'Условия'!$B$20,0)+IF($A14='Условия'!$B$12,'Условия'!$B$24,0))</f>
        <v/>
      </c>
      <c r="M14" s="20">
        <f>IF('Условия'!$B$26&lt;&gt;"Условия заполнены","",ROUND($I14+$J14+$K14-$L14,2))</f>
        <v/>
      </c>
      <c r="N14" s="20">
        <f>IF('Условия'!$B$26&lt;&gt;"Условия заполнены","",ROUND($N13+$M14,2))</f>
        <v/>
      </c>
      <c r="O14" s="22">
        <f>IF('Условия'!$B$26&lt;&gt;"Условия заполнены","",IF($N14&lt;0,$A14,""))</f>
        <v/>
      </c>
      <c r="P14" s="13">
        <f>IF('Условия'!$B$26&lt;&gt;"Условия заполнены","",IF($H14&lt;-0.01,"ОШИБКА: погашение и удержание больше стоимости КС",IF(AND($F14&gt;0.01,$A14&lt;'Условия'!$B$7),"ОШИБКА: аванс погашается до поступления",IF(AND('Условия'!$B$13&gt;0,'Условия'!$B$14&gt;0,$A14='Условия'!$B$14,ROUND(SUM($G$5:$G$40)*'Условия'!$B$15/100,2)&gt;SUMIFS($G$5:$G$40,$A$5:$A$40,"&lt;="&amp;($A14-'Условия'!$B$17))+0.01),"ОШИБКА: возврат больше накопленного удержания",""))))</f>
        <v/>
      </c>
    </row>
    <row r="15">
      <c r="A15" s="17" t="n">
        <v>11</v>
      </c>
      <c r="B15" s="20">
        <f>IF('Условия'!$B$26&lt;&gt;"Условия заполнены","",ROUND(IFERROR('Условия'!$B$5*INDEX('График КС'!$B$5:$B$40,MATCH($A15,'График КС'!$A$5:$A$40,0))/100,0),2))</f>
        <v/>
      </c>
      <c r="C15" s="20">
        <f>IF('Условия'!$B$26&lt;&gt;"Условия заполнены","",SUMIFS($B$5:$B$40,$A$5:$A$40,"&lt;="&amp;$A15))</f>
        <v/>
      </c>
      <c r="D15" s="21">
        <f>IF('Условия'!$B$26&lt;&gt;"Условия заполнены","",SUMIFS('График КС'!$B$5:$B$40,'График КС'!$A$5:$A$40,"&lt;="&amp;$A15))</f>
        <v/>
      </c>
      <c r="E15" s="20">
        <f>IF('Условия'!$B$26&lt;&gt;"Условия заполнены","",IF('Условия'!$B$25=0,0,IFERROR(MAX(0,MIN('Условия'!$B$23,IF('Условия'!$B$25=1,ROUND('Условия'!$B$23*$D15/'График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КС'!$B$42-'Условия'!$B$9),2))))),0)))</f>
        <v/>
      </c>
      <c r="F15" s="20">
        <f>IF('Условия'!$B$26&lt;&gt;"Условия заполнены","",ROUND($E15-$E14,2))</f>
        <v/>
      </c>
      <c r="G15" s="20">
        <f>IF('Условия'!$B$26&lt;&gt;"Условия заполнены","",ROUND($B15*'Условия'!$B$13/100,2))</f>
        <v/>
      </c>
      <c r="H15" s="20">
        <f>IF('Условия'!$B$26&lt;&gt;"Условия заполнены","",ROUND($B15-$F15-$G15,2))</f>
        <v/>
      </c>
      <c r="I15" s="20">
        <f>IF('Условия'!$B$26&lt;&gt;"Условия заполнены","",IF($A15='Условия'!$B$7,'Условия'!$B$23,0))</f>
        <v/>
      </c>
      <c r="J15" s="20">
        <f>IF('Условия'!$B$26&lt;&gt;"Условия заполнены","",IFERROR(INDEX($H$5:$H$40,MATCH($A15-'Условия'!$B$17,$A$5:$A$40,0)),0))</f>
        <v/>
      </c>
      <c r="K15" s="20">
        <f>IF('Условия'!$B$26&lt;&gt;"Условия заполнены","",IF(AND('Условия'!$B$13&gt;0,'Условия'!$B$14&gt;0,$A15='Условия'!$B$14),ROUND(MIN(ROUND(SUM($G$5:$G$40)*'Условия'!$B$15/100,2),SUMIFS($G$5:$G$40,$A$5:$A$40,"&lt;="&amp;($A15-'Условия'!$B$17))),2),0))</f>
        <v/>
      </c>
      <c r="L15" s="20">
        <f>IF('Условия'!$B$26&lt;&gt;"Условия заполнены","",ROUND(IFERROR(INDEX($B$5:$B$40,MATCH($A15+'Условия'!$B$19,$A$5:$A$40,0)),0)*'Условия'!$B$18/100,2)+IF($A15=1,'Условия'!$B$20,0)+IF($A15='Условия'!$B$12,'Условия'!$B$24,0))</f>
        <v/>
      </c>
      <c r="M15" s="20">
        <f>IF('Условия'!$B$26&lt;&gt;"Условия заполнены","",ROUND($I15+$J15+$K15-$L15,2))</f>
        <v/>
      </c>
      <c r="N15" s="20">
        <f>IF('Условия'!$B$26&lt;&gt;"Условия заполнены","",ROUND($N14+$M15,2))</f>
        <v/>
      </c>
      <c r="O15" s="22">
        <f>IF('Условия'!$B$26&lt;&gt;"Условия заполнены","",IF($N15&lt;0,$A15,""))</f>
        <v/>
      </c>
      <c r="P15" s="13">
        <f>IF('Условия'!$B$26&lt;&gt;"Условия заполнены","",IF($H15&lt;-0.01,"ОШИБКА: погашение и удержание больше стоимости КС",IF(AND($F15&gt;0.01,$A15&lt;'Условия'!$B$7),"ОШИБКА: аванс погашается до поступления",IF(AND('Условия'!$B$13&gt;0,'Условия'!$B$14&gt;0,$A15='Условия'!$B$14,ROUND(SUM($G$5:$G$40)*'Условия'!$B$15/100,2)&gt;SUMIFS($G$5:$G$40,$A$5:$A$40,"&lt;="&amp;($A15-'Условия'!$B$17))+0.01),"ОШИБКА: возврат больше накопленного удержания",""))))</f>
        <v/>
      </c>
    </row>
    <row r="16">
      <c r="A16" s="17" t="n">
        <v>12</v>
      </c>
      <c r="B16" s="20">
        <f>IF('Условия'!$B$26&lt;&gt;"Условия заполнены","",ROUND(IFERROR('Условия'!$B$5*INDEX('График КС'!$B$5:$B$40,MATCH($A16,'График КС'!$A$5:$A$40,0))/100,0),2))</f>
        <v/>
      </c>
      <c r="C16" s="20">
        <f>IF('Условия'!$B$26&lt;&gt;"Условия заполнены","",SUMIFS($B$5:$B$40,$A$5:$A$40,"&lt;="&amp;$A16))</f>
        <v/>
      </c>
      <c r="D16" s="21">
        <f>IF('Условия'!$B$26&lt;&gt;"Условия заполнены","",SUMIFS('График КС'!$B$5:$B$40,'График КС'!$A$5:$A$40,"&lt;="&amp;$A16))</f>
        <v/>
      </c>
      <c r="E16" s="20">
        <f>IF('Условия'!$B$26&lt;&gt;"Условия заполнены","",IF('Условия'!$B$25=0,0,IFERROR(MAX(0,MIN('Условия'!$B$23,IF('Условия'!$B$25=1,ROUND('Условия'!$B$23*$D16/'График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КС'!$B$42-'Условия'!$B$9),2))))),0)))</f>
        <v/>
      </c>
      <c r="F16" s="20">
        <f>IF('Условия'!$B$26&lt;&gt;"Условия заполнены","",ROUND($E16-$E15,2))</f>
        <v/>
      </c>
      <c r="G16" s="20">
        <f>IF('Условия'!$B$26&lt;&gt;"Условия заполнены","",ROUND($B16*'Условия'!$B$13/100,2))</f>
        <v/>
      </c>
      <c r="H16" s="20">
        <f>IF('Условия'!$B$26&lt;&gt;"Условия заполнены","",ROUND($B16-$F16-$G16,2))</f>
        <v/>
      </c>
      <c r="I16" s="20">
        <f>IF('Условия'!$B$26&lt;&gt;"Условия заполнены","",IF($A16='Условия'!$B$7,'Условия'!$B$23,0))</f>
        <v/>
      </c>
      <c r="J16" s="20">
        <f>IF('Условия'!$B$26&lt;&gt;"Условия заполнены","",IFERROR(INDEX($H$5:$H$40,MATCH($A16-'Условия'!$B$17,$A$5:$A$40,0)),0))</f>
        <v/>
      </c>
      <c r="K16" s="20">
        <f>IF('Условия'!$B$26&lt;&gt;"Условия заполнены","",IF(AND('Условия'!$B$13&gt;0,'Условия'!$B$14&gt;0,$A16='Условия'!$B$14),ROUND(MIN(ROUND(SUM($G$5:$G$40)*'Условия'!$B$15/100,2),SUMIFS($G$5:$G$40,$A$5:$A$40,"&lt;="&amp;($A16-'Условия'!$B$17))),2),0))</f>
        <v/>
      </c>
      <c r="L16" s="20">
        <f>IF('Условия'!$B$26&lt;&gt;"Условия заполнены","",ROUND(IFERROR(INDEX($B$5:$B$40,MATCH($A16+'Условия'!$B$19,$A$5:$A$40,0)),0)*'Условия'!$B$18/100,2)+IF($A16=1,'Условия'!$B$20,0)+IF($A16='Условия'!$B$12,'Условия'!$B$24,0))</f>
        <v/>
      </c>
      <c r="M16" s="20">
        <f>IF('Условия'!$B$26&lt;&gt;"Условия заполнены","",ROUND($I16+$J16+$K16-$L16,2))</f>
        <v/>
      </c>
      <c r="N16" s="20">
        <f>IF('Условия'!$B$26&lt;&gt;"Условия заполнены","",ROUND($N15+$M16,2))</f>
        <v/>
      </c>
      <c r="O16" s="22">
        <f>IF('Условия'!$B$26&lt;&gt;"Условия заполнены","",IF($N16&lt;0,$A16,""))</f>
        <v/>
      </c>
      <c r="P16" s="13">
        <f>IF('Условия'!$B$26&lt;&gt;"Условия заполнены","",IF($H16&lt;-0.01,"ОШИБКА: погашение и удержание больше стоимости КС",IF(AND($F16&gt;0.01,$A16&lt;'Условия'!$B$7),"ОШИБКА: аванс погашается до поступления",IF(AND('Условия'!$B$13&gt;0,'Условия'!$B$14&gt;0,$A16='Условия'!$B$14,ROUND(SUM($G$5:$G$40)*'Условия'!$B$15/100,2)&gt;SUMIFS($G$5:$G$40,$A$5:$A$40,"&lt;="&amp;($A16-'Условия'!$B$17))+0.01),"ОШИБКА: возврат больше накопленного удержания",""))))</f>
        <v/>
      </c>
    </row>
    <row r="17">
      <c r="A17" s="17" t="n">
        <v>13</v>
      </c>
      <c r="B17" s="20">
        <f>IF('Условия'!$B$26&lt;&gt;"Условия заполнены","",ROUND(IFERROR('Условия'!$B$5*INDEX('График КС'!$B$5:$B$40,MATCH($A17,'График КС'!$A$5:$A$40,0))/100,0),2))</f>
        <v/>
      </c>
      <c r="C17" s="20">
        <f>IF('Условия'!$B$26&lt;&gt;"Условия заполнены","",SUMIFS($B$5:$B$40,$A$5:$A$40,"&lt;="&amp;$A17))</f>
        <v/>
      </c>
      <c r="D17" s="21">
        <f>IF('Условия'!$B$26&lt;&gt;"Условия заполнены","",SUMIFS('График КС'!$B$5:$B$40,'График КС'!$A$5:$A$40,"&lt;="&amp;$A17))</f>
        <v/>
      </c>
      <c r="E17" s="20">
        <f>IF('Условия'!$B$26&lt;&gt;"Условия заполнены","",IF('Условия'!$B$25=0,0,IFERROR(MAX(0,MIN('Условия'!$B$23,IF('Условия'!$B$25=1,ROUND('Условия'!$B$23*$D17/'График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КС'!$B$42-'Условия'!$B$9),2))))),0)))</f>
        <v/>
      </c>
      <c r="F17" s="20">
        <f>IF('Условия'!$B$26&lt;&gt;"Условия заполнены","",ROUND($E17-$E16,2))</f>
        <v/>
      </c>
      <c r="G17" s="20">
        <f>IF('Условия'!$B$26&lt;&gt;"Условия заполнены","",ROUND($B17*'Условия'!$B$13/100,2))</f>
        <v/>
      </c>
      <c r="H17" s="20">
        <f>IF('Условия'!$B$26&lt;&gt;"Условия заполнены","",ROUND($B17-$F17-$G17,2))</f>
        <v/>
      </c>
      <c r="I17" s="20">
        <f>IF('Условия'!$B$26&lt;&gt;"Условия заполнены","",IF($A17='Условия'!$B$7,'Условия'!$B$23,0))</f>
        <v/>
      </c>
      <c r="J17" s="20">
        <f>IF('Условия'!$B$26&lt;&gt;"Условия заполнены","",IFERROR(INDEX($H$5:$H$40,MATCH($A17-'Условия'!$B$17,$A$5:$A$40,0)),0))</f>
        <v/>
      </c>
      <c r="K17" s="20">
        <f>IF('Условия'!$B$26&lt;&gt;"Условия заполнены","",IF(AND('Условия'!$B$13&gt;0,'Условия'!$B$14&gt;0,$A17='Условия'!$B$14),ROUND(MIN(ROUND(SUM($G$5:$G$40)*'Условия'!$B$15/100,2),SUMIFS($G$5:$G$40,$A$5:$A$40,"&lt;="&amp;($A17-'Условия'!$B$17))),2),0))</f>
        <v/>
      </c>
      <c r="L17" s="20">
        <f>IF('Условия'!$B$26&lt;&gt;"Условия заполнены","",ROUND(IFERROR(INDEX($B$5:$B$40,MATCH($A17+'Условия'!$B$19,$A$5:$A$40,0)),0)*'Условия'!$B$18/100,2)+IF($A17=1,'Условия'!$B$20,0)+IF($A17='Условия'!$B$12,'Условия'!$B$24,0))</f>
        <v/>
      </c>
      <c r="M17" s="20">
        <f>IF('Условия'!$B$26&lt;&gt;"Условия заполнены","",ROUND($I17+$J17+$K17-$L17,2))</f>
        <v/>
      </c>
      <c r="N17" s="20">
        <f>IF('Условия'!$B$26&lt;&gt;"Условия заполнены","",ROUND($N16+$M17,2))</f>
        <v/>
      </c>
      <c r="O17" s="22">
        <f>IF('Условия'!$B$26&lt;&gt;"Условия заполнены","",IF($N17&lt;0,$A17,""))</f>
        <v/>
      </c>
      <c r="P17" s="13">
        <f>IF('Условия'!$B$26&lt;&gt;"Условия заполнены","",IF($H17&lt;-0.01,"ОШИБКА: погашение и удержание больше стоимости КС",IF(AND($F17&gt;0.01,$A17&lt;'Условия'!$B$7),"ОШИБКА: аванс погашается до поступления",IF(AND('Условия'!$B$13&gt;0,'Условия'!$B$14&gt;0,$A17='Условия'!$B$14,ROUND(SUM($G$5:$G$40)*'Условия'!$B$15/100,2)&gt;SUMIFS($G$5:$G$40,$A$5:$A$40,"&lt;="&amp;($A17-'Условия'!$B$17))+0.01),"ОШИБКА: возврат больше накопленного удержания",""))))</f>
        <v/>
      </c>
    </row>
    <row r="18">
      <c r="A18" s="17" t="n">
        <v>14</v>
      </c>
      <c r="B18" s="20">
        <f>IF('Условия'!$B$26&lt;&gt;"Условия заполнены","",ROUND(IFERROR('Условия'!$B$5*INDEX('График КС'!$B$5:$B$40,MATCH($A18,'График КС'!$A$5:$A$40,0))/100,0),2))</f>
        <v/>
      </c>
      <c r="C18" s="20">
        <f>IF('Условия'!$B$26&lt;&gt;"Условия заполнены","",SUMIFS($B$5:$B$40,$A$5:$A$40,"&lt;="&amp;$A18))</f>
        <v/>
      </c>
      <c r="D18" s="21">
        <f>IF('Условия'!$B$26&lt;&gt;"Условия заполнены","",SUMIFS('График КС'!$B$5:$B$40,'График КС'!$A$5:$A$40,"&lt;="&amp;$A18))</f>
        <v/>
      </c>
      <c r="E18" s="20">
        <f>IF('Условия'!$B$26&lt;&gt;"Условия заполнены","",IF('Условия'!$B$25=0,0,IFERROR(MAX(0,MIN('Условия'!$B$23,IF('Условия'!$B$25=1,ROUND('Условия'!$B$23*$D18/'График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КС'!$B$42-'Условия'!$B$9),2))))),0)))</f>
        <v/>
      </c>
      <c r="F18" s="20">
        <f>IF('Условия'!$B$26&lt;&gt;"Условия заполнены","",ROUND($E18-$E17,2))</f>
        <v/>
      </c>
      <c r="G18" s="20">
        <f>IF('Условия'!$B$26&lt;&gt;"Условия заполнены","",ROUND($B18*'Условия'!$B$13/100,2))</f>
        <v/>
      </c>
      <c r="H18" s="20">
        <f>IF('Условия'!$B$26&lt;&gt;"Условия заполнены","",ROUND($B18-$F18-$G18,2))</f>
        <v/>
      </c>
      <c r="I18" s="20">
        <f>IF('Условия'!$B$26&lt;&gt;"Условия заполнены","",IF($A18='Условия'!$B$7,'Условия'!$B$23,0))</f>
        <v/>
      </c>
      <c r="J18" s="20">
        <f>IF('Условия'!$B$26&lt;&gt;"Условия заполнены","",IFERROR(INDEX($H$5:$H$40,MATCH($A18-'Условия'!$B$17,$A$5:$A$40,0)),0))</f>
        <v/>
      </c>
      <c r="K18" s="20">
        <f>IF('Условия'!$B$26&lt;&gt;"Условия заполнены","",IF(AND('Условия'!$B$13&gt;0,'Условия'!$B$14&gt;0,$A18='Условия'!$B$14),ROUND(MIN(ROUND(SUM($G$5:$G$40)*'Условия'!$B$15/100,2),SUMIFS($G$5:$G$40,$A$5:$A$40,"&lt;="&amp;($A18-'Условия'!$B$17))),2),0))</f>
        <v/>
      </c>
      <c r="L18" s="20">
        <f>IF('Условия'!$B$26&lt;&gt;"Условия заполнены","",ROUND(IFERROR(INDEX($B$5:$B$40,MATCH($A18+'Условия'!$B$19,$A$5:$A$40,0)),0)*'Условия'!$B$18/100,2)+IF($A18=1,'Условия'!$B$20,0)+IF($A18='Условия'!$B$12,'Условия'!$B$24,0))</f>
        <v/>
      </c>
      <c r="M18" s="20">
        <f>IF('Условия'!$B$26&lt;&gt;"Условия заполнены","",ROUND($I18+$J18+$K18-$L18,2))</f>
        <v/>
      </c>
      <c r="N18" s="20">
        <f>IF('Условия'!$B$26&lt;&gt;"Условия заполнены","",ROUND($N17+$M18,2))</f>
        <v/>
      </c>
      <c r="O18" s="22">
        <f>IF('Условия'!$B$26&lt;&gt;"Условия заполнены","",IF($N18&lt;0,$A18,""))</f>
        <v/>
      </c>
      <c r="P18" s="13">
        <f>IF('Условия'!$B$26&lt;&gt;"Условия заполнены","",IF($H18&lt;-0.01,"ОШИБКА: погашение и удержание больше стоимости КС",IF(AND($F18&gt;0.01,$A18&lt;'Условия'!$B$7),"ОШИБКА: аванс погашается до поступления",IF(AND('Условия'!$B$13&gt;0,'Условия'!$B$14&gt;0,$A18='Условия'!$B$14,ROUND(SUM($G$5:$G$40)*'Условия'!$B$15/100,2)&gt;SUMIFS($G$5:$G$40,$A$5:$A$40,"&lt;="&amp;($A18-'Условия'!$B$17))+0.01),"ОШИБКА: возврат больше накопленного удержания",""))))</f>
        <v/>
      </c>
    </row>
    <row r="19">
      <c r="A19" s="17" t="n">
        <v>15</v>
      </c>
      <c r="B19" s="20">
        <f>IF('Условия'!$B$26&lt;&gt;"Условия заполнены","",ROUND(IFERROR('Условия'!$B$5*INDEX('График КС'!$B$5:$B$40,MATCH($A19,'График КС'!$A$5:$A$40,0))/100,0),2))</f>
        <v/>
      </c>
      <c r="C19" s="20">
        <f>IF('Условия'!$B$26&lt;&gt;"Условия заполнены","",SUMIFS($B$5:$B$40,$A$5:$A$40,"&lt;="&amp;$A19))</f>
        <v/>
      </c>
      <c r="D19" s="21">
        <f>IF('Условия'!$B$26&lt;&gt;"Условия заполнены","",SUMIFS('График КС'!$B$5:$B$40,'График КС'!$A$5:$A$40,"&lt;="&amp;$A19))</f>
        <v/>
      </c>
      <c r="E19" s="20">
        <f>IF('Условия'!$B$26&lt;&gt;"Условия заполнены","",IF('Условия'!$B$25=0,0,IFERROR(MAX(0,MIN('Условия'!$B$23,IF('Условия'!$B$25=1,ROUND('Условия'!$B$23*$D19/'График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КС'!$B$42-'Условия'!$B$9),2))))),0)))</f>
        <v/>
      </c>
      <c r="F19" s="20">
        <f>IF('Условия'!$B$26&lt;&gt;"Условия заполнены","",ROUND($E19-$E18,2))</f>
        <v/>
      </c>
      <c r="G19" s="20">
        <f>IF('Условия'!$B$26&lt;&gt;"Условия заполнены","",ROUND($B19*'Условия'!$B$13/100,2))</f>
        <v/>
      </c>
      <c r="H19" s="20">
        <f>IF('Условия'!$B$26&lt;&gt;"Условия заполнены","",ROUND($B19-$F19-$G19,2))</f>
        <v/>
      </c>
      <c r="I19" s="20">
        <f>IF('Условия'!$B$26&lt;&gt;"Условия заполнены","",IF($A19='Условия'!$B$7,'Условия'!$B$23,0))</f>
        <v/>
      </c>
      <c r="J19" s="20">
        <f>IF('Условия'!$B$26&lt;&gt;"Условия заполнены","",IFERROR(INDEX($H$5:$H$40,MATCH($A19-'Условия'!$B$17,$A$5:$A$40,0)),0))</f>
        <v/>
      </c>
      <c r="K19" s="20">
        <f>IF('Условия'!$B$26&lt;&gt;"Условия заполнены","",IF(AND('Условия'!$B$13&gt;0,'Условия'!$B$14&gt;0,$A19='Условия'!$B$14),ROUND(MIN(ROUND(SUM($G$5:$G$40)*'Условия'!$B$15/100,2),SUMIFS($G$5:$G$40,$A$5:$A$40,"&lt;="&amp;($A19-'Условия'!$B$17))),2),0))</f>
        <v/>
      </c>
      <c r="L19" s="20">
        <f>IF('Условия'!$B$26&lt;&gt;"Условия заполнены","",ROUND(IFERROR(INDEX($B$5:$B$40,MATCH($A19+'Условия'!$B$19,$A$5:$A$40,0)),0)*'Условия'!$B$18/100,2)+IF($A19=1,'Условия'!$B$20,0)+IF($A19='Условия'!$B$12,'Условия'!$B$24,0))</f>
        <v/>
      </c>
      <c r="M19" s="20">
        <f>IF('Условия'!$B$26&lt;&gt;"Условия заполнены","",ROUND($I19+$J19+$K19-$L19,2))</f>
        <v/>
      </c>
      <c r="N19" s="20">
        <f>IF('Условия'!$B$26&lt;&gt;"Условия заполнены","",ROUND($N18+$M19,2))</f>
        <v/>
      </c>
      <c r="O19" s="22">
        <f>IF('Условия'!$B$26&lt;&gt;"Условия заполнены","",IF($N19&lt;0,$A19,""))</f>
        <v/>
      </c>
      <c r="P19" s="13">
        <f>IF('Условия'!$B$26&lt;&gt;"Условия заполнены","",IF($H19&lt;-0.01,"ОШИБКА: погашение и удержание больше стоимости КС",IF(AND($F19&gt;0.01,$A19&lt;'Условия'!$B$7),"ОШИБКА: аванс погашается до поступления",IF(AND('Условия'!$B$13&gt;0,'Условия'!$B$14&gt;0,$A19='Условия'!$B$14,ROUND(SUM($G$5:$G$40)*'Условия'!$B$15/100,2)&gt;SUMIFS($G$5:$G$40,$A$5:$A$40,"&lt;="&amp;($A19-'Условия'!$B$17))+0.01),"ОШИБКА: возврат больше накопленного удержания",""))))</f>
        <v/>
      </c>
    </row>
    <row r="20">
      <c r="A20" s="17" t="n">
        <v>16</v>
      </c>
      <c r="B20" s="20">
        <f>IF('Условия'!$B$26&lt;&gt;"Условия заполнены","",ROUND(IFERROR('Условия'!$B$5*INDEX('График КС'!$B$5:$B$40,MATCH($A20,'График КС'!$A$5:$A$40,0))/100,0),2))</f>
        <v/>
      </c>
      <c r="C20" s="20">
        <f>IF('Условия'!$B$26&lt;&gt;"Условия заполнены","",SUMIFS($B$5:$B$40,$A$5:$A$40,"&lt;="&amp;$A20))</f>
        <v/>
      </c>
      <c r="D20" s="21">
        <f>IF('Условия'!$B$26&lt;&gt;"Условия заполнены","",SUMIFS('График КС'!$B$5:$B$40,'График КС'!$A$5:$A$40,"&lt;="&amp;$A20))</f>
        <v/>
      </c>
      <c r="E20" s="20">
        <f>IF('Условия'!$B$26&lt;&gt;"Условия заполнены","",IF('Условия'!$B$25=0,0,IFERROR(MAX(0,MIN('Условия'!$B$23,IF('Условия'!$B$25=1,ROUND('Условия'!$B$23*$D20/'График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КС'!$B$42-'Условия'!$B$9),2))))),0)))</f>
        <v/>
      </c>
      <c r="F20" s="20">
        <f>IF('Условия'!$B$26&lt;&gt;"Условия заполнены","",ROUND($E20-$E19,2))</f>
        <v/>
      </c>
      <c r="G20" s="20">
        <f>IF('Условия'!$B$26&lt;&gt;"Условия заполнены","",ROUND($B20*'Условия'!$B$13/100,2))</f>
        <v/>
      </c>
      <c r="H20" s="20">
        <f>IF('Условия'!$B$26&lt;&gt;"Условия заполнены","",ROUND($B20-$F20-$G20,2))</f>
        <v/>
      </c>
      <c r="I20" s="20">
        <f>IF('Условия'!$B$26&lt;&gt;"Условия заполнены","",IF($A20='Условия'!$B$7,'Условия'!$B$23,0))</f>
        <v/>
      </c>
      <c r="J20" s="20">
        <f>IF('Условия'!$B$26&lt;&gt;"Условия заполнены","",IFERROR(INDEX($H$5:$H$40,MATCH($A20-'Условия'!$B$17,$A$5:$A$40,0)),0))</f>
        <v/>
      </c>
      <c r="K20" s="20">
        <f>IF('Условия'!$B$26&lt;&gt;"Условия заполнены","",IF(AND('Условия'!$B$13&gt;0,'Условия'!$B$14&gt;0,$A20='Условия'!$B$14),ROUND(MIN(ROUND(SUM($G$5:$G$40)*'Условия'!$B$15/100,2),SUMIFS($G$5:$G$40,$A$5:$A$40,"&lt;="&amp;($A20-'Условия'!$B$17))),2),0))</f>
        <v/>
      </c>
      <c r="L20" s="20">
        <f>IF('Условия'!$B$26&lt;&gt;"Условия заполнены","",ROUND(IFERROR(INDEX($B$5:$B$40,MATCH($A20+'Условия'!$B$19,$A$5:$A$40,0)),0)*'Условия'!$B$18/100,2)+IF($A20=1,'Условия'!$B$20,0)+IF($A20='Условия'!$B$12,'Условия'!$B$24,0))</f>
        <v/>
      </c>
      <c r="M20" s="20">
        <f>IF('Условия'!$B$26&lt;&gt;"Условия заполнены","",ROUND($I20+$J20+$K20-$L20,2))</f>
        <v/>
      </c>
      <c r="N20" s="20">
        <f>IF('Условия'!$B$26&lt;&gt;"Условия заполнены","",ROUND($N19+$M20,2))</f>
        <v/>
      </c>
      <c r="O20" s="22">
        <f>IF('Условия'!$B$26&lt;&gt;"Условия заполнены","",IF($N20&lt;0,$A20,""))</f>
        <v/>
      </c>
      <c r="P20" s="13">
        <f>IF('Условия'!$B$26&lt;&gt;"Условия заполнены","",IF($H20&lt;-0.01,"ОШИБКА: погашение и удержание больше стоимости КС",IF(AND($F20&gt;0.01,$A20&lt;'Условия'!$B$7),"ОШИБКА: аванс погашается до поступления",IF(AND('Условия'!$B$13&gt;0,'Условия'!$B$14&gt;0,$A20='Условия'!$B$14,ROUND(SUM($G$5:$G$40)*'Условия'!$B$15/100,2)&gt;SUMIFS($G$5:$G$40,$A$5:$A$40,"&lt;="&amp;($A20-'Условия'!$B$17))+0.01),"ОШИБКА: возврат больше накопленного удержания",""))))</f>
        <v/>
      </c>
    </row>
    <row r="21">
      <c r="A21" s="17" t="n">
        <v>17</v>
      </c>
      <c r="B21" s="20">
        <f>IF('Условия'!$B$26&lt;&gt;"Условия заполнены","",ROUND(IFERROR('Условия'!$B$5*INDEX('График КС'!$B$5:$B$40,MATCH($A21,'График КС'!$A$5:$A$40,0))/100,0),2))</f>
        <v/>
      </c>
      <c r="C21" s="20">
        <f>IF('Условия'!$B$26&lt;&gt;"Условия заполнены","",SUMIFS($B$5:$B$40,$A$5:$A$40,"&lt;="&amp;$A21))</f>
        <v/>
      </c>
      <c r="D21" s="21">
        <f>IF('Условия'!$B$26&lt;&gt;"Условия заполнены","",SUMIFS('График КС'!$B$5:$B$40,'График КС'!$A$5:$A$40,"&lt;="&amp;$A21))</f>
        <v/>
      </c>
      <c r="E21" s="20">
        <f>IF('Условия'!$B$26&lt;&gt;"Условия заполнены","",IF('Условия'!$B$25=0,0,IFERROR(MAX(0,MIN('Условия'!$B$23,IF('Условия'!$B$25=1,ROUND('Условия'!$B$23*$D21/'График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КС'!$B$42-'Условия'!$B$9),2))))),0)))</f>
        <v/>
      </c>
      <c r="F21" s="20">
        <f>IF('Условия'!$B$26&lt;&gt;"Условия заполнены","",ROUND($E21-$E20,2))</f>
        <v/>
      </c>
      <c r="G21" s="20">
        <f>IF('Условия'!$B$26&lt;&gt;"Условия заполнены","",ROUND($B21*'Условия'!$B$13/100,2))</f>
        <v/>
      </c>
      <c r="H21" s="20">
        <f>IF('Условия'!$B$26&lt;&gt;"Условия заполнены","",ROUND($B21-$F21-$G21,2))</f>
        <v/>
      </c>
      <c r="I21" s="20">
        <f>IF('Условия'!$B$26&lt;&gt;"Условия заполнены","",IF($A21='Условия'!$B$7,'Условия'!$B$23,0))</f>
        <v/>
      </c>
      <c r="J21" s="20">
        <f>IF('Условия'!$B$26&lt;&gt;"Условия заполнены","",IFERROR(INDEX($H$5:$H$40,MATCH($A21-'Условия'!$B$17,$A$5:$A$40,0)),0))</f>
        <v/>
      </c>
      <c r="K21" s="20">
        <f>IF('Условия'!$B$26&lt;&gt;"Условия заполнены","",IF(AND('Условия'!$B$13&gt;0,'Условия'!$B$14&gt;0,$A21='Условия'!$B$14),ROUND(MIN(ROUND(SUM($G$5:$G$40)*'Условия'!$B$15/100,2),SUMIFS($G$5:$G$40,$A$5:$A$40,"&lt;="&amp;($A21-'Условия'!$B$17))),2),0))</f>
        <v/>
      </c>
      <c r="L21" s="20">
        <f>IF('Условия'!$B$26&lt;&gt;"Условия заполнены","",ROUND(IFERROR(INDEX($B$5:$B$40,MATCH($A21+'Условия'!$B$19,$A$5:$A$40,0)),0)*'Условия'!$B$18/100,2)+IF($A21=1,'Условия'!$B$20,0)+IF($A21='Условия'!$B$12,'Условия'!$B$24,0))</f>
        <v/>
      </c>
      <c r="M21" s="20">
        <f>IF('Условия'!$B$26&lt;&gt;"Условия заполнены","",ROUND($I21+$J21+$K21-$L21,2))</f>
        <v/>
      </c>
      <c r="N21" s="20">
        <f>IF('Условия'!$B$26&lt;&gt;"Условия заполнены","",ROUND($N20+$M21,2))</f>
        <v/>
      </c>
      <c r="O21" s="22">
        <f>IF('Условия'!$B$26&lt;&gt;"Условия заполнены","",IF($N21&lt;0,$A21,""))</f>
        <v/>
      </c>
      <c r="P21" s="13">
        <f>IF('Условия'!$B$26&lt;&gt;"Условия заполнены","",IF($H21&lt;-0.01,"ОШИБКА: погашение и удержание больше стоимости КС",IF(AND($F21&gt;0.01,$A21&lt;'Условия'!$B$7),"ОШИБКА: аванс погашается до поступления",IF(AND('Условия'!$B$13&gt;0,'Условия'!$B$14&gt;0,$A21='Условия'!$B$14,ROUND(SUM($G$5:$G$40)*'Условия'!$B$15/100,2)&gt;SUMIFS($G$5:$G$40,$A$5:$A$40,"&lt;="&amp;($A21-'Условия'!$B$17))+0.01),"ОШИБКА: возврат больше накопленного удержания",""))))</f>
        <v/>
      </c>
    </row>
    <row r="22">
      <c r="A22" s="17" t="n">
        <v>18</v>
      </c>
      <c r="B22" s="20">
        <f>IF('Условия'!$B$26&lt;&gt;"Условия заполнены","",ROUND(IFERROR('Условия'!$B$5*INDEX('График КС'!$B$5:$B$40,MATCH($A22,'График КС'!$A$5:$A$40,0))/100,0),2))</f>
        <v/>
      </c>
      <c r="C22" s="20">
        <f>IF('Условия'!$B$26&lt;&gt;"Условия заполнены","",SUMIFS($B$5:$B$40,$A$5:$A$40,"&lt;="&amp;$A22))</f>
        <v/>
      </c>
      <c r="D22" s="21">
        <f>IF('Условия'!$B$26&lt;&gt;"Условия заполнены","",SUMIFS('График КС'!$B$5:$B$40,'График КС'!$A$5:$A$40,"&lt;="&amp;$A22))</f>
        <v/>
      </c>
      <c r="E22" s="20">
        <f>IF('Условия'!$B$26&lt;&gt;"Условия заполнены","",IF('Условия'!$B$25=0,0,IFERROR(MAX(0,MIN('Условия'!$B$23,IF('Условия'!$B$25=1,ROUND('Условия'!$B$23*$D22/'График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КС'!$B$42-'Условия'!$B$9),2))))),0)))</f>
        <v/>
      </c>
      <c r="F22" s="20">
        <f>IF('Условия'!$B$26&lt;&gt;"Условия заполнены","",ROUND($E22-$E21,2))</f>
        <v/>
      </c>
      <c r="G22" s="20">
        <f>IF('Условия'!$B$26&lt;&gt;"Условия заполнены","",ROUND($B22*'Условия'!$B$13/100,2))</f>
        <v/>
      </c>
      <c r="H22" s="20">
        <f>IF('Условия'!$B$26&lt;&gt;"Условия заполнены","",ROUND($B22-$F22-$G22,2))</f>
        <v/>
      </c>
      <c r="I22" s="20">
        <f>IF('Условия'!$B$26&lt;&gt;"Условия заполнены","",IF($A22='Условия'!$B$7,'Условия'!$B$23,0))</f>
        <v/>
      </c>
      <c r="J22" s="20">
        <f>IF('Условия'!$B$26&lt;&gt;"Условия заполнены","",IFERROR(INDEX($H$5:$H$40,MATCH($A22-'Условия'!$B$17,$A$5:$A$40,0)),0))</f>
        <v/>
      </c>
      <c r="K22" s="20">
        <f>IF('Условия'!$B$26&lt;&gt;"Условия заполнены","",IF(AND('Условия'!$B$13&gt;0,'Условия'!$B$14&gt;0,$A22='Условия'!$B$14),ROUND(MIN(ROUND(SUM($G$5:$G$40)*'Условия'!$B$15/100,2),SUMIFS($G$5:$G$40,$A$5:$A$40,"&lt;="&amp;($A22-'Условия'!$B$17))),2),0))</f>
        <v/>
      </c>
      <c r="L22" s="20">
        <f>IF('Условия'!$B$26&lt;&gt;"Условия заполнены","",ROUND(IFERROR(INDEX($B$5:$B$40,MATCH($A22+'Условия'!$B$19,$A$5:$A$40,0)),0)*'Условия'!$B$18/100,2)+IF($A22=1,'Условия'!$B$20,0)+IF($A22='Условия'!$B$12,'Условия'!$B$24,0))</f>
        <v/>
      </c>
      <c r="M22" s="20">
        <f>IF('Условия'!$B$26&lt;&gt;"Условия заполнены","",ROUND($I22+$J22+$K22-$L22,2))</f>
        <v/>
      </c>
      <c r="N22" s="20">
        <f>IF('Условия'!$B$26&lt;&gt;"Условия заполнены","",ROUND($N21+$M22,2))</f>
        <v/>
      </c>
      <c r="O22" s="22">
        <f>IF('Условия'!$B$26&lt;&gt;"Условия заполнены","",IF($N22&lt;0,$A22,""))</f>
        <v/>
      </c>
      <c r="P22" s="13">
        <f>IF('Условия'!$B$26&lt;&gt;"Условия заполнены","",IF($H22&lt;-0.01,"ОШИБКА: погашение и удержание больше стоимости КС",IF(AND($F22&gt;0.01,$A22&lt;'Условия'!$B$7),"ОШИБКА: аванс погашается до поступления",IF(AND('Условия'!$B$13&gt;0,'Условия'!$B$14&gt;0,$A22='Условия'!$B$14,ROUND(SUM($G$5:$G$40)*'Условия'!$B$15/100,2)&gt;SUMIFS($G$5:$G$40,$A$5:$A$40,"&lt;="&amp;($A22-'Условия'!$B$17))+0.01),"ОШИБКА: возврат больше накопленного удержания",""))))</f>
        <v/>
      </c>
    </row>
    <row r="23">
      <c r="A23" s="17" t="n">
        <v>19</v>
      </c>
      <c r="B23" s="20">
        <f>IF('Условия'!$B$26&lt;&gt;"Условия заполнены","",ROUND(IFERROR('Условия'!$B$5*INDEX('График КС'!$B$5:$B$40,MATCH($A23,'График КС'!$A$5:$A$40,0))/100,0),2))</f>
        <v/>
      </c>
      <c r="C23" s="20">
        <f>IF('Условия'!$B$26&lt;&gt;"Условия заполнены","",SUMIFS($B$5:$B$40,$A$5:$A$40,"&lt;="&amp;$A23))</f>
        <v/>
      </c>
      <c r="D23" s="21">
        <f>IF('Условия'!$B$26&lt;&gt;"Условия заполнены","",SUMIFS('График КС'!$B$5:$B$40,'График КС'!$A$5:$A$40,"&lt;="&amp;$A23))</f>
        <v/>
      </c>
      <c r="E23" s="20">
        <f>IF('Условия'!$B$26&lt;&gt;"Условия заполнены","",IF('Условия'!$B$25=0,0,IFERROR(MAX(0,MIN('Условия'!$B$23,IF('Условия'!$B$25=1,ROUND('Условия'!$B$23*$D23/'График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КС'!$B$42-'Условия'!$B$9),2))))),0)))</f>
        <v/>
      </c>
      <c r="F23" s="20">
        <f>IF('Условия'!$B$26&lt;&gt;"Условия заполнены","",ROUND($E23-$E22,2))</f>
        <v/>
      </c>
      <c r="G23" s="20">
        <f>IF('Условия'!$B$26&lt;&gt;"Условия заполнены","",ROUND($B23*'Условия'!$B$13/100,2))</f>
        <v/>
      </c>
      <c r="H23" s="20">
        <f>IF('Условия'!$B$26&lt;&gt;"Условия заполнены","",ROUND($B23-$F23-$G23,2))</f>
        <v/>
      </c>
      <c r="I23" s="20">
        <f>IF('Условия'!$B$26&lt;&gt;"Условия заполнены","",IF($A23='Условия'!$B$7,'Условия'!$B$23,0))</f>
        <v/>
      </c>
      <c r="J23" s="20">
        <f>IF('Условия'!$B$26&lt;&gt;"Условия заполнены","",IFERROR(INDEX($H$5:$H$40,MATCH($A23-'Условия'!$B$17,$A$5:$A$40,0)),0))</f>
        <v/>
      </c>
      <c r="K23" s="20">
        <f>IF('Условия'!$B$26&lt;&gt;"Условия заполнены","",IF(AND('Условия'!$B$13&gt;0,'Условия'!$B$14&gt;0,$A23='Условия'!$B$14),ROUND(MIN(ROUND(SUM($G$5:$G$40)*'Условия'!$B$15/100,2),SUMIFS($G$5:$G$40,$A$5:$A$40,"&lt;="&amp;($A23-'Условия'!$B$17))),2),0))</f>
        <v/>
      </c>
      <c r="L23" s="20">
        <f>IF('Условия'!$B$26&lt;&gt;"Условия заполнены","",ROUND(IFERROR(INDEX($B$5:$B$40,MATCH($A23+'Условия'!$B$19,$A$5:$A$40,0)),0)*'Условия'!$B$18/100,2)+IF($A23=1,'Условия'!$B$20,0)+IF($A23='Условия'!$B$12,'Условия'!$B$24,0))</f>
        <v/>
      </c>
      <c r="M23" s="20">
        <f>IF('Условия'!$B$26&lt;&gt;"Условия заполнены","",ROUND($I23+$J23+$K23-$L23,2))</f>
        <v/>
      </c>
      <c r="N23" s="20">
        <f>IF('Условия'!$B$26&lt;&gt;"Условия заполнены","",ROUND($N22+$M23,2))</f>
        <v/>
      </c>
      <c r="O23" s="22">
        <f>IF('Условия'!$B$26&lt;&gt;"Условия заполнены","",IF($N23&lt;0,$A23,""))</f>
        <v/>
      </c>
      <c r="P23" s="13">
        <f>IF('Условия'!$B$26&lt;&gt;"Условия заполнены","",IF($H23&lt;-0.01,"ОШИБКА: погашение и удержание больше стоимости КС",IF(AND($F23&gt;0.01,$A23&lt;'Условия'!$B$7),"ОШИБКА: аванс погашается до поступления",IF(AND('Условия'!$B$13&gt;0,'Условия'!$B$14&gt;0,$A23='Условия'!$B$14,ROUND(SUM($G$5:$G$40)*'Условия'!$B$15/100,2)&gt;SUMIFS($G$5:$G$40,$A$5:$A$40,"&lt;="&amp;($A23-'Условия'!$B$17))+0.01),"ОШИБКА: возврат больше накопленного удержания",""))))</f>
        <v/>
      </c>
    </row>
    <row r="24">
      <c r="A24" s="17" t="n">
        <v>20</v>
      </c>
      <c r="B24" s="20">
        <f>IF('Условия'!$B$26&lt;&gt;"Условия заполнены","",ROUND(IFERROR('Условия'!$B$5*INDEX('График КС'!$B$5:$B$40,MATCH($A24,'График КС'!$A$5:$A$40,0))/100,0),2))</f>
        <v/>
      </c>
      <c r="C24" s="20">
        <f>IF('Условия'!$B$26&lt;&gt;"Условия заполнены","",SUMIFS($B$5:$B$40,$A$5:$A$40,"&lt;="&amp;$A24))</f>
        <v/>
      </c>
      <c r="D24" s="21">
        <f>IF('Условия'!$B$26&lt;&gt;"Условия заполнены","",SUMIFS('График КС'!$B$5:$B$40,'График КС'!$A$5:$A$40,"&lt;="&amp;$A24))</f>
        <v/>
      </c>
      <c r="E24" s="20">
        <f>IF('Условия'!$B$26&lt;&gt;"Условия заполнены","",IF('Условия'!$B$25=0,0,IFERROR(MAX(0,MIN('Условия'!$B$23,IF('Условия'!$B$25=1,ROUND('Условия'!$B$23*$D24/'График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КС'!$B$42-'Условия'!$B$9),2))))),0)))</f>
        <v/>
      </c>
      <c r="F24" s="20">
        <f>IF('Условия'!$B$26&lt;&gt;"Условия заполнены","",ROUND($E24-$E23,2))</f>
        <v/>
      </c>
      <c r="G24" s="20">
        <f>IF('Условия'!$B$26&lt;&gt;"Условия заполнены","",ROUND($B24*'Условия'!$B$13/100,2))</f>
        <v/>
      </c>
      <c r="H24" s="20">
        <f>IF('Условия'!$B$26&lt;&gt;"Условия заполнены","",ROUND($B24-$F24-$G24,2))</f>
        <v/>
      </c>
      <c r="I24" s="20">
        <f>IF('Условия'!$B$26&lt;&gt;"Условия заполнены","",IF($A24='Условия'!$B$7,'Условия'!$B$23,0))</f>
        <v/>
      </c>
      <c r="J24" s="20">
        <f>IF('Условия'!$B$26&lt;&gt;"Условия заполнены","",IFERROR(INDEX($H$5:$H$40,MATCH($A24-'Условия'!$B$17,$A$5:$A$40,0)),0))</f>
        <v/>
      </c>
      <c r="K24" s="20">
        <f>IF('Условия'!$B$26&lt;&gt;"Условия заполнены","",IF(AND('Условия'!$B$13&gt;0,'Условия'!$B$14&gt;0,$A24='Условия'!$B$14),ROUND(MIN(ROUND(SUM($G$5:$G$40)*'Условия'!$B$15/100,2),SUMIFS($G$5:$G$40,$A$5:$A$40,"&lt;="&amp;($A24-'Условия'!$B$17))),2),0))</f>
        <v/>
      </c>
      <c r="L24" s="20">
        <f>IF('Условия'!$B$26&lt;&gt;"Условия заполнены","",ROUND(IFERROR(INDEX($B$5:$B$40,MATCH($A24+'Условия'!$B$19,$A$5:$A$40,0)),0)*'Условия'!$B$18/100,2)+IF($A24=1,'Условия'!$B$20,0)+IF($A24='Условия'!$B$12,'Условия'!$B$24,0))</f>
        <v/>
      </c>
      <c r="M24" s="20">
        <f>IF('Условия'!$B$26&lt;&gt;"Условия заполнены","",ROUND($I24+$J24+$K24-$L24,2))</f>
        <v/>
      </c>
      <c r="N24" s="20">
        <f>IF('Условия'!$B$26&lt;&gt;"Условия заполнены","",ROUND($N23+$M24,2))</f>
        <v/>
      </c>
      <c r="O24" s="22">
        <f>IF('Условия'!$B$26&lt;&gt;"Условия заполнены","",IF($N24&lt;0,$A24,""))</f>
        <v/>
      </c>
      <c r="P24" s="13">
        <f>IF('Условия'!$B$26&lt;&gt;"Условия заполнены","",IF($H24&lt;-0.01,"ОШИБКА: погашение и удержание больше стоимости КС",IF(AND($F24&gt;0.01,$A24&lt;'Условия'!$B$7),"ОШИБКА: аванс погашается до поступления",IF(AND('Условия'!$B$13&gt;0,'Условия'!$B$14&gt;0,$A24='Условия'!$B$14,ROUND(SUM($G$5:$G$40)*'Условия'!$B$15/100,2)&gt;SUMIFS($G$5:$G$40,$A$5:$A$40,"&lt;="&amp;($A24-'Условия'!$B$17))+0.01),"ОШИБКА: возврат больше накопленного удержания",""))))</f>
        <v/>
      </c>
    </row>
    <row r="25">
      <c r="A25" s="17" t="n">
        <v>21</v>
      </c>
      <c r="B25" s="20">
        <f>IF('Условия'!$B$26&lt;&gt;"Условия заполнены","",ROUND(IFERROR('Условия'!$B$5*INDEX('График КС'!$B$5:$B$40,MATCH($A25,'График КС'!$A$5:$A$40,0))/100,0),2))</f>
        <v/>
      </c>
      <c r="C25" s="20">
        <f>IF('Условия'!$B$26&lt;&gt;"Условия заполнены","",SUMIFS($B$5:$B$40,$A$5:$A$40,"&lt;="&amp;$A25))</f>
        <v/>
      </c>
      <c r="D25" s="21">
        <f>IF('Условия'!$B$26&lt;&gt;"Условия заполнены","",SUMIFS('График КС'!$B$5:$B$40,'График КС'!$A$5:$A$40,"&lt;="&amp;$A25))</f>
        <v/>
      </c>
      <c r="E25" s="20">
        <f>IF('Условия'!$B$26&lt;&gt;"Условия заполнены","",IF('Условия'!$B$25=0,0,IFERROR(MAX(0,MIN('Условия'!$B$23,IF('Условия'!$B$25=1,ROUND('Условия'!$B$23*$D25/'График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КС'!$B$42-'Условия'!$B$9),2))))),0)))</f>
        <v/>
      </c>
      <c r="F25" s="20">
        <f>IF('Условия'!$B$26&lt;&gt;"Условия заполнены","",ROUND($E25-$E24,2))</f>
        <v/>
      </c>
      <c r="G25" s="20">
        <f>IF('Условия'!$B$26&lt;&gt;"Условия заполнены","",ROUND($B25*'Условия'!$B$13/100,2))</f>
        <v/>
      </c>
      <c r="H25" s="20">
        <f>IF('Условия'!$B$26&lt;&gt;"Условия заполнены","",ROUND($B25-$F25-$G25,2))</f>
        <v/>
      </c>
      <c r="I25" s="20">
        <f>IF('Условия'!$B$26&lt;&gt;"Условия заполнены","",IF($A25='Условия'!$B$7,'Условия'!$B$23,0))</f>
        <v/>
      </c>
      <c r="J25" s="20">
        <f>IF('Условия'!$B$26&lt;&gt;"Условия заполнены","",IFERROR(INDEX($H$5:$H$40,MATCH($A25-'Условия'!$B$17,$A$5:$A$40,0)),0))</f>
        <v/>
      </c>
      <c r="K25" s="20">
        <f>IF('Условия'!$B$26&lt;&gt;"Условия заполнены","",IF(AND('Условия'!$B$13&gt;0,'Условия'!$B$14&gt;0,$A25='Условия'!$B$14),ROUND(MIN(ROUND(SUM($G$5:$G$40)*'Условия'!$B$15/100,2),SUMIFS($G$5:$G$40,$A$5:$A$40,"&lt;="&amp;($A25-'Условия'!$B$17))),2),0))</f>
        <v/>
      </c>
      <c r="L25" s="20">
        <f>IF('Условия'!$B$26&lt;&gt;"Условия заполнены","",ROUND(IFERROR(INDEX($B$5:$B$40,MATCH($A25+'Условия'!$B$19,$A$5:$A$40,0)),0)*'Условия'!$B$18/100,2)+IF($A25=1,'Условия'!$B$20,0)+IF($A25='Условия'!$B$12,'Условия'!$B$24,0))</f>
        <v/>
      </c>
      <c r="M25" s="20">
        <f>IF('Условия'!$B$26&lt;&gt;"Условия заполнены","",ROUND($I25+$J25+$K25-$L25,2))</f>
        <v/>
      </c>
      <c r="N25" s="20">
        <f>IF('Условия'!$B$26&lt;&gt;"Условия заполнены","",ROUND($N24+$M25,2))</f>
        <v/>
      </c>
      <c r="O25" s="22">
        <f>IF('Условия'!$B$26&lt;&gt;"Условия заполнены","",IF($N25&lt;0,$A25,""))</f>
        <v/>
      </c>
      <c r="P25" s="13">
        <f>IF('Условия'!$B$26&lt;&gt;"Условия заполнены","",IF($H25&lt;-0.01,"ОШИБКА: погашение и удержание больше стоимости КС",IF(AND($F25&gt;0.01,$A25&lt;'Условия'!$B$7),"ОШИБКА: аванс погашается до поступления",IF(AND('Условия'!$B$13&gt;0,'Условия'!$B$14&gt;0,$A25='Условия'!$B$14,ROUND(SUM($G$5:$G$40)*'Условия'!$B$15/100,2)&gt;SUMIFS($G$5:$G$40,$A$5:$A$40,"&lt;="&amp;($A25-'Условия'!$B$17))+0.01),"ОШИБКА: возврат больше накопленного удержания",""))))</f>
        <v/>
      </c>
    </row>
    <row r="26">
      <c r="A26" s="17" t="n">
        <v>22</v>
      </c>
      <c r="B26" s="20">
        <f>IF('Условия'!$B$26&lt;&gt;"Условия заполнены","",ROUND(IFERROR('Условия'!$B$5*INDEX('График КС'!$B$5:$B$40,MATCH($A26,'График КС'!$A$5:$A$40,0))/100,0),2))</f>
        <v/>
      </c>
      <c r="C26" s="20">
        <f>IF('Условия'!$B$26&lt;&gt;"Условия заполнены","",SUMIFS($B$5:$B$40,$A$5:$A$40,"&lt;="&amp;$A26))</f>
        <v/>
      </c>
      <c r="D26" s="21">
        <f>IF('Условия'!$B$26&lt;&gt;"Условия заполнены","",SUMIFS('График КС'!$B$5:$B$40,'График КС'!$A$5:$A$40,"&lt;="&amp;$A26))</f>
        <v/>
      </c>
      <c r="E26" s="20">
        <f>IF('Условия'!$B$26&lt;&gt;"Условия заполнены","",IF('Условия'!$B$25=0,0,IFERROR(MAX(0,MIN('Условия'!$B$23,IF('Условия'!$B$25=1,ROUND('Условия'!$B$23*$D26/'График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КС'!$B$42-'Условия'!$B$9),2))))),0)))</f>
        <v/>
      </c>
      <c r="F26" s="20">
        <f>IF('Условия'!$B$26&lt;&gt;"Условия заполнены","",ROUND($E26-$E25,2))</f>
        <v/>
      </c>
      <c r="G26" s="20">
        <f>IF('Условия'!$B$26&lt;&gt;"Условия заполнены","",ROUND($B26*'Условия'!$B$13/100,2))</f>
        <v/>
      </c>
      <c r="H26" s="20">
        <f>IF('Условия'!$B$26&lt;&gt;"Условия заполнены","",ROUND($B26-$F26-$G26,2))</f>
        <v/>
      </c>
      <c r="I26" s="20">
        <f>IF('Условия'!$B$26&lt;&gt;"Условия заполнены","",IF($A26='Условия'!$B$7,'Условия'!$B$23,0))</f>
        <v/>
      </c>
      <c r="J26" s="20">
        <f>IF('Условия'!$B$26&lt;&gt;"Условия заполнены","",IFERROR(INDEX($H$5:$H$40,MATCH($A26-'Условия'!$B$17,$A$5:$A$40,0)),0))</f>
        <v/>
      </c>
      <c r="K26" s="20">
        <f>IF('Условия'!$B$26&lt;&gt;"Условия заполнены","",IF(AND('Условия'!$B$13&gt;0,'Условия'!$B$14&gt;0,$A26='Условия'!$B$14),ROUND(MIN(ROUND(SUM($G$5:$G$40)*'Условия'!$B$15/100,2),SUMIFS($G$5:$G$40,$A$5:$A$40,"&lt;="&amp;($A26-'Условия'!$B$17))),2),0))</f>
        <v/>
      </c>
      <c r="L26" s="20">
        <f>IF('Условия'!$B$26&lt;&gt;"Условия заполнены","",ROUND(IFERROR(INDEX($B$5:$B$40,MATCH($A26+'Условия'!$B$19,$A$5:$A$40,0)),0)*'Условия'!$B$18/100,2)+IF($A26=1,'Условия'!$B$20,0)+IF($A26='Условия'!$B$12,'Условия'!$B$24,0))</f>
        <v/>
      </c>
      <c r="M26" s="20">
        <f>IF('Условия'!$B$26&lt;&gt;"Условия заполнены","",ROUND($I26+$J26+$K26-$L26,2))</f>
        <v/>
      </c>
      <c r="N26" s="20">
        <f>IF('Условия'!$B$26&lt;&gt;"Условия заполнены","",ROUND($N25+$M26,2))</f>
        <v/>
      </c>
      <c r="O26" s="22">
        <f>IF('Условия'!$B$26&lt;&gt;"Условия заполнены","",IF($N26&lt;0,$A26,""))</f>
        <v/>
      </c>
      <c r="P26" s="13">
        <f>IF('Условия'!$B$26&lt;&gt;"Условия заполнены","",IF($H26&lt;-0.01,"ОШИБКА: погашение и удержание больше стоимости КС",IF(AND($F26&gt;0.01,$A26&lt;'Условия'!$B$7),"ОШИБКА: аванс погашается до поступления",IF(AND('Условия'!$B$13&gt;0,'Условия'!$B$14&gt;0,$A26='Условия'!$B$14,ROUND(SUM($G$5:$G$40)*'Условия'!$B$15/100,2)&gt;SUMIFS($G$5:$G$40,$A$5:$A$40,"&lt;="&amp;($A26-'Условия'!$B$17))+0.01),"ОШИБКА: возврат больше накопленного удержания",""))))</f>
        <v/>
      </c>
    </row>
    <row r="27">
      <c r="A27" s="17" t="n">
        <v>23</v>
      </c>
      <c r="B27" s="20">
        <f>IF('Условия'!$B$26&lt;&gt;"Условия заполнены","",ROUND(IFERROR('Условия'!$B$5*INDEX('График КС'!$B$5:$B$40,MATCH($A27,'График КС'!$A$5:$A$40,0))/100,0),2))</f>
        <v/>
      </c>
      <c r="C27" s="20">
        <f>IF('Условия'!$B$26&lt;&gt;"Условия заполнены","",SUMIFS($B$5:$B$40,$A$5:$A$40,"&lt;="&amp;$A27))</f>
        <v/>
      </c>
      <c r="D27" s="21">
        <f>IF('Условия'!$B$26&lt;&gt;"Условия заполнены","",SUMIFS('График КС'!$B$5:$B$40,'График КС'!$A$5:$A$40,"&lt;="&amp;$A27))</f>
        <v/>
      </c>
      <c r="E27" s="20">
        <f>IF('Условия'!$B$26&lt;&gt;"Условия заполнены","",IF('Условия'!$B$25=0,0,IFERROR(MAX(0,MIN('Условия'!$B$23,IF('Условия'!$B$25=1,ROUND('Условия'!$B$23*$D27/'График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КС'!$B$42-'Условия'!$B$9),2))))),0)))</f>
        <v/>
      </c>
      <c r="F27" s="20">
        <f>IF('Условия'!$B$26&lt;&gt;"Условия заполнены","",ROUND($E27-$E26,2))</f>
        <v/>
      </c>
      <c r="G27" s="20">
        <f>IF('Условия'!$B$26&lt;&gt;"Условия заполнены","",ROUND($B27*'Условия'!$B$13/100,2))</f>
        <v/>
      </c>
      <c r="H27" s="20">
        <f>IF('Условия'!$B$26&lt;&gt;"Условия заполнены","",ROUND($B27-$F27-$G27,2))</f>
        <v/>
      </c>
      <c r="I27" s="20">
        <f>IF('Условия'!$B$26&lt;&gt;"Условия заполнены","",IF($A27='Условия'!$B$7,'Условия'!$B$23,0))</f>
        <v/>
      </c>
      <c r="J27" s="20">
        <f>IF('Условия'!$B$26&lt;&gt;"Условия заполнены","",IFERROR(INDEX($H$5:$H$40,MATCH($A27-'Условия'!$B$17,$A$5:$A$40,0)),0))</f>
        <v/>
      </c>
      <c r="K27" s="20">
        <f>IF('Условия'!$B$26&lt;&gt;"Условия заполнены","",IF(AND('Условия'!$B$13&gt;0,'Условия'!$B$14&gt;0,$A27='Условия'!$B$14),ROUND(MIN(ROUND(SUM($G$5:$G$40)*'Условия'!$B$15/100,2),SUMIFS($G$5:$G$40,$A$5:$A$40,"&lt;="&amp;($A27-'Условия'!$B$17))),2),0))</f>
        <v/>
      </c>
      <c r="L27" s="20">
        <f>IF('Условия'!$B$26&lt;&gt;"Условия заполнены","",ROUND(IFERROR(INDEX($B$5:$B$40,MATCH($A27+'Условия'!$B$19,$A$5:$A$40,0)),0)*'Условия'!$B$18/100,2)+IF($A27=1,'Условия'!$B$20,0)+IF($A27='Условия'!$B$12,'Условия'!$B$24,0))</f>
        <v/>
      </c>
      <c r="M27" s="20">
        <f>IF('Условия'!$B$26&lt;&gt;"Условия заполнены","",ROUND($I27+$J27+$K27-$L27,2))</f>
        <v/>
      </c>
      <c r="N27" s="20">
        <f>IF('Условия'!$B$26&lt;&gt;"Условия заполнены","",ROUND($N26+$M27,2))</f>
        <v/>
      </c>
      <c r="O27" s="22">
        <f>IF('Условия'!$B$26&lt;&gt;"Условия заполнены","",IF($N27&lt;0,$A27,""))</f>
        <v/>
      </c>
      <c r="P27" s="13">
        <f>IF('Условия'!$B$26&lt;&gt;"Условия заполнены","",IF($H27&lt;-0.01,"ОШИБКА: погашение и удержание больше стоимости КС",IF(AND($F27&gt;0.01,$A27&lt;'Условия'!$B$7),"ОШИБКА: аванс погашается до поступления",IF(AND('Условия'!$B$13&gt;0,'Условия'!$B$14&gt;0,$A27='Условия'!$B$14,ROUND(SUM($G$5:$G$40)*'Условия'!$B$15/100,2)&gt;SUMIFS($G$5:$G$40,$A$5:$A$40,"&lt;="&amp;($A27-'Условия'!$B$17))+0.01),"ОШИБКА: возврат больше накопленного удержания",""))))</f>
        <v/>
      </c>
    </row>
    <row r="28">
      <c r="A28" s="17" t="n">
        <v>24</v>
      </c>
      <c r="B28" s="20">
        <f>IF('Условия'!$B$26&lt;&gt;"Условия заполнены","",ROUND(IFERROR('Условия'!$B$5*INDEX('График КС'!$B$5:$B$40,MATCH($A28,'График КС'!$A$5:$A$40,0))/100,0),2))</f>
        <v/>
      </c>
      <c r="C28" s="20">
        <f>IF('Условия'!$B$26&lt;&gt;"Условия заполнены","",SUMIFS($B$5:$B$40,$A$5:$A$40,"&lt;="&amp;$A28))</f>
        <v/>
      </c>
      <c r="D28" s="21">
        <f>IF('Условия'!$B$26&lt;&gt;"Условия заполнены","",SUMIFS('График КС'!$B$5:$B$40,'График КС'!$A$5:$A$40,"&lt;="&amp;$A28))</f>
        <v/>
      </c>
      <c r="E28" s="20">
        <f>IF('Условия'!$B$26&lt;&gt;"Условия заполнены","",IF('Условия'!$B$25=0,0,IFERROR(MAX(0,MIN('Условия'!$B$23,IF('Условия'!$B$25=1,ROUND('Условия'!$B$23*$D28/'График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КС'!$B$42-'Условия'!$B$9),2))))),0)))</f>
        <v/>
      </c>
      <c r="F28" s="20">
        <f>IF('Условия'!$B$26&lt;&gt;"Условия заполнены","",ROUND($E28-$E27,2))</f>
        <v/>
      </c>
      <c r="G28" s="20">
        <f>IF('Условия'!$B$26&lt;&gt;"Условия заполнены","",ROUND($B28*'Условия'!$B$13/100,2))</f>
        <v/>
      </c>
      <c r="H28" s="20">
        <f>IF('Условия'!$B$26&lt;&gt;"Условия заполнены","",ROUND($B28-$F28-$G28,2))</f>
        <v/>
      </c>
      <c r="I28" s="20">
        <f>IF('Условия'!$B$26&lt;&gt;"Условия заполнены","",IF($A28='Условия'!$B$7,'Условия'!$B$23,0))</f>
        <v/>
      </c>
      <c r="J28" s="20">
        <f>IF('Условия'!$B$26&lt;&gt;"Условия заполнены","",IFERROR(INDEX($H$5:$H$40,MATCH($A28-'Условия'!$B$17,$A$5:$A$40,0)),0))</f>
        <v/>
      </c>
      <c r="K28" s="20">
        <f>IF('Условия'!$B$26&lt;&gt;"Условия заполнены","",IF(AND('Условия'!$B$13&gt;0,'Условия'!$B$14&gt;0,$A28='Условия'!$B$14),ROUND(MIN(ROUND(SUM($G$5:$G$40)*'Условия'!$B$15/100,2),SUMIFS($G$5:$G$40,$A$5:$A$40,"&lt;="&amp;($A28-'Условия'!$B$17))),2),0))</f>
        <v/>
      </c>
      <c r="L28" s="20">
        <f>IF('Условия'!$B$26&lt;&gt;"Условия заполнены","",ROUND(IFERROR(INDEX($B$5:$B$40,MATCH($A28+'Условия'!$B$19,$A$5:$A$40,0)),0)*'Условия'!$B$18/100,2)+IF($A28=1,'Условия'!$B$20,0)+IF($A28='Условия'!$B$12,'Условия'!$B$24,0))</f>
        <v/>
      </c>
      <c r="M28" s="20">
        <f>IF('Условия'!$B$26&lt;&gt;"Условия заполнены","",ROUND($I28+$J28+$K28-$L28,2))</f>
        <v/>
      </c>
      <c r="N28" s="20">
        <f>IF('Условия'!$B$26&lt;&gt;"Условия заполнены","",ROUND($N27+$M28,2))</f>
        <v/>
      </c>
      <c r="O28" s="22">
        <f>IF('Условия'!$B$26&lt;&gt;"Условия заполнены","",IF($N28&lt;0,$A28,""))</f>
        <v/>
      </c>
      <c r="P28" s="13">
        <f>IF('Условия'!$B$26&lt;&gt;"Условия заполнены","",IF($H28&lt;-0.01,"ОШИБКА: погашение и удержание больше стоимости КС",IF(AND($F28&gt;0.01,$A28&lt;'Условия'!$B$7),"ОШИБКА: аванс погашается до поступления",IF(AND('Условия'!$B$13&gt;0,'Условия'!$B$14&gt;0,$A28='Условия'!$B$14,ROUND(SUM($G$5:$G$40)*'Условия'!$B$15/100,2)&gt;SUMIFS($G$5:$G$40,$A$5:$A$40,"&lt;="&amp;($A28-'Условия'!$B$17))+0.01),"ОШИБКА: возврат больше накопленного удержания",""))))</f>
        <v/>
      </c>
    </row>
    <row r="29">
      <c r="A29" s="17" t="n">
        <v>25</v>
      </c>
      <c r="B29" s="20">
        <f>IF('Условия'!$B$26&lt;&gt;"Условия заполнены","",ROUND(IFERROR('Условия'!$B$5*INDEX('График КС'!$B$5:$B$40,MATCH($A29,'График КС'!$A$5:$A$40,0))/100,0),2))</f>
        <v/>
      </c>
      <c r="C29" s="20">
        <f>IF('Условия'!$B$26&lt;&gt;"Условия заполнены","",SUMIFS($B$5:$B$40,$A$5:$A$40,"&lt;="&amp;$A29))</f>
        <v/>
      </c>
      <c r="D29" s="21">
        <f>IF('Условия'!$B$26&lt;&gt;"Условия заполнены","",SUMIFS('График КС'!$B$5:$B$40,'График КС'!$A$5:$A$40,"&lt;="&amp;$A29))</f>
        <v/>
      </c>
      <c r="E29" s="20">
        <f>IF('Условия'!$B$26&lt;&gt;"Условия заполнены","",IF('Условия'!$B$25=0,0,IFERROR(MAX(0,MIN('Условия'!$B$23,IF('Условия'!$B$25=1,ROUND('Условия'!$B$23*$D29/'График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КС'!$B$42-'Условия'!$B$9),2))))),0)))</f>
        <v/>
      </c>
      <c r="F29" s="20">
        <f>IF('Условия'!$B$26&lt;&gt;"Условия заполнены","",ROUND($E29-$E28,2))</f>
        <v/>
      </c>
      <c r="G29" s="20">
        <f>IF('Условия'!$B$26&lt;&gt;"Условия заполнены","",ROUND($B29*'Условия'!$B$13/100,2))</f>
        <v/>
      </c>
      <c r="H29" s="20">
        <f>IF('Условия'!$B$26&lt;&gt;"Условия заполнены","",ROUND($B29-$F29-$G29,2))</f>
        <v/>
      </c>
      <c r="I29" s="20">
        <f>IF('Условия'!$B$26&lt;&gt;"Условия заполнены","",IF($A29='Условия'!$B$7,'Условия'!$B$23,0))</f>
        <v/>
      </c>
      <c r="J29" s="20">
        <f>IF('Условия'!$B$26&lt;&gt;"Условия заполнены","",IFERROR(INDEX($H$5:$H$40,MATCH($A29-'Условия'!$B$17,$A$5:$A$40,0)),0))</f>
        <v/>
      </c>
      <c r="K29" s="20">
        <f>IF('Условия'!$B$26&lt;&gt;"Условия заполнены","",IF(AND('Условия'!$B$13&gt;0,'Условия'!$B$14&gt;0,$A29='Условия'!$B$14),ROUND(MIN(ROUND(SUM($G$5:$G$40)*'Условия'!$B$15/100,2),SUMIFS($G$5:$G$40,$A$5:$A$40,"&lt;="&amp;($A29-'Условия'!$B$17))),2),0))</f>
        <v/>
      </c>
      <c r="L29" s="20">
        <f>IF('Условия'!$B$26&lt;&gt;"Условия заполнены","",ROUND(IFERROR(INDEX($B$5:$B$40,MATCH($A29+'Условия'!$B$19,$A$5:$A$40,0)),0)*'Условия'!$B$18/100,2)+IF($A29=1,'Условия'!$B$20,0)+IF($A29='Условия'!$B$12,'Условия'!$B$24,0))</f>
        <v/>
      </c>
      <c r="M29" s="20">
        <f>IF('Условия'!$B$26&lt;&gt;"Условия заполнены","",ROUND($I29+$J29+$K29-$L29,2))</f>
        <v/>
      </c>
      <c r="N29" s="20">
        <f>IF('Условия'!$B$26&lt;&gt;"Условия заполнены","",ROUND($N28+$M29,2))</f>
        <v/>
      </c>
      <c r="O29" s="22">
        <f>IF('Условия'!$B$26&lt;&gt;"Условия заполнены","",IF($N29&lt;0,$A29,""))</f>
        <v/>
      </c>
      <c r="P29" s="13">
        <f>IF('Условия'!$B$26&lt;&gt;"Условия заполнены","",IF($H29&lt;-0.01,"ОШИБКА: погашение и удержание больше стоимости КС",IF(AND($F29&gt;0.01,$A29&lt;'Условия'!$B$7),"ОШИБКА: аванс погашается до поступления",IF(AND('Условия'!$B$13&gt;0,'Условия'!$B$14&gt;0,$A29='Условия'!$B$14,ROUND(SUM($G$5:$G$40)*'Условия'!$B$15/100,2)&gt;SUMIFS($G$5:$G$40,$A$5:$A$40,"&lt;="&amp;($A29-'Условия'!$B$17))+0.01),"ОШИБКА: возврат больше накопленного удержания",""))))</f>
        <v/>
      </c>
    </row>
    <row r="30">
      <c r="A30" s="17" t="n">
        <v>26</v>
      </c>
      <c r="B30" s="20">
        <f>IF('Условия'!$B$26&lt;&gt;"Условия заполнены","",ROUND(IFERROR('Условия'!$B$5*INDEX('График КС'!$B$5:$B$40,MATCH($A30,'График КС'!$A$5:$A$40,0))/100,0),2))</f>
        <v/>
      </c>
      <c r="C30" s="20">
        <f>IF('Условия'!$B$26&lt;&gt;"Условия заполнены","",SUMIFS($B$5:$B$40,$A$5:$A$40,"&lt;="&amp;$A30))</f>
        <v/>
      </c>
      <c r="D30" s="21">
        <f>IF('Условия'!$B$26&lt;&gt;"Условия заполнены","",SUMIFS('График КС'!$B$5:$B$40,'График КС'!$A$5:$A$40,"&lt;="&amp;$A30))</f>
        <v/>
      </c>
      <c r="E30" s="20">
        <f>IF('Условия'!$B$26&lt;&gt;"Условия заполнены","",IF('Условия'!$B$25=0,0,IFERROR(MAX(0,MIN('Условия'!$B$23,IF('Условия'!$B$25=1,ROUND('Условия'!$B$23*$D30/'График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КС'!$B$42-'Условия'!$B$9),2))))),0)))</f>
        <v/>
      </c>
      <c r="F30" s="20">
        <f>IF('Условия'!$B$26&lt;&gt;"Условия заполнены","",ROUND($E30-$E29,2))</f>
        <v/>
      </c>
      <c r="G30" s="20">
        <f>IF('Условия'!$B$26&lt;&gt;"Условия заполнены","",ROUND($B30*'Условия'!$B$13/100,2))</f>
        <v/>
      </c>
      <c r="H30" s="20">
        <f>IF('Условия'!$B$26&lt;&gt;"Условия заполнены","",ROUND($B30-$F30-$G30,2))</f>
        <v/>
      </c>
      <c r="I30" s="20">
        <f>IF('Условия'!$B$26&lt;&gt;"Условия заполнены","",IF($A30='Условия'!$B$7,'Условия'!$B$23,0))</f>
        <v/>
      </c>
      <c r="J30" s="20">
        <f>IF('Условия'!$B$26&lt;&gt;"Условия заполнены","",IFERROR(INDEX($H$5:$H$40,MATCH($A30-'Условия'!$B$17,$A$5:$A$40,0)),0))</f>
        <v/>
      </c>
      <c r="K30" s="20">
        <f>IF('Условия'!$B$26&lt;&gt;"Условия заполнены","",IF(AND('Условия'!$B$13&gt;0,'Условия'!$B$14&gt;0,$A30='Условия'!$B$14),ROUND(MIN(ROUND(SUM($G$5:$G$40)*'Условия'!$B$15/100,2),SUMIFS($G$5:$G$40,$A$5:$A$40,"&lt;="&amp;($A30-'Условия'!$B$17))),2),0))</f>
        <v/>
      </c>
      <c r="L30" s="20">
        <f>IF('Условия'!$B$26&lt;&gt;"Условия заполнены","",ROUND(IFERROR(INDEX($B$5:$B$40,MATCH($A30+'Условия'!$B$19,$A$5:$A$40,0)),0)*'Условия'!$B$18/100,2)+IF($A30=1,'Условия'!$B$20,0)+IF($A30='Условия'!$B$12,'Условия'!$B$24,0))</f>
        <v/>
      </c>
      <c r="M30" s="20">
        <f>IF('Условия'!$B$26&lt;&gt;"Условия заполнены","",ROUND($I30+$J30+$K30-$L30,2))</f>
        <v/>
      </c>
      <c r="N30" s="20">
        <f>IF('Условия'!$B$26&lt;&gt;"Условия заполнены","",ROUND($N29+$M30,2))</f>
        <v/>
      </c>
      <c r="O30" s="22">
        <f>IF('Условия'!$B$26&lt;&gt;"Условия заполнены","",IF($N30&lt;0,$A30,""))</f>
        <v/>
      </c>
      <c r="P30" s="13">
        <f>IF('Условия'!$B$26&lt;&gt;"Условия заполнены","",IF($H30&lt;-0.01,"ОШИБКА: погашение и удержание больше стоимости КС",IF(AND($F30&gt;0.01,$A30&lt;'Условия'!$B$7),"ОШИБКА: аванс погашается до поступления",IF(AND('Условия'!$B$13&gt;0,'Условия'!$B$14&gt;0,$A30='Условия'!$B$14,ROUND(SUM($G$5:$G$40)*'Условия'!$B$15/100,2)&gt;SUMIFS($G$5:$G$40,$A$5:$A$40,"&lt;="&amp;($A30-'Условия'!$B$17))+0.01),"ОШИБКА: возврат больше накопленного удержания",""))))</f>
        <v/>
      </c>
    </row>
    <row r="31">
      <c r="A31" s="17" t="n">
        <v>27</v>
      </c>
      <c r="B31" s="20">
        <f>IF('Условия'!$B$26&lt;&gt;"Условия заполнены","",ROUND(IFERROR('Условия'!$B$5*INDEX('График КС'!$B$5:$B$40,MATCH($A31,'График КС'!$A$5:$A$40,0))/100,0),2))</f>
        <v/>
      </c>
      <c r="C31" s="20">
        <f>IF('Условия'!$B$26&lt;&gt;"Условия заполнены","",SUMIFS($B$5:$B$40,$A$5:$A$40,"&lt;="&amp;$A31))</f>
        <v/>
      </c>
      <c r="D31" s="21">
        <f>IF('Условия'!$B$26&lt;&gt;"Условия заполнены","",SUMIFS('График КС'!$B$5:$B$40,'График КС'!$A$5:$A$40,"&lt;="&amp;$A31))</f>
        <v/>
      </c>
      <c r="E31" s="20">
        <f>IF('Условия'!$B$26&lt;&gt;"Условия заполнены","",IF('Условия'!$B$25=0,0,IFERROR(MAX(0,MIN('Условия'!$B$23,IF('Условия'!$B$25=1,ROUND('Условия'!$B$23*$D31/'График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КС'!$B$42-'Условия'!$B$9),2))))),0)))</f>
        <v/>
      </c>
      <c r="F31" s="20">
        <f>IF('Условия'!$B$26&lt;&gt;"Условия заполнены","",ROUND($E31-$E30,2))</f>
        <v/>
      </c>
      <c r="G31" s="20">
        <f>IF('Условия'!$B$26&lt;&gt;"Условия заполнены","",ROUND($B31*'Условия'!$B$13/100,2))</f>
        <v/>
      </c>
      <c r="H31" s="20">
        <f>IF('Условия'!$B$26&lt;&gt;"Условия заполнены","",ROUND($B31-$F31-$G31,2))</f>
        <v/>
      </c>
      <c r="I31" s="20">
        <f>IF('Условия'!$B$26&lt;&gt;"Условия заполнены","",IF($A31='Условия'!$B$7,'Условия'!$B$23,0))</f>
        <v/>
      </c>
      <c r="J31" s="20">
        <f>IF('Условия'!$B$26&lt;&gt;"Условия заполнены","",IFERROR(INDEX($H$5:$H$40,MATCH($A31-'Условия'!$B$17,$A$5:$A$40,0)),0))</f>
        <v/>
      </c>
      <c r="K31" s="20">
        <f>IF('Условия'!$B$26&lt;&gt;"Условия заполнены","",IF(AND('Условия'!$B$13&gt;0,'Условия'!$B$14&gt;0,$A31='Условия'!$B$14),ROUND(MIN(ROUND(SUM($G$5:$G$40)*'Условия'!$B$15/100,2),SUMIFS($G$5:$G$40,$A$5:$A$40,"&lt;="&amp;($A31-'Условия'!$B$17))),2),0))</f>
        <v/>
      </c>
      <c r="L31" s="20">
        <f>IF('Условия'!$B$26&lt;&gt;"Условия заполнены","",ROUND(IFERROR(INDEX($B$5:$B$40,MATCH($A31+'Условия'!$B$19,$A$5:$A$40,0)),0)*'Условия'!$B$18/100,2)+IF($A31=1,'Условия'!$B$20,0)+IF($A31='Условия'!$B$12,'Условия'!$B$24,0))</f>
        <v/>
      </c>
      <c r="M31" s="20">
        <f>IF('Условия'!$B$26&lt;&gt;"Условия заполнены","",ROUND($I31+$J31+$K31-$L31,2))</f>
        <v/>
      </c>
      <c r="N31" s="20">
        <f>IF('Условия'!$B$26&lt;&gt;"Условия заполнены","",ROUND($N30+$M31,2))</f>
        <v/>
      </c>
      <c r="O31" s="22">
        <f>IF('Условия'!$B$26&lt;&gt;"Условия заполнены","",IF($N31&lt;0,$A31,""))</f>
        <v/>
      </c>
      <c r="P31" s="13">
        <f>IF('Условия'!$B$26&lt;&gt;"Условия заполнены","",IF($H31&lt;-0.01,"ОШИБКА: погашение и удержание больше стоимости КС",IF(AND($F31&gt;0.01,$A31&lt;'Условия'!$B$7),"ОШИБКА: аванс погашается до поступления",IF(AND('Условия'!$B$13&gt;0,'Условия'!$B$14&gt;0,$A31='Условия'!$B$14,ROUND(SUM($G$5:$G$40)*'Условия'!$B$15/100,2)&gt;SUMIFS($G$5:$G$40,$A$5:$A$40,"&lt;="&amp;($A31-'Условия'!$B$17))+0.01),"ОШИБКА: возврат больше накопленного удержания",""))))</f>
        <v/>
      </c>
    </row>
    <row r="32">
      <c r="A32" s="17" t="n">
        <v>28</v>
      </c>
      <c r="B32" s="20">
        <f>IF('Условия'!$B$26&lt;&gt;"Условия заполнены","",ROUND(IFERROR('Условия'!$B$5*INDEX('График КС'!$B$5:$B$40,MATCH($A32,'График КС'!$A$5:$A$40,0))/100,0),2))</f>
        <v/>
      </c>
      <c r="C32" s="20">
        <f>IF('Условия'!$B$26&lt;&gt;"Условия заполнены","",SUMIFS($B$5:$B$40,$A$5:$A$40,"&lt;="&amp;$A32))</f>
        <v/>
      </c>
      <c r="D32" s="21">
        <f>IF('Условия'!$B$26&lt;&gt;"Условия заполнены","",SUMIFS('График КС'!$B$5:$B$40,'График КС'!$A$5:$A$40,"&lt;="&amp;$A32))</f>
        <v/>
      </c>
      <c r="E32" s="20">
        <f>IF('Условия'!$B$26&lt;&gt;"Условия заполнены","",IF('Условия'!$B$25=0,0,IFERROR(MAX(0,MIN('Условия'!$B$23,IF('Условия'!$B$25=1,ROUND('Условия'!$B$23*$D32/'График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КС'!$B$42-'Условия'!$B$9),2))))),0)))</f>
        <v/>
      </c>
      <c r="F32" s="20">
        <f>IF('Условия'!$B$26&lt;&gt;"Условия заполнены","",ROUND($E32-$E31,2))</f>
        <v/>
      </c>
      <c r="G32" s="20">
        <f>IF('Условия'!$B$26&lt;&gt;"Условия заполнены","",ROUND($B32*'Условия'!$B$13/100,2))</f>
        <v/>
      </c>
      <c r="H32" s="20">
        <f>IF('Условия'!$B$26&lt;&gt;"Условия заполнены","",ROUND($B32-$F32-$G32,2))</f>
        <v/>
      </c>
      <c r="I32" s="20">
        <f>IF('Условия'!$B$26&lt;&gt;"Условия заполнены","",IF($A32='Условия'!$B$7,'Условия'!$B$23,0))</f>
        <v/>
      </c>
      <c r="J32" s="20">
        <f>IF('Условия'!$B$26&lt;&gt;"Условия заполнены","",IFERROR(INDEX($H$5:$H$40,MATCH($A32-'Условия'!$B$17,$A$5:$A$40,0)),0))</f>
        <v/>
      </c>
      <c r="K32" s="20">
        <f>IF('Условия'!$B$26&lt;&gt;"Условия заполнены","",IF(AND('Условия'!$B$13&gt;0,'Условия'!$B$14&gt;0,$A32='Условия'!$B$14),ROUND(MIN(ROUND(SUM($G$5:$G$40)*'Условия'!$B$15/100,2),SUMIFS($G$5:$G$40,$A$5:$A$40,"&lt;="&amp;($A32-'Условия'!$B$17))),2),0))</f>
        <v/>
      </c>
      <c r="L32" s="20">
        <f>IF('Условия'!$B$26&lt;&gt;"Условия заполнены","",ROUND(IFERROR(INDEX($B$5:$B$40,MATCH($A32+'Условия'!$B$19,$A$5:$A$40,0)),0)*'Условия'!$B$18/100,2)+IF($A32=1,'Условия'!$B$20,0)+IF($A32='Условия'!$B$12,'Условия'!$B$24,0))</f>
        <v/>
      </c>
      <c r="M32" s="20">
        <f>IF('Условия'!$B$26&lt;&gt;"Условия заполнены","",ROUND($I32+$J32+$K32-$L32,2))</f>
        <v/>
      </c>
      <c r="N32" s="20">
        <f>IF('Условия'!$B$26&lt;&gt;"Условия заполнены","",ROUND($N31+$M32,2))</f>
        <v/>
      </c>
      <c r="O32" s="22">
        <f>IF('Условия'!$B$26&lt;&gt;"Условия заполнены","",IF($N32&lt;0,$A32,""))</f>
        <v/>
      </c>
      <c r="P32" s="13">
        <f>IF('Условия'!$B$26&lt;&gt;"Условия заполнены","",IF($H32&lt;-0.01,"ОШИБКА: погашение и удержание больше стоимости КС",IF(AND($F32&gt;0.01,$A32&lt;'Условия'!$B$7),"ОШИБКА: аванс погашается до поступления",IF(AND('Условия'!$B$13&gt;0,'Условия'!$B$14&gt;0,$A32='Условия'!$B$14,ROUND(SUM($G$5:$G$40)*'Условия'!$B$15/100,2)&gt;SUMIFS($G$5:$G$40,$A$5:$A$40,"&lt;="&amp;($A32-'Условия'!$B$17))+0.01),"ОШИБКА: возврат больше накопленного удержания",""))))</f>
        <v/>
      </c>
    </row>
    <row r="33">
      <c r="A33" s="17" t="n">
        <v>29</v>
      </c>
      <c r="B33" s="20">
        <f>IF('Условия'!$B$26&lt;&gt;"Условия заполнены","",ROUND(IFERROR('Условия'!$B$5*INDEX('График КС'!$B$5:$B$40,MATCH($A33,'График КС'!$A$5:$A$40,0))/100,0),2))</f>
        <v/>
      </c>
      <c r="C33" s="20">
        <f>IF('Условия'!$B$26&lt;&gt;"Условия заполнены","",SUMIFS($B$5:$B$40,$A$5:$A$40,"&lt;="&amp;$A33))</f>
        <v/>
      </c>
      <c r="D33" s="21">
        <f>IF('Условия'!$B$26&lt;&gt;"Условия заполнены","",SUMIFS('График КС'!$B$5:$B$40,'График КС'!$A$5:$A$40,"&lt;="&amp;$A33))</f>
        <v/>
      </c>
      <c r="E33" s="20">
        <f>IF('Условия'!$B$26&lt;&gt;"Условия заполнены","",IF('Условия'!$B$25=0,0,IFERROR(MAX(0,MIN('Условия'!$B$23,IF('Условия'!$B$25=1,ROUND('Условия'!$B$23*$D33/'График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КС'!$B$42-'Условия'!$B$9),2))))),0)))</f>
        <v/>
      </c>
      <c r="F33" s="20">
        <f>IF('Условия'!$B$26&lt;&gt;"Условия заполнены","",ROUND($E33-$E32,2))</f>
        <v/>
      </c>
      <c r="G33" s="20">
        <f>IF('Условия'!$B$26&lt;&gt;"Условия заполнены","",ROUND($B33*'Условия'!$B$13/100,2))</f>
        <v/>
      </c>
      <c r="H33" s="20">
        <f>IF('Условия'!$B$26&lt;&gt;"Условия заполнены","",ROUND($B33-$F33-$G33,2))</f>
        <v/>
      </c>
      <c r="I33" s="20">
        <f>IF('Условия'!$B$26&lt;&gt;"Условия заполнены","",IF($A33='Условия'!$B$7,'Условия'!$B$23,0))</f>
        <v/>
      </c>
      <c r="J33" s="20">
        <f>IF('Условия'!$B$26&lt;&gt;"Условия заполнены","",IFERROR(INDEX($H$5:$H$40,MATCH($A33-'Условия'!$B$17,$A$5:$A$40,0)),0))</f>
        <v/>
      </c>
      <c r="K33" s="20">
        <f>IF('Условия'!$B$26&lt;&gt;"Условия заполнены","",IF(AND('Условия'!$B$13&gt;0,'Условия'!$B$14&gt;0,$A33='Условия'!$B$14),ROUND(MIN(ROUND(SUM($G$5:$G$40)*'Условия'!$B$15/100,2),SUMIFS($G$5:$G$40,$A$5:$A$40,"&lt;="&amp;($A33-'Условия'!$B$17))),2),0))</f>
        <v/>
      </c>
      <c r="L33" s="20">
        <f>IF('Условия'!$B$26&lt;&gt;"Условия заполнены","",ROUND(IFERROR(INDEX($B$5:$B$40,MATCH($A33+'Условия'!$B$19,$A$5:$A$40,0)),0)*'Условия'!$B$18/100,2)+IF($A33=1,'Условия'!$B$20,0)+IF($A33='Условия'!$B$12,'Условия'!$B$24,0))</f>
        <v/>
      </c>
      <c r="M33" s="20">
        <f>IF('Условия'!$B$26&lt;&gt;"Условия заполнены","",ROUND($I33+$J33+$K33-$L33,2))</f>
        <v/>
      </c>
      <c r="N33" s="20">
        <f>IF('Условия'!$B$26&lt;&gt;"Условия заполнены","",ROUND($N32+$M33,2))</f>
        <v/>
      </c>
      <c r="O33" s="22">
        <f>IF('Условия'!$B$26&lt;&gt;"Условия заполнены","",IF($N33&lt;0,$A33,""))</f>
        <v/>
      </c>
      <c r="P33" s="13">
        <f>IF('Условия'!$B$26&lt;&gt;"Условия заполнены","",IF($H33&lt;-0.01,"ОШИБКА: погашение и удержание больше стоимости КС",IF(AND($F33&gt;0.01,$A33&lt;'Условия'!$B$7),"ОШИБКА: аванс погашается до поступления",IF(AND('Условия'!$B$13&gt;0,'Условия'!$B$14&gt;0,$A33='Условия'!$B$14,ROUND(SUM($G$5:$G$40)*'Условия'!$B$15/100,2)&gt;SUMIFS($G$5:$G$40,$A$5:$A$40,"&lt;="&amp;($A33-'Условия'!$B$17))+0.01),"ОШИБКА: возврат больше накопленного удержания",""))))</f>
        <v/>
      </c>
    </row>
    <row r="34">
      <c r="A34" s="17" t="n">
        <v>30</v>
      </c>
      <c r="B34" s="20">
        <f>IF('Условия'!$B$26&lt;&gt;"Условия заполнены","",ROUND(IFERROR('Условия'!$B$5*INDEX('График КС'!$B$5:$B$40,MATCH($A34,'График КС'!$A$5:$A$40,0))/100,0),2))</f>
        <v/>
      </c>
      <c r="C34" s="20">
        <f>IF('Условия'!$B$26&lt;&gt;"Условия заполнены","",SUMIFS($B$5:$B$40,$A$5:$A$40,"&lt;="&amp;$A34))</f>
        <v/>
      </c>
      <c r="D34" s="21">
        <f>IF('Условия'!$B$26&lt;&gt;"Условия заполнены","",SUMIFS('График КС'!$B$5:$B$40,'График КС'!$A$5:$A$40,"&lt;="&amp;$A34))</f>
        <v/>
      </c>
      <c r="E34" s="20">
        <f>IF('Условия'!$B$26&lt;&gt;"Условия заполнены","",IF('Условия'!$B$25=0,0,IFERROR(MAX(0,MIN('Условия'!$B$23,IF('Условия'!$B$25=1,ROUND('Условия'!$B$23*$D34/'График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КС'!$B$42-'Условия'!$B$9),2))))),0)))</f>
        <v/>
      </c>
      <c r="F34" s="20">
        <f>IF('Условия'!$B$26&lt;&gt;"Условия заполнены","",ROUND($E34-$E33,2))</f>
        <v/>
      </c>
      <c r="G34" s="20">
        <f>IF('Условия'!$B$26&lt;&gt;"Условия заполнены","",ROUND($B34*'Условия'!$B$13/100,2))</f>
        <v/>
      </c>
      <c r="H34" s="20">
        <f>IF('Условия'!$B$26&lt;&gt;"Условия заполнены","",ROUND($B34-$F34-$G34,2))</f>
        <v/>
      </c>
      <c r="I34" s="20">
        <f>IF('Условия'!$B$26&lt;&gt;"Условия заполнены","",IF($A34='Условия'!$B$7,'Условия'!$B$23,0))</f>
        <v/>
      </c>
      <c r="J34" s="20">
        <f>IF('Условия'!$B$26&lt;&gt;"Условия заполнены","",IFERROR(INDEX($H$5:$H$40,MATCH($A34-'Условия'!$B$17,$A$5:$A$40,0)),0))</f>
        <v/>
      </c>
      <c r="K34" s="20">
        <f>IF('Условия'!$B$26&lt;&gt;"Условия заполнены","",IF(AND('Условия'!$B$13&gt;0,'Условия'!$B$14&gt;0,$A34='Условия'!$B$14),ROUND(MIN(ROUND(SUM($G$5:$G$40)*'Условия'!$B$15/100,2),SUMIFS($G$5:$G$40,$A$5:$A$40,"&lt;="&amp;($A34-'Условия'!$B$17))),2),0))</f>
        <v/>
      </c>
      <c r="L34" s="20">
        <f>IF('Условия'!$B$26&lt;&gt;"Условия заполнены","",ROUND(IFERROR(INDEX($B$5:$B$40,MATCH($A34+'Условия'!$B$19,$A$5:$A$40,0)),0)*'Условия'!$B$18/100,2)+IF($A34=1,'Условия'!$B$20,0)+IF($A34='Условия'!$B$12,'Условия'!$B$24,0))</f>
        <v/>
      </c>
      <c r="M34" s="20">
        <f>IF('Условия'!$B$26&lt;&gt;"Условия заполнены","",ROUND($I34+$J34+$K34-$L34,2))</f>
        <v/>
      </c>
      <c r="N34" s="20">
        <f>IF('Условия'!$B$26&lt;&gt;"Условия заполнены","",ROUND($N33+$M34,2))</f>
        <v/>
      </c>
      <c r="O34" s="22">
        <f>IF('Условия'!$B$26&lt;&gt;"Условия заполнены","",IF($N34&lt;0,$A34,""))</f>
        <v/>
      </c>
      <c r="P34" s="13">
        <f>IF('Условия'!$B$26&lt;&gt;"Условия заполнены","",IF($H34&lt;-0.01,"ОШИБКА: погашение и удержание больше стоимости КС",IF(AND($F34&gt;0.01,$A34&lt;'Условия'!$B$7),"ОШИБКА: аванс погашается до поступления",IF(AND('Условия'!$B$13&gt;0,'Условия'!$B$14&gt;0,$A34='Условия'!$B$14,ROUND(SUM($G$5:$G$40)*'Условия'!$B$15/100,2)&gt;SUMIFS($G$5:$G$40,$A$5:$A$40,"&lt;="&amp;($A34-'Условия'!$B$17))+0.01),"ОШИБКА: возврат больше накопленного удержания",""))))</f>
        <v/>
      </c>
    </row>
    <row r="35">
      <c r="A35" s="17" t="n">
        <v>31</v>
      </c>
      <c r="B35" s="20">
        <f>IF('Условия'!$B$26&lt;&gt;"Условия заполнены","",ROUND(IFERROR('Условия'!$B$5*INDEX('График КС'!$B$5:$B$40,MATCH($A35,'График КС'!$A$5:$A$40,0))/100,0),2))</f>
        <v/>
      </c>
      <c r="C35" s="20">
        <f>IF('Условия'!$B$26&lt;&gt;"Условия заполнены","",SUMIFS($B$5:$B$40,$A$5:$A$40,"&lt;="&amp;$A35))</f>
        <v/>
      </c>
      <c r="D35" s="21">
        <f>IF('Условия'!$B$26&lt;&gt;"Условия заполнены","",SUMIFS('График КС'!$B$5:$B$40,'График КС'!$A$5:$A$40,"&lt;="&amp;$A35))</f>
        <v/>
      </c>
      <c r="E35" s="20">
        <f>IF('Условия'!$B$26&lt;&gt;"Условия заполнены","",IF('Условия'!$B$25=0,0,IFERROR(MAX(0,MIN('Условия'!$B$23,IF('Условия'!$B$25=1,ROUND('Условия'!$B$23*$D35/'График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КС'!$B$42-'Условия'!$B$9),2))))),0)))</f>
        <v/>
      </c>
      <c r="F35" s="20">
        <f>IF('Условия'!$B$26&lt;&gt;"Условия заполнены","",ROUND($E35-$E34,2))</f>
        <v/>
      </c>
      <c r="G35" s="20">
        <f>IF('Условия'!$B$26&lt;&gt;"Условия заполнены","",ROUND($B35*'Условия'!$B$13/100,2))</f>
        <v/>
      </c>
      <c r="H35" s="20">
        <f>IF('Условия'!$B$26&lt;&gt;"Условия заполнены","",ROUND($B35-$F35-$G35,2))</f>
        <v/>
      </c>
      <c r="I35" s="20">
        <f>IF('Условия'!$B$26&lt;&gt;"Условия заполнены","",IF($A35='Условия'!$B$7,'Условия'!$B$23,0))</f>
        <v/>
      </c>
      <c r="J35" s="20">
        <f>IF('Условия'!$B$26&lt;&gt;"Условия заполнены","",IFERROR(INDEX($H$5:$H$40,MATCH($A35-'Условия'!$B$17,$A$5:$A$40,0)),0))</f>
        <v/>
      </c>
      <c r="K35" s="20">
        <f>IF('Условия'!$B$26&lt;&gt;"Условия заполнены","",IF(AND('Условия'!$B$13&gt;0,'Условия'!$B$14&gt;0,$A35='Условия'!$B$14),ROUND(MIN(ROUND(SUM($G$5:$G$40)*'Условия'!$B$15/100,2),SUMIFS($G$5:$G$40,$A$5:$A$40,"&lt;="&amp;($A35-'Условия'!$B$17))),2),0))</f>
        <v/>
      </c>
      <c r="L35" s="20">
        <f>IF('Условия'!$B$26&lt;&gt;"Условия заполнены","",ROUND(IFERROR(INDEX($B$5:$B$40,MATCH($A35+'Условия'!$B$19,$A$5:$A$40,0)),0)*'Условия'!$B$18/100,2)+IF($A35=1,'Условия'!$B$20,0)+IF($A35='Условия'!$B$12,'Условия'!$B$24,0))</f>
        <v/>
      </c>
      <c r="M35" s="20">
        <f>IF('Условия'!$B$26&lt;&gt;"Условия заполнены","",ROUND($I35+$J35+$K35-$L35,2))</f>
        <v/>
      </c>
      <c r="N35" s="20">
        <f>IF('Условия'!$B$26&lt;&gt;"Условия заполнены","",ROUND($N34+$M35,2))</f>
        <v/>
      </c>
      <c r="O35" s="22">
        <f>IF('Условия'!$B$26&lt;&gt;"Условия заполнены","",IF($N35&lt;0,$A35,""))</f>
        <v/>
      </c>
      <c r="P35" s="13">
        <f>IF('Условия'!$B$26&lt;&gt;"Условия заполнены","",IF($H35&lt;-0.01,"ОШИБКА: погашение и удержание больше стоимости КС",IF(AND($F35&gt;0.01,$A35&lt;'Условия'!$B$7),"ОШИБКА: аванс погашается до поступления",IF(AND('Условия'!$B$13&gt;0,'Условия'!$B$14&gt;0,$A35='Условия'!$B$14,ROUND(SUM($G$5:$G$40)*'Условия'!$B$15/100,2)&gt;SUMIFS($G$5:$G$40,$A$5:$A$40,"&lt;="&amp;($A35-'Условия'!$B$17))+0.01),"ОШИБКА: возврат больше накопленного удержания",""))))</f>
        <v/>
      </c>
    </row>
    <row r="36">
      <c r="A36" s="17" t="n">
        <v>32</v>
      </c>
      <c r="B36" s="20">
        <f>IF('Условия'!$B$26&lt;&gt;"Условия заполнены","",ROUND(IFERROR('Условия'!$B$5*INDEX('График КС'!$B$5:$B$40,MATCH($A36,'График КС'!$A$5:$A$40,0))/100,0),2))</f>
        <v/>
      </c>
      <c r="C36" s="20">
        <f>IF('Условия'!$B$26&lt;&gt;"Условия заполнены","",SUMIFS($B$5:$B$40,$A$5:$A$40,"&lt;="&amp;$A36))</f>
        <v/>
      </c>
      <c r="D36" s="21">
        <f>IF('Условия'!$B$26&lt;&gt;"Условия заполнены","",SUMIFS('График КС'!$B$5:$B$40,'График КС'!$A$5:$A$40,"&lt;="&amp;$A36))</f>
        <v/>
      </c>
      <c r="E36" s="20">
        <f>IF('Условия'!$B$26&lt;&gt;"Условия заполнены","",IF('Условия'!$B$25=0,0,IFERROR(MAX(0,MIN('Условия'!$B$23,IF('Условия'!$B$25=1,ROUND('Условия'!$B$23*$D36/'График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КС'!$B$42-'Условия'!$B$9),2))))),0)))</f>
        <v/>
      </c>
      <c r="F36" s="20">
        <f>IF('Условия'!$B$26&lt;&gt;"Условия заполнены","",ROUND($E36-$E35,2))</f>
        <v/>
      </c>
      <c r="G36" s="20">
        <f>IF('Условия'!$B$26&lt;&gt;"Условия заполнены","",ROUND($B36*'Условия'!$B$13/100,2))</f>
        <v/>
      </c>
      <c r="H36" s="20">
        <f>IF('Условия'!$B$26&lt;&gt;"Условия заполнены","",ROUND($B36-$F36-$G36,2))</f>
        <v/>
      </c>
      <c r="I36" s="20">
        <f>IF('Условия'!$B$26&lt;&gt;"Условия заполнены","",IF($A36='Условия'!$B$7,'Условия'!$B$23,0))</f>
        <v/>
      </c>
      <c r="J36" s="20">
        <f>IF('Условия'!$B$26&lt;&gt;"Условия заполнены","",IFERROR(INDEX($H$5:$H$40,MATCH($A36-'Условия'!$B$17,$A$5:$A$40,0)),0))</f>
        <v/>
      </c>
      <c r="K36" s="20">
        <f>IF('Условия'!$B$26&lt;&gt;"Условия заполнены","",IF(AND('Условия'!$B$13&gt;0,'Условия'!$B$14&gt;0,$A36='Условия'!$B$14),ROUND(MIN(ROUND(SUM($G$5:$G$40)*'Условия'!$B$15/100,2),SUMIFS($G$5:$G$40,$A$5:$A$40,"&lt;="&amp;($A36-'Условия'!$B$17))),2),0))</f>
        <v/>
      </c>
      <c r="L36" s="20">
        <f>IF('Условия'!$B$26&lt;&gt;"Условия заполнены","",ROUND(IFERROR(INDEX($B$5:$B$40,MATCH($A36+'Условия'!$B$19,$A$5:$A$40,0)),0)*'Условия'!$B$18/100,2)+IF($A36=1,'Условия'!$B$20,0)+IF($A36='Условия'!$B$12,'Условия'!$B$24,0))</f>
        <v/>
      </c>
      <c r="M36" s="20">
        <f>IF('Условия'!$B$26&lt;&gt;"Условия заполнены","",ROUND($I36+$J36+$K36-$L36,2))</f>
        <v/>
      </c>
      <c r="N36" s="20">
        <f>IF('Условия'!$B$26&lt;&gt;"Условия заполнены","",ROUND($N35+$M36,2))</f>
        <v/>
      </c>
      <c r="O36" s="22">
        <f>IF('Условия'!$B$26&lt;&gt;"Условия заполнены","",IF($N36&lt;0,$A36,""))</f>
        <v/>
      </c>
      <c r="P36" s="13">
        <f>IF('Условия'!$B$26&lt;&gt;"Условия заполнены","",IF($H36&lt;-0.01,"ОШИБКА: погашение и удержание больше стоимости КС",IF(AND($F36&gt;0.01,$A36&lt;'Условия'!$B$7),"ОШИБКА: аванс погашается до поступления",IF(AND('Условия'!$B$13&gt;0,'Условия'!$B$14&gt;0,$A36='Условия'!$B$14,ROUND(SUM($G$5:$G$40)*'Условия'!$B$15/100,2)&gt;SUMIFS($G$5:$G$40,$A$5:$A$40,"&lt;="&amp;($A36-'Условия'!$B$17))+0.01),"ОШИБКА: возврат больше накопленного удержания",""))))</f>
        <v/>
      </c>
    </row>
    <row r="37">
      <c r="A37" s="17" t="n">
        <v>33</v>
      </c>
      <c r="B37" s="20">
        <f>IF('Условия'!$B$26&lt;&gt;"Условия заполнены","",ROUND(IFERROR('Условия'!$B$5*INDEX('График КС'!$B$5:$B$40,MATCH($A37,'График КС'!$A$5:$A$40,0))/100,0),2))</f>
        <v/>
      </c>
      <c r="C37" s="20">
        <f>IF('Условия'!$B$26&lt;&gt;"Условия заполнены","",SUMIFS($B$5:$B$40,$A$5:$A$40,"&lt;="&amp;$A37))</f>
        <v/>
      </c>
      <c r="D37" s="21">
        <f>IF('Условия'!$B$26&lt;&gt;"Условия заполнены","",SUMIFS('График КС'!$B$5:$B$40,'График КС'!$A$5:$A$40,"&lt;="&amp;$A37))</f>
        <v/>
      </c>
      <c r="E37" s="20">
        <f>IF('Условия'!$B$26&lt;&gt;"Условия заполнены","",IF('Условия'!$B$25=0,0,IFERROR(MAX(0,MIN('Условия'!$B$23,IF('Условия'!$B$25=1,ROUND('Условия'!$B$23*$D37/'График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КС'!$B$42-'Условия'!$B$9),2))))),0)))</f>
        <v/>
      </c>
      <c r="F37" s="20">
        <f>IF('Условия'!$B$26&lt;&gt;"Условия заполнены","",ROUND($E37-$E36,2))</f>
        <v/>
      </c>
      <c r="G37" s="20">
        <f>IF('Условия'!$B$26&lt;&gt;"Условия заполнены","",ROUND($B37*'Условия'!$B$13/100,2))</f>
        <v/>
      </c>
      <c r="H37" s="20">
        <f>IF('Условия'!$B$26&lt;&gt;"Условия заполнены","",ROUND($B37-$F37-$G37,2))</f>
        <v/>
      </c>
      <c r="I37" s="20">
        <f>IF('Условия'!$B$26&lt;&gt;"Условия заполнены","",IF($A37='Условия'!$B$7,'Условия'!$B$23,0))</f>
        <v/>
      </c>
      <c r="J37" s="20">
        <f>IF('Условия'!$B$26&lt;&gt;"Условия заполнены","",IFERROR(INDEX($H$5:$H$40,MATCH($A37-'Условия'!$B$17,$A$5:$A$40,0)),0))</f>
        <v/>
      </c>
      <c r="K37" s="20">
        <f>IF('Условия'!$B$26&lt;&gt;"Условия заполнены","",IF(AND('Условия'!$B$13&gt;0,'Условия'!$B$14&gt;0,$A37='Условия'!$B$14),ROUND(MIN(ROUND(SUM($G$5:$G$40)*'Условия'!$B$15/100,2),SUMIFS($G$5:$G$40,$A$5:$A$40,"&lt;="&amp;($A37-'Условия'!$B$17))),2),0))</f>
        <v/>
      </c>
      <c r="L37" s="20">
        <f>IF('Условия'!$B$26&lt;&gt;"Условия заполнены","",ROUND(IFERROR(INDEX($B$5:$B$40,MATCH($A37+'Условия'!$B$19,$A$5:$A$40,0)),0)*'Условия'!$B$18/100,2)+IF($A37=1,'Условия'!$B$20,0)+IF($A37='Условия'!$B$12,'Условия'!$B$24,0))</f>
        <v/>
      </c>
      <c r="M37" s="20">
        <f>IF('Условия'!$B$26&lt;&gt;"Условия заполнены","",ROUND($I37+$J37+$K37-$L37,2))</f>
        <v/>
      </c>
      <c r="N37" s="20">
        <f>IF('Условия'!$B$26&lt;&gt;"Условия заполнены","",ROUND($N36+$M37,2))</f>
        <v/>
      </c>
      <c r="O37" s="22">
        <f>IF('Условия'!$B$26&lt;&gt;"Условия заполнены","",IF($N37&lt;0,$A37,""))</f>
        <v/>
      </c>
      <c r="P37" s="13">
        <f>IF('Условия'!$B$26&lt;&gt;"Условия заполнены","",IF($H37&lt;-0.01,"ОШИБКА: погашение и удержание больше стоимости КС",IF(AND($F37&gt;0.01,$A37&lt;'Условия'!$B$7),"ОШИБКА: аванс погашается до поступления",IF(AND('Условия'!$B$13&gt;0,'Условия'!$B$14&gt;0,$A37='Условия'!$B$14,ROUND(SUM($G$5:$G$40)*'Условия'!$B$15/100,2)&gt;SUMIFS($G$5:$G$40,$A$5:$A$40,"&lt;="&amp;($A37-'Условия'!$B$17))+0.01),"ОШИБКА: возврат больше накопленного удержания",""))))</f>
        <v/>
      </c>
    </row>
    <row r="38">
      <c r="A38" s="17" t="n">
        <v>34</v>
      </c>
      <c r="B38" s="20">
        <f>IF('Условия'!$B$26&lt;&gt;"Условия заполнены","",ROUND(IFERROR('Условия'!$B$5*INDEX('График КС'!$B$5:$B$40,MATCH($A38,'График КС'!$A$5:$A$40,0))/100,0),2))</f>
        <v/>
      </c>
      <c r="C38" s="20">
        <f>IF('Условия'!$B$26&lt;&gt;"Условия заполнены","",SUMIFS($B$5:$B$40,$A$5:$A$40,"&lt;="&amp;$A38))</f>
        <v/>
      </c>
      <c r="D38" s="21">
        <f>IF('Условия'!$B$26&lt;&gt;"Условия заполнены","",SUMIFS('График КС'!$B$5:$B$40,'График КС'!$A$5:$A$40,"&lt;="&amp;$A38))</f>
        <v/>
      </c>
      <c r="E38" s="20">
        <f>IF('Условия'!$B$26&lt;&gt;"Условия заполнены","",IF('Условия'!$B$25=0,0,IFERROR(MAX(0,MIN('Условия'!$B$23,IF('Условия'!$B$25=1,ROUND('Условия'!$B$23*$D38/'График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КС'!$B$42-'Условия'!$B$9),2))))),0)))</f>
        <v/>
      </c>
      <c r="F38" s="20">
        <f>IF('Условия'!$B$26&lt;&gt;"Условия заполнены","",ROUND($E38-$E37,2))</f>
        <v/>
      </c>
      <c r="G38" s="20">
        <f>IF('Условия'!$B$26&lt;&gt;"Условия заполнены","",ROUND($B38*'Условия'!$B$13/100,2))</f>
        <v/>
      </c>
      <c r="H38" s="20">
        <f>IF('Условия'!$B$26&lt;&gt;"Условия заполнены","",ROUND($B38-$F38-$G38,2))</f>
        <v/>
      </c>
      <c r="I38" s="20">
        <f>IF('Условия'!$B$26&lt;&gt;"Условия заполнены","",IF($A38='Условия'!$B$7,'Условия'!$B$23,0))</f>
        <v/>
      </c>
      <c r="J38" s="20">
        <f>IF('Условия'!$B$26&lt;&gt;"Условия заполнены","",IFERROR(INDEX($H$5:$H$40,MATCH($A38-'Условия'!$B$17,$A$5:$A$40,0)),0))</f>
        <v/>
      </c>
      <c r="K38" s="20">
        <f>IF('Условия'!$B$26&lt;&gt;"Условия заполнены","",IF(AND('Условия'!$B$13&gt;0,'Условия'!$B$14&gt;0,$A38='Условия'!$B$14),ROUND(MIN(ROUND(SUM($G$5:$G$40)*'Условия'!$B$15/100,2),SUMIFS($G$5:$G$40,$A$5:$A$40,"&lt;="&amp;($A38-'Условия'!$B$17))),2),0))</f>
        <v/>
      </c>
      <c r="L38" s="20">
        <f>IF('Условия'!$B$26&lt;&gt;"Условия заполнены","",ROUND(IFERROR(INDEX($B$5:$B$40,MATCH($A38+'Условия'!$B$19,$A$5:$A$40,0)),0)*'Условия'!$B$18/100,2)+IF($A38=1,'Условия'!$B$20,0)+IF($A38='Условия'!$B$12,'Условия'!$B$24,0))</f>
        <v/>
      </c>
      <c r="M38" s="20">
        <f>IF('Условия'!$B$26&lt;&gt;"Условия заполнены","",ROUND($I38+$J38+$K38-$L38,2))</f>
        <v/>
      </c>
      <c r="N38" s="20">
        <f>IF('Условия'!$B$26&lt;&gt;"Условия заполнены","",ROUND($N37+$M38,2))</f>
        <v/>
      </c>
      <c r="O38" s="22">
        <f>IF('Условия'!$B$26&lt;&gt;"Условия заполнены","",IF($N38&lt;0,$A38,""))</f>
        <v/>
      </c>
      <c r="P38" s="13">
        <f>IF('Условия'!$B$26&lt;&gt;"Условия заполнены","",IF($H38&lt;-0.01,"ОШИБКА: погашение и удержание больше стоимости КС",IF(AND($F38&gt;0.01,$A38&lt;'Условия'!$B$7),"ОШИБКА: аванс погашается до поступления",IF(AND('Условия'!$B$13&gt;0,'Условия'!$B$14&gt;0,$A38='Условия'!$B$14,ROUND(SUM($G$5:$G$40)*'Условия'!$B$15/100,2)&gt;SUMIFS($G$5:$G$40,$A$5:$A$40,"&lt;="&amp;($A38-'Условия'!$B$17))+0.01),"ОШИБКА: возврат больше накопленного удержания",""))))</f>
        <v/>
      </c>
    </row>
    <row r="39">
      <c r="A39" s="17" t="n">
        <v>35</v>
      </c>
      <c r="B39" s="20">
        <f>IF('Условия'!$B$26&lt;&gt;"Условия заполнены","",ROUND(IFERROR('Условия'!$B$5*INDEX('График КС'!$B$5:$B$40,MATCH($A39,'График КС'!$A$5:$A$40,0))/100,0),2))</f>
        <v/>
      </c>
      <c r="C39" s="20">
        <f>IF('Условия'!$B$26&lt;&gt;"Условия заполнены","",SUMIFS($B$5:$B$40,$A$5:$A$40,"&lt;="&amp;$A39))</f>
        <v/>
      </c>
      <c r="D39" s="21">
        <f>IF('Условия'!$B$26&lt;&gt;"Условия заполнены","",SUMIFS('График КС'!$B$5:$B$40,'График КС'!$A$5:$A$40,"&lt;="&amp;$A39))</f>
        <v/>
      </c>
      <c r="E39" s="20">
        <f>IF('Условия'!$B$26&lt;&gt;"Условия заполнены","",IF('Условия'!$B$25=0,0,IFERROR(MAX(0,MIN('Условия'!$B$23,IF('Условия'!$B$25=1,ROUND('Условия'!$B$23*$D39/'График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КС'!$B$42-'Условия'!$B$9),2))))),0)))</f>
        <v/>
      </c>
      <c r="F39" s="20">
        <f>IF('Условия'!$B$26&lt;&gt;"Условия заполнены","",ROUND($E39-$E38,2))</f>
        <v/>
      </c>
      <c r="G39" s="20">
        <f>IF('Условия'!$B$26&lt;&gt;"Условия заполнены","",ROUND($B39*'Условия'!$B$13/100,2))</f>
        <v/>
      </c>
      <c r="H39" s="20">
        <f>IF('Условия'!$B$26&lt;&gt;"Условия заполнены","",ROUND($B39-$F39-$G39,2))</f>
        <v/>
      </c>
      <c r="I39" s="20">
        <f>IF('Условия'!$B$26&lt;&gt;"Условия заполнены","",IF($A39='Условия'!$B$7,'Условия'!$B$23,0))</f>
        <v/>
      </c>
      <c r="J39" s="20">
        <f>IF('Условия'!$B$26&lt;&gt;"Условия заполнены","",IFERROR(INDEX($H$5:$H$40,MATCH($A39-'Условия'!$B$17,$A$5:$A$40,0)),0))</f>
        <v/>
      </c>
      <c r="K39" s="20">
        <f>IF('Условия'!$B$26&lt;&gt;"Условия заполнены","",IF(AND('Условия'!$B$13&gt;0,'Условия'!$B$14&gt;0,$A39='Условия'!$B$14),ROUND(MIN(ROUND(SUM($G$5:$G$40)*'Условия'!$B$15/100,2),SUMIFS($G$5:$G$40,$A$5:$A$40,"&lt;="&amp;($A39-'Условия'!$B$17))),2),0))</f>
        <v/>
      </c>
      <c r="L39" s="20">
        <f>IF('Условия'!$B$26&lt;&gt;"Условия заполнены","",ROUND(IFERROR(INDEX($B$5:$B$40,MATCH($A39+'Условия'!$B$19,$A$5:$A$40,0)),0)*'Условия'!$B$18/100,2)+IF($A39=1,'Условия'!$B$20,0)+IF($A39='Условия'!$B$12,'Условия'!$B$24,0))</f>
        <v/>
      </c>
      <c r="M39" s="20">
        <f>IF('Условия'!$B$26&lt;&gt;"Условия заполнены","",ROUND($I39+$J39+$K39-$L39,2))</f>
        <v/>
      </c>
      <c r="N39" s="20">
        <f>IF('Условия'!$B$26&lt;&gt;"Условия заполнены","",ROUND($N38+$M39,2))</f>
        <v/>
      </c>
      <c r="O39" s="22">
        <f>IF('Условия'!$B$26&lt;&gt;"Условия заполнены","",IF($N39&lt;0,$A39,""))</f>
        <v/>
      </c>
      <c r="P39" s="13">
        <f>IF('Условия'!$B$26&lt;&gt;"Условия заполнены","",IF($H39&lt;-0.01,"ОШИБКА: погашение и удержание больше стоимости КС",IF(AND($F39&gt;0.01,$A39&lt;'Условия'!$B$7),"ОШИБКА: аванс погашается до поступления",IF(AND('Условия'!$B$13&gt;0,'Условия'!$B$14&gt;0,$A39='Условия'!$B$14,ROUND(SUM($G$5:$G$40)*'Условия'!$B$15/100,2)&gt;SUMIFS($G$5:$G$40,$A$5:$A$40,"&lt;="&amp;($A39-'Условия'!$B$17))+0.01),"ОШИБКА: возврат больше накопленного удержания",""))))</f>
        <v/>
      </c>
    </row>
    <row r="40">
      <c r="A40" s="17" t="n">
        <v>36</v>
      </c>
      <c r="B40" s="20">
        <f>IF('Условия'!$B$26&lt;&gt;"Условия заполнены","",ROUND(IFERROR('Условия'!$B$5*INDEX('График КС'!$B$5:$B$40,MATCH($A40,'График КС'!$A$5:$A$40,0))/100,0),2))</f>
        <v/>
      </c>
      <c r="C40" s="20">
        <f>IF('Условия'!$B$26&lt;&gt;"Условия заполнены","",SUMIFS($B$5:$B$40,$A$5:$A$40,"&lt;="&amp;$A40))</f>
        <v/>
      </c>
      <c r="D40" s="21">
        <f>IF('Условия'!$B$26&lt;&gt;"Условия заполнены","",SUMIFS('График КС'!$B$5:$B$40,'График КС'!$A$5:$A$40,"&lt;="&amp;$A40))</f>
        <v/>
      </c>
      <c r="E40" s="20">
        <f>IF('Условия'!$B$26&lt;&gt;"Условия заполнены","",IF('Условия'!$B$25=0,0,IFERROR(MAX(0,MIN('Условия'!$B$23,IF('Условия'!$B$25=1,ROUND('Условия'!$B$23*$D40/'График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КС'!$B$42-'Условия'!$B$9),2))))),0)))</f>
        <v/>
      </c>
      <c r="F40" s="20">
        <f>IF('Условия'!$B$26&lt;&gt;"Условия заполнены","",ROUND($E40-$E39,2))</f>
        <v/>
      </c>
      <c r="G40" s="20">
        <f>IF('Условия'!$B$26&lt;&gt;"Условия заполнены","",ROUND($B40*'Условия'!$B$13/100,2))</f>
        <v/>
      </c>
      <c r="H40" s="20">
        <f>IF('Условия'!$B$26&lt;&gt;"Условия заполнены","",ROUND($B40-$F40-$G40,2))</f>
        <v/>
      </c>
      <c r="I40" s="20">
        <f>IF('Условия'!$B$26&lt;&gt;"Условия заполнены","",IF($A40='Условия'!$B$7,'Условия'!$B$23,0))</f>
        <v/>
      </c>
      <c r="J40" s="20">
        <f>IF('Условия'!$B$26&lt;&gt;"Условия заполнены","",IFERROR(INDEX($H$5:$H$40,MATCH($A40-'Условия'!$B$17,$A$5:$A$40,0)),0))</f>
        <v/>
      </c>
      <c r="K40" s="20">
        <f>IF('Условия'!$B$26&lt;&gt;"Условия заполнены","",IF(AND('Условия'!$B$13&gt;0,'Условия'!$B$14&gt;0,$A40='Условия'!$B$14),ROUND(MIN(ROUND(SUM($G$5:$G$40)*'Условия'!$B$15/100,2),SUMIFS($G$5:$G$40,$A$5:$A$40,"&lt;="&amp;($A40-'Условия'!$B$17))),2),0))</f>
        <v/>
      </c>
      <c r="L40" s="20">
        <f>IF('Условия'!$B$26&lt;&gt;"Условия заполнены","",ROUND(IFERROR(INDEX($B$5:$B$40,MATCH($A40+'Условия'!$B$19,$A$5:$A$40,0)),0)*'Условия'!$B$18/100,2)+IF($A40=1,'Условия'!$B$20,0)+IF($A40='Условия'!$B$12,'Условия'!$B$24,0))</f>
        <v/>
      </c>
      <c r="M40" s="20">
        <f>IF('Условия'!$B$26&lt;&gt;"Условия заполнены","",ROUND($I40+$J40+$K40-$L40,2))</f>
        <v/>
      </c>
      <c r="N40" s="20">
        <f>IF('Условия'!$B$26&lt;&gt;"Условия заполнены","",ROUND($N39+$M40,2))</f>
        <v/>
      </c>
      <c r="O40" s="22">
        <f>IF('Условия'!$B$26&lt;&gt;"Условия заполнены","",IF($N40&lt;0,$A40,""))</f>
        <v/>
      </c>
      <c r="P40" s="13">
        <f>IF('Условия'!$B$26&lt;&gt;"Условия заполнены","",IF($H40&lt;-0.01,"ОШИБКА: погашение и удержание больше стоимости КС",IF(AND($F40&gt;0.01,$A40&lt;'Условия'!$B$7),"ОШИБКА: аванс погашается до поступления",IF(AND('Условия'!$B$13&gt;0,'Условия'!$B$14&gt;0,$A40='Условия'!$B$14,ROUND(SUM($G$5:$G$40)*'Условия'!$B$15/100,2)&gt;SUMIFS($G$5:$G$40,$A$5:$A$40,"&lt;="&amp;($A40-'Условия'!$B$17))+0.01),"ОШИБКА: возврат больше накопленного удержания",""))))</f>
        <v/>
      </c>
    </row>
    <row r="42">
      <c r="A42" s="9" t="inlineStr">
        <is>
          <t>Итого</t>
        </is>
      </c>
      <c r="B42" s="23">
        <f>IF('Условия'!$B$26&lt;&gt;"Условия заполнены","",ROUND(SUM($B$5:$B$40),2))</f>
        <v/>
      </c>
      <c r="F42" s="23">
        <f>IF('Условия'!$B$26&lt;&gt;"Условия заполнены","",ROUND(SUM($F$5:$F$40),2))</f>
        <v/>
      </c>
      <c r="G42" s="23">
        <f>IF('Условия'!$B$26&lt;&gt;"Условия заполнены","",ROUND(SUM($G$5:$G$40),2))</f>
        <v/>
      </c>
      <c r="H42" s="23">
        <f>IF('Условия'!$B$26&lt;&gt;"Условия заполнены","",ROUND(SUM($H$5:$H$40),2))</f>
        <v/>
      </c>
      <c r="I42" s="23">
        <f>IF('Условия'!$B$26&lt;&gt;"Условия заполнены","",ROUND(SUM($I$5:$I$40),2))</f>
        <v/>
      </c>
      <c r="J42" s="23">
        <f>IF('Условия'!$B$26&lt;&gt;"Условия заполнены","",ROUND(SUM($J$5:$J$40),2))</f>
        <v/>
      </c>
      <c r="K42" s="23">
        <f>IF('Условия'!$B$26&lt;&gt;"Условия заполнены","",ROUND(SUM($K$5:$K$40),2))</f>
        <v/>
      </c>
      <c r="L42" s="23">
        <f>IF('Условия'!$B$26&lt;&gt;"Условия заполнены","",ROUND(SUM($L$5:$L$40),2))</f>
        <v/>
      </c>
      <c r="M42" s="23">
        <f>IF('Условия'!$B$26&lt;&gt;"Условия заполнены","",ROUND(SUM($M$5:$M$40),2))</f>
        <v/>
      </c>
      <c r="N42" s="23">
        <f>IF('Условия'!$B$26&lt;&gt;"Условия заполнены","",$N$40)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Б</t>
        </is>
      </c>
    </row>
    <row r="2" ht="46" customHeight="1">
      <c r="A2" s="2" t="inlineStr">
        <is>
          <t>Помесячные денежные потоки. Колонка P показывает противоречия по срокам и суммам; при них итог сравнения блокируется. Возврат удержания ограничен суммой, накопленной к плановой дате оплаты КС.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 xml:space="preserve">Отрицательный остаток</t>
        </is>
      </c>
      <c r="P4" s="3" t="inlineStr">
        <is>
          <t>Проверка</t>
        </is>
      </c>
    </row>
    <row r="5">
      <c r="A5" s="17" t="n">
        <v>1</v>
      </c>
      <c r="B5" s="20">
        <f>IF('Условия'!$C$26&lt;&gt;"Условия заполнены","",ROUND(IFERROR('Условия'!$C$5*INDEX('График КС'!$C$5:$C$40,MATCH($A5,'График КС'!$A$5:$A$40,0))/100,0),2))</f>
        <v/>
      </c>
      <c r="C5" s="20">
        <f>IF('Условия'!$C$26&lt;&gt;"Условия заполнены","",SUMIFS($B$5:$B$40,$A$5:$A$40,"&lt;="&amp;$A5))</f>
        <v/>
      </c>
      <c r="D5" s="21">
        <f>IF('Условия'!$C$26&lt;&gt;"Условия заполнены","",SUMIFS('График КС'!$C$5:$C$40,'График КС'!$A$5:$A$40,"&lt;="&amp;$A5))</f>
        <v/>
      </c>
      <c r="E5" s="20">
        <f>IF('Условия'!$C$26&lt;&gt;"Условия заполнены","",IF('Условия'!$C$25=0,0,IFERROR(MAX(0,MIN('Условия'!$C$23,IF('Условия'!$C$25=1,ROUND('Условия'!$C$23*$D5/'График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КС'!$C$42-'Условия'!$C$9),2))))),0)))</f>
        <v/>
      </c>
      <c r="F5" s="20">
        <f>IF('Условия'!$C$26&lt;&gt;"Условия заполнены","",ROUND($E5,2))</f>
        <v/>
      </c>
      <c r="G5" s="20">
        <f>IF('Условия'!$C$26&lt;&gt;"Условия заполнены","",ROUND($B5*'Условия'!$C$13/100,2))</f>
        <v/>
      </c>
      <c r="H5" s="20">
        <f>IF('Условия'!$C$26&lt;&gt;"Условия заполнены","",ROUND($B5-$F5-$G5,2))</f>
        <v/>
      </c>
      <c r="I5" s="20">
        <f>IF('Условия'!$C$26&lt;&gt;"Условия заполнены","",IF($A5='Условия'!$C$7,'Условия'!$C$23,0))</f>
        <v/>
      </c>
      <c r="J5" s="20">
        <f>IF('Условия'!$C$26&lt;&gt;"Условия заполнены","",IFERROR(INDEX($H$5:$H$40,MATCH($A5-'Условия'!$C$17,$A$5:$A$40,0)),0))</f>
        <v/>
      </c>
      <c r="K5" s="20">
        <f>IF('Условия'!$C$26&lt;&gt;"Условия заполнены","",IF(AND('Условия'!$C$13&gt;0,'Условия'!$C$14&gt;0,$A5='Условия'!$C$14),ROUND(MIN(ROUND(SUM($G$5:$G$40)*'Условия'!$C$15/100,2),SUMIFS($G$5:$G$40,$A$5:$A$40,"&lt;="&amp;($A5-'Условия'!$C$17))),2),0))</f>
        <v/>
      </c>
      <c r="L5" s="20">
        <f>IF('Условия'!$C$26&lt;&gt;"Условия заполнены","",ROUND(SUMIFS($B$5:$B$40,$A$5:$A$40,"&lt;="&amp;($A5+'Условия'!$C$19))*'Условия'!$C$18/100,2)+IF($A5=1,'Условия'!$C$20,0)+IF($A5='Условия'!$C$12,'Условия'!$C$24,0))</f>
        <v/>
      </c>
      <c r="M5" s="20">
        <f>IF('Условия'!$C$26&lt;&gt;"Условия заполнены","",ROUND($I5+$J5+$K5-$L5,2))</f>
        <v/>
      </c>
      <c r="N5" s="20">
        <f>IF('Условия'!$C$26&lt;&gt;"Условия заполнены","",ROUND($M5,2))</f>
        <v/>
      </c>
      <c r="O5" s="22">
        <f>IF('Условия'!$C$26&lt;&gt;"Условия заполнены","",IF($N5&lt;0,$A5,""))</f>
        <v/>
      </c>
      <c r="P5" s="13">
        <f>IF('Условия'!$C$26&lt;&gt;"Условия заполнены","",IF($H5&lt;-0.01,"ОШИБКА: погашение и удержание больше стоимости КС",IF(AND($F5&gt;0.01,$A5&lt;'Условия'!$C$7),"ОШИБКА: аванс погашается до поступления",IF(AND('Условия'!$C$13&gt;0,'Условия'!$C$14&gt;0,$A5='Условия'!$C$14,ROUND(SUM($G$5:$G$40)*'Условия'!$C$15/100,2)&gt;SUMIFS($G$5:$G$40,$A$5:$A$40,"&lt;="&amp;($A5-'Условия'!$C$17))+0.01),"ОШИБКА: возврат больше накопленного удержания",""))))</f>
        <v/>
      </c>
    </row>
    <row r="6">
      <c r="A6" s="17" t="n">
        <v>2</v>
      </c>
      <c r="B6" s="20">
        <f>IF('Условия'!$C$26&lt;&gt;"Условия заполнены","",ROUND(IFERROR('Условия'!$C$5*INDEX('График КС'!$C$5:$C$40,MATCH($A6,'График КС'!$A$5:$A$40,0))/100,0),2))</f>
        <v/>
      </c>
      <c r="C6" s="20">
        <f>IF('Условия'!$C$26&lt;&gt;"Условия заполнены","",SUMIFS($B$5:$B$40,$A$5:$A$40,"&lt;="&amp;$A6))</f>
        <v/>
      </c>
      <c r="D6" s="21">
        <f>IF('Условия'!$C$26&lt;&gt;"Условия заполнены","",SUMIFS('График КС'!$C$5:$C$40,'График КС'!$A$5:$A$40,"&lt;="&amp;$A6))</f>
        <v/>
      </c>
      <c r="E6" s="20">
        <f>IF('Условия'!$C$26&lt;&gt;"Условия заполнены","",IF('Условия'!$C$25=0,0,IFERROR(MAX(0,MIN('Условия'!$C$23,IF('Условия'!$C$25=1,ROUND('Условия'!$C$23*$D6/'График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КС'!$C$42-'Условия'!$C$9),2))))),0)))</f>
        <v/>
      </c>
      <c r="F6" s="20">
        <f>IF('Условия'!$C$26&lt;&gt;"Условия заполнены","",ROUND($E6-$E5,2))</f>
        <v/>
      </c>
      <c r="G6" s="20">
        <f>IF('Условия'!$C$26&lt;&gt;"Условия заполнены","",ROUND($B6*'Условия'!$C$13/100,2))</f>
        <v/>
      </c>
      <c r="H6" s="20">
        <f>IF('Условия'!$C$26&lt;&gt;"Условия заполнены","",ROUND($B6-$F6-$G6,2))</f>
        <v/>
      </c>
      <c r="I6" s="20">
        <f>IF('Условия'!$C$26&lt;&gt;"Условия заполнены","",IF($A6='Условия'!$C$7,'Условия'!$C$23,0))</f>
        <v/>
      </c>
      <c r="J6" s="20">
        <f>IF('Условия'!$C$26&lt;&gt;"Условия заполнены","",IFERROR(INDEX($H$5:$H$40,MATCH($A6-'Условия'!$C$17,$A$5:$A$40,0)),0))</f>
        <v/>
      </c>
      <c r="K6" s="20">
        <f>IF('Условия'!$C$26&lt;&gt;"Условия заполнены","",IF(AND('Условия'!$C$13&gt;0,'Условия'!$C$14&gt;0,$A6='Условия'!$C$14),ROUND(MIN(ROUND(SUM($G$5:$G$40)*'Условия'!$C$15/100,2),SUMIFS($G$5:$G$40,$A$5:$A$40,"&lt;="&amp;($A6-'Условия'!$C$17))),2),0))</f>
        <v/>
      </c>
      <c r="L6" s="20">
        <f>IF('Условия'!$C$26&lt;&gt;"Условия заполнены","",ROUND(IFERROR(INDEX($B$5:$B$40,MATCH($A6+'Условия'!$C$19,$A$5:$A$40,0)),0)*'Условия'!$C$18/100,2)+IF($A6=1,'Условия'!$C$20,0)+IF($A6='Условия'!$C$12,'Условия'!$C$24,0))</f>
        <v/>
      </c>
      <c r="M6" s="20">
        <f>IF('Условия'!$C$26&lt;&gt;"Условия заполнены","",ROUND($I6+$J6+$K6-$L6,2))</f>
        <v/>
      </c>
      <c r="N6" s="20">
        <f>IF('Условия'!$C$26&lt;&gt;"Условия заполнены","",ROUND($N5+$M6,2))</f>
        <v/>
      </c>
      <c r="O6" s="22">
        <f>IF('Условия'!$C$26&lt;&gt;"Условия заполнены","",IF($N6&lt;0,$A6,""))</f>
        <v/>
      </c>
      <c r="P6" s="13">
        <f>IF('Условия'!$C$26&lt;&gt;"Условия заполнены","",IF($H6&lt;-0.01,"ОШИБКА: погашение и удержание больше стоимости КС",IF(AND($F6&gt;0.01,$A6&lt;'Условия'!$C$7),"ОШИБКА: аванс погашается до поступления",IF(AND('Условия'!$C$13&gt;0,'Условия'!$C$14&gt;0,$A6='Условия'!$C$14,ROUND(SUM($G$5:$G$40)*'Условия'!$C$15/100,2)&gt;SUMIFS($G$5:$G$40,$A$5:$A$40,"&lt;="&amp;($A6-'Условия'!$C$17))+0.01),"ОШИБКА: возврат больше накопленного удержания",""))))</f>
        <v/>
      </c>
    </row>
    <row r="7">
      <c r="A7" s="17" t="n">
        <v>3</v>
      </c>
      <c r="B7" s="20">
        <f>IF('Условия'!$C$26&lt;&gt;"Условия заполнены","",ROUND(IFERROR('Условия'!$C$5*INDEX('График КС'!$C$5:$C$40,MATCH($A7,'График КС'!$A$5:$A$40,0))/100,0),2))</f>
        <v/>
      </c>
      <c r="C7" s="20">
        <f>IF('Условия'!$C$26&lt;&gt;"Условия заполнены","",SUMIFS($B$5:$B$40,$A$5:$A$40,"&lt;="&amp;$A7))</f>
        <v/>
      </c>
      <c r="D7" s="21">
        <f>IF('Условия'!$C$26&lt;&gt;"Условия заполнены","",SUMIFS('График КС'!$C$5:$C$40,'График КС'!$A$5:$A$40,"&lt;="&amp;$A7))</f>
        <v/>
      </c>
      <c r="E7" s="20">
        <f>IF('Условия'!$C$26&lt;&gt;"Условия заполнены","",IF('Условия'!$C$25=0,0,IFERROR(MAX(0,MIN('Условия'!$C$23,IF('Условия'!$C$25=1,ROUND('Условия'!$C$23*$D7/'График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КС'!$C$42-'Условия'!$C$9),2))))),0)))</f>
        <v/>
      </c>
      <c r="F7" s="20">
        <f>IF('Условия'!$C$26&lt;&gt;"Условия заполнены","",ROUND($E7-$E6,2))</f>
        <v/>
      </c>
      <c r="G7" s="20">
        <f>IF('Условия'!$C$26&lt;&gt;"Условия заполнены","",ROUND($B7*'Условия'!$C$13/100,2))</f>
        <v/>
      </c>
      <c r="H7" s="20">
        <f>IF('Условия'!$C$26&lt;&gt;"Условия заполнены","",ROUND($B7-$F7-$G7,2))</f>
        <v/>
      </c>
      <c r="I7" s="20">
        <f>IF('Условия'!$C$26&lt;&gt;"Условия заполнены","",IF($A7='Условия'!$C$7,'Условия'!$C$23,0))</f>
        <v/>
      </c>
      <c r="J7" s="20">
        <f>IF('Условия'!$C$26&lt;&gt;"Условия заполнены","",IFERROR(INDEX($H$5:$H$40,MATCH($A7-'Условия'!$C$17,$A$5:$A$40,0)),0))</f>
        <v/>
      </c>
      <c r="K7" s="20">
        <f>IF('Условия'!$C$26&lt;&gt;"Условия заполнены","",IF(AND('Условия'!$C$13&gt;0,'Условия'!$C$14&gt;0,$A7='Условия'!$C$14),ROUND(MIN(ROUND(SUM($G$5:$G$40)*'Условия'!$C$15/100,2),SUMIFS($G$5:$G$40,$A$5:$A$40,"&lt;="&amp;($A7-'Условия'!$C$17))),2),0))</f>
        <v/>
      </c>
      <c r="L7" s="20">
        <f>IF('Условия'!$C$26&lt;&gt;"Условия заполнены","",ROUND(IFERROR(INDEX($B$5:$B$40,MATCH($A7+'Условия'!$C$19,$A$5:$A$40,0)),0)*'Условия'!$C$18/100,2)+IF($A7=1,'Условия'!$C$20,0)+IF($A7='Условия'!$C$12,'Условия'!$C$24,0))</f>
        <v/>
      </c>
      <c r="M7" s="20">
        <f>IF('Условия'!$C$26&lt;&gt;"Условия заполнены","",ROUND($I7+$J7+$K7-$L7,2))</f>
        <v/>
      </c>
      <c r="N7" s="20">
        <f>IF('Условия'!$C$26&lt;&gt;"Условия заполнены","",ROUND($N6+$M7,2))</f>
        <v/>
      </c>
      <c r="O7" s="22">
        <f>IF('Условия'!$C$26&lt;&gt;"Условия заполнены","",IF($N7&lt;0,$A7,""))</f>
        <v/>
      </c>
      <c r="P7" s="13">
        <f>IF('Условия'!$C$26&lt;&gt;"Условия заполнены","",IF($H7&lt;-0.01,"ОШИБКА: погашение и удержание больше стоимости КС",IF(AND($F7&gt;0.01,$A7&lt;'Условия'!$C$7),"ОШИБКА: аванс погашается до поступления",IF(AND('Условия'!$C$13&gt;0,'Условия'!$C$14&gt;0,$A7='Условия'!$C$14,ROUND(SUM($G$5:$G$40)*'Условия'!$C$15/100,2)&gt;SUMIFS($G$5:$G$40,$A$5:$A$40,"&lt;="&amp;($A7-'Условия'!$C$17))+0.01),"ОШИБКА: возврат больше накопленного удержания",""))))</f>
        <v/>
      </c>
    </row>
    <row r="8">
      <c r="A8" s="17" t="n">
        <v>4</v>
      </c>
      <c r="B8" s="20">
        <f>IF('Условия'!$C$26&lt;&gt;"Условия заполнены","",ROUND(IFERROR('Условия'!$C$5*INDEX('График КС'!$C$5:$C$40,MATCH($A8,'График КС'!$A$5:$A$40,0))/100,0),2))</f>
        <v/>
      </c>
      <c r="C8" s="20">
        <f>IF('Условия'!$C$26&lt;&gt;"Условия заполнены","",SUMIFS($B$5:$B$40,$A$5:$A$40,"&lt;="&amp;$A8))</f>
        <v/>
      </c>
      <c r="D8" s="21">
        <f>IF('Условия'!$C$26&lt;&gt;"Условия заполнены","",SUMIFS('График КС'!$C$5:$C$40,'График КС'!$A$5:$A$40,"&lt;="&amp;$A8))</f>
        <v/>
      </c>
      <c r="E8" s="20">
        <f>IF('Условия'!$C$26&lt;&gt;"Условия заполнены","",IF('Условия'!$C$25=0,0,IFERROR(MAX(0,MIN('Условия'!$C$23,IF('Условия'!$C$25=1,ROUND('Условия'!$C$23*$D8/'График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КС'!$C$42-'Условия'!$C$9),2))))),0)))</f>
        <v/>
      </c>
      <c r="F8" s="20">
        <f>IF('Условия'!$C$26&lt;&gt;"Условия заполнены","",ROUND($E8-$E7,2))</f>
        <v/>
      </c>
      <c r="G8" s="20">
        <f>IF('Условия'!$C$26&lt;&gt;"Условия заполнены","",ROUND($B8*'Условия'!$C$13/100,2))</f>
        <v/>
      </c>
      <c r="H8" s="20">
        <f>IF('Условия'!$C$26&lt;&gt;"Условия заполнены","",ROUND($B8-$F8-$G8,2))</f>
        <v/>
      </c>
      <c r="I8" s="20">
        <f>IF('Условия'!$C$26&lt;&gt;"Условия заполнены","",IF($A8='Условия'!$C$7,'Условия'!$C$23,0))</f>
        <v/>
      </c>
      <c r="J8" s="20">
        <f>IF('Условия'!$C$26&lt;&gt;"Условия заполнены","",IFERROR(INDEX($H$5:$H$40,MATCH($A8-'Условия'!$C$17,$A$5:$A$40,0)),0))</f>
        <v/>
      </c>
      <c r="K8" s="20">
        <f>IF('Условия'!$C$26&lt;&gt;"Условия заполнены","",IF(AND('Условия'!$C$13&gt;0,'Условия'!$C$14&gt;0,$A8='Условия'!$C$14),ROUND(MIN(ROUND(SUM($G$5:$G$40)*'Условия'!$C$15/100,2),SUMIFS($G$5:$G$40,$A$5:$A$40,"&lt;="&amp;($A8-'Условия'!$C$17))),2),0))</f>
        <v/>
      </c>
      <c r="L8" s="20">
        <f>IF('Условия'!$C$26&lt;&gt;"Условия заполнены","",ROUND(IFERROR(INDEX($B$5:$B$40,MATCH($A8+'Условия'!$C$19,$A$5:$A$40,0)),0)*'Условия'!$C$18/100,2)+IF($A8=1,'Условия'!$C$20,0)+IF($A8='Условия'!$C$12,'Условия'!$C$24,0))</f>
        <v/>
      </c>
      <c r="M8" s="20">
        <f>IF('Условия'!$C$26&lt;&gt;"Условия заполнены","",ROUND($I8+$J8+$K8-$L8,2))</f>
        <v/>
      </c>
      <c r="N8" s="20">
        <f>IF('Условия'!$C$26&lt;&gt;"Условия заполнены","",ROUND($N7+$M8,2))</f>
        <v/>
      </c>
      <c r="O8" s="22">
        <f>IF('Условия'!$C$26&lt;&gt;"Условия заполнены","",IF($N8&lt;0,$A8,""))</f>
        <v/>
      </c>
      <c r="P8" s="13">
        <f>IF('Условия'!$C$26&lt;&gt;"Условия заполнены","",IF($H8&lt;-0.01,"ОШИБКА: погашение и удержание больше стоимости КС",IF(AND($F8&gt;0.01,$A8&lt;'Условия'!$C$7),"ОШИБКА: аванс погашается до поступления",IF(AND('Условия'!$C$13&gt;0,'Условия'!$C$14&gt;0,$A8='Условия'!$C$14,ROUND(SUM($G$5:$G$40)*'Условия'!$C$15/100,2)&gt;SUMIFS($G$5:$G$40,$A$5:$A$40,"&lt;="&amp;($A8-'Условия'!$C$17))+0.01),"ОШИБКА: возврат больше накопленного удержания",""))))</f>
        <v/>
      </c>
    </row>
    <row r="9">
      <c r="A9" s="17" t="n">
        <v>5</v>
      </c>
      <c r="B9" s="20">
        <f>IF('Условия'!$C$26&lt;&gt;"Условия заполнены","",ROUND(IFERROR('Условия'!$C$5*INDEX('График КС'!$C$5:$C$40,MATCH($A9,'График КС'!$A$5:$A$40,0))/100,0),2))</f>
        <v/>
      </c>
      <c r="C9" s="20">
        <f>IF('Условия'!$C$26&lt;&gt;"Условия заполнены","",SUMIFS($B$5:$B$40,$A$5:$A$40,"&lt;="&amp;$A9))</f>
        <v/>
      </c>
      <c r="D9" s="21">
        <f>IF('Условия'!$C$26&lt;&gt;"Условия заполнены","",SUMIFS('График КС'!$C$5:$C$40,'График КС'!$A$5:$A$40,"&lt;="&amp;$A9))</f>
        <v/>
      </c>
      <c r="E9" s="20">
        <f>IF('Условия'!$C$26&lt;&gt;"Условия заполнены","",IF('Условия'!$C$25=0,0,IFERROR(MAX(0,MIN('Условия'!$C$23,IF('Условия'!$C$25=1,ROUND('Условия'!$C$23*$D9/'График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КС'!$C$42-'Условия'!$C$9),2))))),0)))</f>
        <v/>
      </c>
      <c r="F9" s="20">
        <f>IF('Условия'!$C$26&lt;&gt;"Условия заполнены","",ROUND($E9-$E8,2))</f>
        <v/>
      </c>
      <c r="G9" s="20">
        <f>IF('Условия'!$C$26&lt;&gt;"Условия заполнены","",ROUND($B9*'Условия'!$C$13/100,2))</f>
        <v/>
      </c>
      <c r="H9" s="20">
        <f>IF('Условия'!$C$26&lt;&gt;"Условия заполнены","",ROUND($B9-$F9-$G9,2))</f>
        <v/>
      </c>
      <c r="I9" s="20">
        <f>IF('Условия'!$C$26&lt;&gt;"Условия заполнены","",IF($A9='Условия'!$C$7,'Условия'!$C$23,0))</f>
        <v/>
      </c>
      <c r="J9" s="20">
        <f>IF('Условия'!$C$26&lt;&gt;"Условия заполнены","",IFERROR(INDEX($H$5:$H$40,MATCH($A9-'Условия'!$C$17,$A$5:$A$40,0)),0))</f>
        <v/>
      </c>
      <c r="K9" s="20">
        <f>IF('Условия'!$C$26&lt;&gt;"Условия заполнены","",IF(AND('Условия'!$C$13&gt;0,'Условия'!$C$14&gt;0,$A9='Условия'!$C$14),ROUND(MIN(ROUND(SUM($G$5:$G$40)*'Условия'!$C$15/100,2),SUMIFS($G$5:$G$40,$A$5:$A$40,"&lt;="&amp;($A9-'Условия'!$C$17))),2),0))</f>
        <v/>
      </c>
      <c r="L9" s="20">
        <f>IF('Условия'!$C$26&lt;&gt;"Условия заполнены","",ROUND(IFERROR(INDEX($B$5:$B$40,MATCH($A9+'Условия'!$C$19,$A$5:$A$40,0)),0)*'Условия'!$C$18/100,2)+IF($A9=1,'Условия'!$C$20,0)+IF($A9='Условия'!$C$12,'Условия'!$C$24,0))</f>
        <v/>
      </c>
      <c r="M9" s="20">
        <f>IF('Условия'!$C$26&lt;&gt;"Условия заполнены","",ROUND($I9+$J9+$K9-$L9,2))</f>
        <v/>
      </c>
      <c r="N9" s="20">
        <f>IF('Условия'!$C$26&lt;&gt;"Условия заполнены","",ROUND($N8+$M9,2))</f>
        <v/>
      </c>
      <c r="O9" s="22">
        <f>IF('Условия'!$C$26&lt;&gt;"Условия заполнены","",IF($N9&lt;0,$A9,""))</f>
        <v/>
      </c>
      <c r="P9" s="13">
        <f>IF('Условия'!$C$26&lt;&gt;"Условия заполнены","",IF($H9&lt;-0.01,"ОШИБКА: погашение и удержание больше стоимости КС",IF(AND($F9&gt;0.01,$A9&lt;'Условия'!$C$7),"ОШИБКА: аванс погашается до поступления",IF(AND('Условия'!$C$13&gt;0,'Условия'!$C$14&gt;0,$A9='Условия'!$C$14,ROUND(SUM($G$5:$G$40)*'Условия'!$C$15/100,2)&gt;SUMIFS($G$5:$G$40,$A$5:$A$40,"&lt;="&amp;($A9-'Условия'!$C$17))+0.01),"ОШИБКА: возврат больше накопленного удержания",""))))</f>
        <v/>
      </c>
    </row>
    <row r="10">
      <c r="A10" s="17" t="n">
        <v>6</v>
      </c>
      <c r="B10" s="20">
        <f>IF('Условия'!$C$26&lt;&gt;"Условия заполнены","",ROUND(IFERROR('Условия'!$C$5*INDEX('График КС'!$C$5:$C$40,MATCH($A10,'График КС'!$A$5:$A$40,0))/100,0),2))</f>
        <v/>
      </c>
      <c r="C10" s="20">
        <f>IF('Условия'!$C$26&lt;&gt;"Условия заполнены","",SUMIFS($B$5:$B$40,$A$5:$A$40,"&lt;="&amp;$A10))</f>
        <v/>
      </c>
      <c r="D10" s="21">
        <f>IF('Условия'!$C$26&lt;&gt;"Условия заполнены","",SUMIFS('График КС'!$C$5:$C$40,'График КС'!$A$5:$A$40,"&lt;="&amp;$A10))</f>
        <v/>
      </c>
      <c r="E10" s="20">
        <f>IF('Условия'!$C$26&lt;&gt;"Условия заполнены","",IF('Условия'!$C$25=0,0,IFERROR(MAX(0,MIN('Условия'!$C$23,IF('Условия'!$C$25=1,ROUND('Условия'!$C$23*$D10/'График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КС'!$C$42-'Условия'!$C$9),2))))),0)))</f>
        <v/>
      </c>
      <c r="F10" s="20">
        <f>IF('Условия'!$C$26&lt;&gt;"Условия заполнены","",ROUND($E10-$E9,2))</f>
        <v/>
      </c>
      <c r="G10" s="20">
        <f>IF('Условия'!$C$26&lt;&gt;"Условия заполнены","",ROUND($B10*'Условия'!$C$13/100,2))</f>
        <v/>
      </c>
      <c r="H10" s="20">
        <f>IF('Условия'!$C$26&lt;&gt;"Условия заполнены","",ROUND($B10-$F10-$G10,2))</f>
        <v/>
      </c>
      <c r="I10" s="20">
        <f>IF('Условия'!$C$26&lt;&gt;"Условия заполнены","",IF($A10='Условия'!$C$7,'Условия'!$C$23,0))</f>
        <v/>
      </c>
      <c r="J10" s="20">
        <f>IF('Условия'!$C$26&lt;&gt;"Условия заполнены","",IFERROR(INDEX($H$5:$H$40,MATCH($A10-'Условия'!$C$17,$A$5:$A$40,0)),0))</f>
        <v/>
      </c>
      <c r="K10" s="20">
        <f>IF('Условия'!$C$26&lt;&gt;"Условия заполнены","",IF(AND('Условия'!$C$13&gt;0,'Условия'!$C$14&gt;0,$A10='Условия'!$C$14),ROUND(MIN(ROUND(SUM($G$5:$G$40)*'Условия'!$C$15/100,2),SUMIFS($G$5:$G$40,$A$5:$A$40,"&lt;="&amp;($A10-'Условия'!$C$17))),2),0))</f>
        <v/>
      </c>
      <c r="L10" s="20">
        <f>IF('Условия'!$C$26&lt;&gt;"Условия заполнены","",ROUND(IFERROR(INDEX($B$5:$B$40,MATCH($A10+'Условия'!$C$19,$A$5:$A$40,0)),0)*'Условия'!$C$18/100,2)+IF($A10=1,'Условия'!$C$20,0)+IF($A10='Условия'!$C$12,'Условия'!$C$24,0))</f>
        <v/>
      </c>
      <c r="M10" s="20">
        <f>IF('Условия'!$C$26&lt;&gt;"Условия заполнены","",ROUND($I10+$J10+$K10-$L10,2))</f>
        <v/>
      </c>
      <c r="N10" s="20">
        <f>IF('Условия'!$C$26&lt;&gt;"Условия заполнены","",ROUND($N9+$M10,2))</f>
        <v/>
      </c>
      <c r="O10" s="22">
        <f>IF('Условия'!$C$26&lt;&gt;"Условия заполнены","",IF($N10&lt;0,$A10,""))</f>
        <v/>
      </c>
      <c r="P10" s="13">
        <f>IF('Условия'!$C$26&lt;&gt;"Условия заполнены","",IF($H10&lt;-0.01,"ОШИБКА: погашение и удержание больше стоимости КС",IF(AND($F10&gt;0.01,$A10&lt;'Условия'!$C$7),"ОШИБКА: аванс погашается до поступления",IF(AND('Условия'!$C$13&gt;0,'Условия'!$C$14&gt;0,$A10='Условия'!$C$14,ROUND(SUM($G$5:$G$40)*'Условия'!$C$15/100,2)&gt;SUMIFS($G$5:$G$40,$A$5:$A$40,"&lt;="&amp;($A10-'Условия'!$C$17))+0.01),"ОШИБКА: возврат больше накопленного удержания",""))))</f>
        <v/>
      </c>
    </row>
    <row r="11">
      <c r="A11" s="17" t="n">
        <v>7</v>
      </c>
      <c r="B11" s="20">
        <f>IF('Условия'!$C$26&lt;&gt;"Условия заполнены","",ROUND(IFERROR('Условия'!$C$5*INDEX('График КС'!$C$5:$C$40,MATCH($A11,'График КС'!$A$5:$A$40,0))/100,0),2))</f>
        <v/>
      </c>
      <c r="C11" s="20">
        <f>IF('Условия'!$C$26&lt;&gt;"Условия заполнены","",SUMIFS($B$5:$B$40,$A$5:$A$40,"&lt;="&amp;$A11))</f>
        <v/>
      </c>
      <c r="D11" s="21">
        <f>IF('Условия'!$C$26&lt;&gt;"Условия заполнены","",SUMIFS('График КС'!$C$5:$C$40,'График КС'!$A$5:$A$40,"&lt;="&amp;$A11))</f>
        <v/>
      </c>
      <c r="E11" s="20">
        <f>IF('Условия'!$C$26&lt;&gt;"Условия заполнены","",IF('Условия'!$C$25=0,0,IFERROR(MAX(0,MIN('Условия'!$C$23,IF('Условия'!$C$25=1,ROUND('Условия'!$C$23*$D11/'График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КС'!$C$42-'Условия'!$C$9),2))))),0)))</f>
        <v/>
      </c>
      <c r="F11" s="20">
        <f>IF('Условия'!$C$26&lt;&gt;"Условия заполнены","",ROUND($E11-$E10,2))</f>
        <v/>
      </c>
      <c r="G11" s="20">
        <f>IF('Условия'!$C$26&lt;&gt;"Условия заполнены","",ROUND($B11*'Условия'!$C$13/100,2))</f>
        <v/>
      </c>
      <c r="H11" s="20">
        <f>IF('Условия'!$C$26&lt;&gt;"Условия заполнены","",ROUND($B11-$F11-$G11,2))</f>
        <v/>
      </c>
      <c r="I11" s="20">
        <f>IF('Условия'!$C$26&lt;&gt;"Условия заполнены","",IF($A11='Условия'!$C$7,'Условия'!$C$23,0))</f>
        <v/>
      </c>
      <c r="J11" s="20">
        <f>IF('Условия'!$C$26&lt;&gt;"Условия заполнены","",IFERROR(INDEX($H$5:$H$40,MATCH($A11-'Условия'!$C$17,$A$5:$A$40,0)),0))</f>
        <v/>
      </c>
      <c r="K11" s="20">
        <f>IF('Условия'!$C$26&lt;&gt;"Условия заполнены","",IF(AND('Условия'!$C$13&gt;0,'Условия'!$C$14&gt;0,$A11='Условия'!$C$14),ROUND(MIN(ROUND(SUM($G$5:$G$40)*'Условия'!$C$15/100,2),SUMIFS($G$5:$G$40,$A$5:$A$40,"&lt;="&amp;($A11-'Условия'!$C$17))),2),0))</f>
        <v/>
      </c>
      <c r="L11" s="20">
        <f>IF('Условия'!$C$26&lt;&gt;"Условия заполнены","",ROUND(IFERROR(INDEX($B$5:$B$40,MATCH($A11+'Условия'!$C$19,$A$5:$A$40,0)),0)*'Условия'!$C$18/100,2)+IF($A11=1,'Условия'!$C$20,0)+IF($A11='Условия'!$C$12,'Условия'!$C$24,0))</f>
        <v/>
      </c>
      <c r="M11" s="20">
        <f>IF('Условия'!$C$26&lt;&gt;"Условия заполнены","",ROUND($I11+$J11+$K11-$L11,2))</f>
        <v/>
      </c>
      <c r="N11" s="20">
        <f>IF('Условия'!$C$26&lt;&gt;"Условия заполнены","",ROUND($N10+$M11,2))</f>
        <v/>
      </c>
      <c r="O11" s="22">
        <f>IF('Условия'!$C$26&lt;&gt;"Условия заполнены","",IF($N11&lt;0,$A11,""))</f>
        <v/>
      </c>
      <c r="P11" s="13">
        <f>IF('Условия'!$C$26&lt;&gt;"Условия заполнены","",IF($H11&lt;-0.01,"ОШИБКА: погашение и удержание больше стоимости КС",IF(AND($F11&gt;0.01,$A11&lt;'Условия'!$C$7),"ОШИБКА: аванс погашается до поступления",IF(AND('Условия'!$C$13&gt;0,'Условия'!$C$14&gt;0,$A11='Условия'!$C$14,ROUND(SUM($G$5:$G$40)*'Условия'!$C$15/100,2)&gt;SUMIFS($G$5:$G$40,$A$5:$A$40,"&lt;="&amp;($A11-'Условия'!$C$17))+0.01),"ОШИБКА: возврат больше накопленного удержания",""))))</f>
        <v/>
      </c>
    </row>
    <row r="12">
      <c r="A12" s="17" t="n">
        <v>8</v>
      </c>
      <c r="B12" s="20">
        <f>IF('Условия'!$C$26&lt;&gt;"Условия заполнены","",ROUND(IFERROR('Условия'!$C$5*INDEX('График КС'!$C$5:$C$40,MATCH($A12,'График КС'!$A$5:$A$40,0))/100,0),2))</f>
        <v/>
      </c>
      <c r="C12" s="20">
        <f>IF('Условия'!$C$26&lt;&gt;"Условия заполнены","",SUMIFS($B$5:$B$40,$A$5:$A$40,"&lt;="&amp;$A12))</f>
        <v/>
      </c>
      <c r="D12" s="21">
        <f>IF('Условия'!$C$26&lt;&gt;"Условия заполнены","",SUMIFS('График КС'!$C$5:$C$40,'График КС'!$A$5:$A$40,"&lt;="&amp;$A12))</f>
        <v/>
      </c>
      <c r="E12" s="20">
        <f>IF('Условия'!$C$26&lt;&gt;"Условия заполнены","",IF('Условия'!$C$25=0,0,IFERROR(MAX(0,MIN('Условия'!$C$23,IF('Условия'!$C$25=1,ROUND('Условия'!$C$23*$D12/'График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КС'!$C$42-'Условия'!$C$9),2))))),0)))</f>
        <v/>
      </c>
      <c r="F12" s="20">
        <f>IF('Условия'!$C$26&lt;&gt;"Условия заполнены","",ROUND($E12-$E11,2))</f>
        <v/>
      </c>
      <c r="G12" s="20">
        <f>IF('Условия'!$C$26&lt;&gt;"Условия заполнены","",ROUND($B12*'Условия'!$C$13/100,2))</f>
        <v/>
      </c>
      <c r="H12" s="20">
        <f>IF('Условия'!$C$26&lt;&gt;"Условия заполнены","",ROUND($B12-$F12-$G12,2))</f>
        <v/>
      </c>
      <c r="I12" s="20">
        <f>IF('Условия'!$C$26&lt;&gt;"Условия заполнены","",IF($A12='Условия'!$C$7,'Условия'!$C$23,0))</f>
        <v/>
      </c>
      <c r="J12" s="20">
        <f>IF('Условия'!$C$26&lt;&gt;"Условия заполнены","",IFERROR(INDEX($H$5:$H$40,MATCH($A12-'Условия'!$C$17,$A$5:$A$40,0)),0))</f>
        <v/>
      </c>
      <c r="K12" s="20">
        <f>IF('Условия'!$C$26&lt;&gt;"Условия заполнены","",IF(AND('Условия'!$C$13&gt;0,'Условия'!$C$14&gt;0,$A12='Условия'!$C$14),ROUND(MIN(ROUND(SUM($G$5:$G$40)*'Условия'!$C$15/100,2),SUMIFS($G$5:$G$40,$A$5:$A$40,"&lt;="&amp;($A12-'Условия'!$C$17))),2),0))</f>
        <v/>
      </c>
      <c r="L12" s="20">
        <f>IF('Условия'!$C$26&lt;&gt;"Условия заполнены","",ROUND(IFERROR(INDEX($B$5:$B$40,MATCH($A12+'Условия'!$C$19,$A$5:$A$40,0)),0)*'Условия'!$C$18/100,2)+IF($A12=1,'Условия'!$C$20,0)+IF($A12='Условия'!$C$12,'Условия'!$C$24,0))</f>
        <v/>
      </c>
      <c r="M12" s="20">
        <f>IF('Условия'!$C$26&lt;&gt;"Условия заполнены","",ROUND($I12+$J12+$K12-$L12,2))</f>
        <v/>
      </c>
      <c r="N12" s="20">
        <f>IF('Условия'!$C$26&lt;&gt;"Условия заполнены","",ROUND($N11+$M12,2))</f>
        <v/>
      </c>
      <c r="O12" s="22">
        <f>IF('Условия'!$C$26&lt;&gt;"Условия заполнены","",IF($N12&lt;0,$A12,""))</f>
        <v/>
      </c>
      <c r="P12" s="13">
        <f>IF('Условия'!$C$26&lt;&gt;"Условия заполнены","",IF($H12&lt;-0.01,"ОШИБКА: погашение и удержание больше стоимости КС",IF(AND($F12&gt;0.01,$A12&lt;'Условия'!$C$7),"ОШИБКА: аванс погашается до поступления",IF(AND('Условия'!$C$13&gt;0,'Условия'!$C$14&gt;0,$A12='Условия'!$C$14,ROUND(SUM($G$5:$G$40)*'Условия'!$C$15/100,2)&gt;SUMIFS($G$5:$G$40,$A$5:$A$40,"&lt;="&amp;($A12-'Условия'!$C$17))+0.01),"ОШИБКА: возврат больше накопленного удержания",""))))</f>
        <v/>
      </c>
    </row>
    <row r="13">
      <c r="A13" s="17" t="n">
        <v>9</v>
      </c>
      <c r="B13" s="20">
        <f>IF('Условия'!$C$26&lt;&gt;"Условия заполнены","",ROUND(IFERROR('Условия'!$C$5*INDEX('График КС'!$C$5:$C$40,MATCH($A13,'График КС'!$A$5:$A$40,0))/100,0),2))</f>
        <v/>
      </c>
      <c r="C13" s="20">
        <f>IF('Условия'!$C$26&lt;&gt;"Условия заполнены","",SUMIFS($B$5:$B$40,$A$5:$A$40,"&lt;="&amp;$A13))</f>
        <v/>
      </c>
      <c r="D13" s="21">
        <f>IF('Условия'!$C$26&lt;&gt;"Условия заполнены","",SUMIFS('График КС'!$C$5:$C$40,'График КС'!$A$5:$A$40,"&lt;="&amp;$A13))</f>
        <v/>
      </c>
      <c r="E13" s="20">
        <f>IF('Условия'!$C$26&lt;&gt;"Условия заполнены","",IF('Условия'!$C$25=0,0,IFERROR(MAX(0,MIN('Условия'!$C$23,IF('Условия'!$C$25=1,ROUND('Условия'!$C$23*$D13/'График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КС'!$C$42-'Условия'!$C$9),2))))),0)))</f>
        <v/>
      </c>
      <c r="F13" s="20">
        <f>IF('Условия'!$C$26&lt;&gt;"Условия заполнены","",ROUND($E13-$E12,2))</f>
        <v/>
      </c>
      <c r="G13" s="20">
        <f>IF('Условия'!$C$26&lt;&gt;"Условия заполнены","",ROUND($B13*'Условия'!$C$13/100,2))</f>
        <v/>
      </c>
      <c r="H13" s="20">
        <f>IF('Условия'!$C$26&lt;&gt;"Условия заполнены","",ROUND($B13-$F13-$G13,2))</f>
        <v/>
      </c>
      <c r="I13" s="20">
        <f>IF('Условия'!$C$26&lt;&gt;"Условия заполнены","",IF($A13='Условия'!$C$7,'Условия'!$C$23,0))</f>
        <v/>
      </c>
      <c r="J13" s="20">
        <f>IF('Условия'!$C$26&lt;&gt;"Условия заполнены","",IFERROR(INDEX($H$5:$H$40,MATCH($A13-'Условия'!$C$17,$A$5:$A$40,0)),0))</f>
        <v/>
      </c>
      <c r="K13" s="20">
        <f>IF('Условия'!$C$26&lt;&gt;"Условия заполнены","",IF(AND('Условия'!$C$13&gt;0,'Условия'!$C$14&gt;0,$A13='Условия'!$C$14),ROUND(MIN(ROUND(SUM($G$5:$G$40)*'Условия'!$C$15/100,2),SUMIFS($G$5:$G$40,$A$5:$A$40,"&lt;="&amp;($A13-'Условия'!$C$17))),2),0))</f>
        <v/>
      </c>
      <c r="L13" s="20">
        <f>IF('Условия'!$C$26&lt;&gt;"Условия заполнены","",ROUND(IFERROR(INDEX($B$5:$B$40,MATCH($A13+'Условия'!$C$19,$A$5:$A$40,0)),0)*'Условия'!$C$18/100,2)+IF($A13=1,'Условия'!$C$20,0)+IF($A13='Условия'!$C$12,'Условия'!$C$24,0))</f>
        <v/>
      </c>
      <c r="M13" s="20">
        <f>IF('Условия'!$C$26&lt;&gt;"Условия заполнены","",ROUND($I13+$J13+$K13-$L13,2))</f>
        <v/>
      </c>
      <c r="N13" s="20">
        <f>IF('Условия'!$C$26&lt;&gt;"Условия заполнены","",ROUND($N12+$M13,2))</f>
        <v/>
      </c>
      <c r="O13" s="22">
        <f>IF('Условия'!$C$26&lt;&gt;"Условия заполнены","",IF($N13&lt;0,$A13,""))</f>
        <v/>
      </c>
      <c r="P13" s="13">
        <f>IF('Условия'!$C$26&lt;&gt;"Условия заполнены","",IF($H13&lt;-0.01,"ОШИБКА: погашение и удержание больше стоимости КС",IF(AND($F13&gt;0.01,$A13&lt;'Условия'!$C$7),"ОШИБКА: аванс погашается до поступления",IF(AND('Условия'!$C$13&gt;0,'Условия'!$C$14&gt;0,$A13='Условия'!$C$14,ROUND(SUM($G$5:$G$40)*'Условия'!$C$15/100,2)&gt;SUMIFS($G$5:$G$40,$A$5:$A$40,"&lt;="&amp;($A13-'Условия'!$C$17))+0.01),"ОШИБКА: возврат больше накопленного удержания",""))))</f>
        <v/>
      </c>
    </row>
    <row r="14">
      <c r="A14" s="17" t="n">
        <v>10</v>
      </c>
      <c r="B14" s="20">
        <f>IF('Условия'!$C$26&lt;&gt;"Условия заполнены","",ROUND(IFERROR('Условия'!$C$5*INDEX('График КС'!$C$5:$C$40,MATCH($A14,'График КС'!$A$5:$A$40,0))/100,0),2))</f>
        <v/>
      </c>
      <c r="C14" s="20">
        <f>IF('Условия'!$C$26&lt;&gt;"Условия заполнены","",SUMIFS($B$5:$B$40,$A$5:$A$40,"&lt;="&amp;$A14))</f>
        <v/>
      </c>
      <c r="D14" s="21">
        <f>IF('Условия'!$C$26&lt;&gt;"Условия заполнены","",SUMIFS('График КС'!$C$5:$C$40,'График КС'!$A$5:$A$40,"&lt;="&amp;$A14))</f>
        <v/>
      </c>
      <c r="E14" s="20">
        <f>IF('Условия'!$C$26&lt;&gt;"Условия заполнены","",IF('Условия'!$C$25=0,0,IFERROR(MAX(0,MIN('Условия'!$C$23,IF('Условия'!$C$25=1,ROUND('Условия'!$C$23*$D14/'График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КС'!$C$42-'Условия'!$C$9),2))))),0)))</f>
        <v/>
      </c>
      <c r="F14" s="20">
        <f>IF('Условия'!$C$26&lt;&gt;"Условия заполнены","",ROUND($E14-$E13,2))</f>
        <v/>
      </c>
      <c r="G14" s="20">
        <f>IF('Условия'!$C$26&lt;&gt;"Условия заполнены","",ROUND($B14*'Условия'!$C$13/100,2))</f>
        <v/>
      </c>
      <c r="H14" s="20">
        <f>IF('Условия'!$C$26&lt;&gt;"Условия заполнены","",ROUND($B14-$F14-$G14,2))</f>
        <v/>
      </c>
      <c r="I14" s="20">
        <f>IF('Условия'!$C$26&lt;&gt;"Условия заполнены","",IF($A14='Условия'!$C$7,'Условия'!$C$23,0))</f>
        <v/>
      </c>
      <c r="J14" s="20">
        <f>IF('Условия'!$C$26&lt;&gt;"Условия заполнены","",IFERROR(INDEX($H$5:$H$40,MATCH($A14-'Условия'!$C$17,$A$5:$A$40,0)),0))</f>
        <v/>
      </c>
      <c r="K14" s="20">
        <f>IF('Условия'!$C$26&lt;&gt;"Условия заполнены","",IF(AND('Условия'!$C$13&gt;0,'Условия'!$C$14&gt;0,$A14='Условия'!$C$14),ROUND(MIN(ROUND(SUM($G$5:$G$40)*'Условия'!$C$15/100,2),SUMIFS($G$5:$G$40,$A$5:$A$40,"&lt;="&amp;($A14-'Условия'!$C$17))),2),0))</f>
        <v/>
      </c>
      <c r="L14" s="20">
        <f>IF('Условия'!$C$26&lt;&gt;"Условия заполнены","",ROUND(IFERROR(INDEX($B$5:$B$40,MATCH($A14+'Условия'!$C$19,$A$5:$A$40,0)),0)*'Условия'!$C$18/100,2)+IF($A14=1,'Условия'!$C$20,0)+IF($A14='Условия'!$C$12,'Условия'!$C$24,0))</f>
        <v/>
      </c>
      <c r="M14" s="20">
        <f>IF('Условия'!$C$26&lt;&gt;"Условия заполнены","",ROUND($I14+$J14+$K14-$L14,2))</f>
        <v/>
      </c>
      <c r="N14" s="20">
        <f>IF('Условия'!$C$26&lt;&gt;"Условия заполнены","",ROUND($N13+$M14,2))</f>
        <v/>
      </c>
      <c r="O14" s="22">
        <f>IF('Условия'!$C$26&lt;&gt;"Условия заполнены","",IF($N14&lt;0,$A14,""))</f>
        <v/>
      </c>
      <c r="P14" s="13">
        <f>IF('Условия'!$C$26&lt;&gt;"Условия заполнены","",IF($H14&lt;-0.01,"ОШИБКА: погашение и удержание больше стоимости КС",IF(AND($F14&gt;0.01,$A14&lt;'Условия'!$C$7),"ОШИБКА: аванс погашается до поступления",IF(AND('Условия'!$C$13&gt;0,'Условия'!$C$14&gt;0,$A14='Условия'!$C$14,ROUND(SUM($G$5:$G$40)*'Условия'!$C$15/100,2)&gt;SUMIFS($G$5:$G$40,$A$5:$A$40,"&lt;="&amp;($A14-'Условия'!$C$17))+0.01),"ОШИБКА: возврат больше накопленного удержания",""))))</f>
        <v/>
      </c>
    </row>
    <row r="15">
      <c r="A15" s="17" t="n">
        <v>11</v>
      </c>
      <c r="B15" s="20">
        <f>IF('Условия'!$C$26&lt;&gt;"Условия заполнены","",ROUND(IFERROR('Условия'!$C$5*INDEX('График КС'!$C$5:$C$40,MATCH($A15,'График КС'!$A$5:$A$40,0))/100,0),2))</f>
        <v/>
      </c>
      <c r="C15" s="20">
        <f>IF('Условия'!$C$26&lt;&gt;"Условия заполнены","",SUMIFS($B$5:$B$40,$A$5:$A$40,"&lt;="&amp;$A15))</f>
        <v/>
      </c>
      <c r="D15" s="21">
        <f>IF('Условия'!$C$26&lt;&gt;"Условия заполнены","",SUMIFS('График КС'!$C$5:$C$40,'График КС'!$A$5:$A$40,"&lt;="&amp;$A15))</f>
        <v/>
      </c>
      <c r="E15" s="20">
        <f>IF('Условия'!$C$26&lt;&gt;"Условия заполнены","",IF('Условия'!$C$25=0,0,IFERROR(MAX(0,MIN('Условия'!$C$23,IF('Условия'!$C$25=1,ROUND('Условия'!$C$23*$D15/'График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КС'!$C$42-'Условия'!$C$9),2))))),0)))</f>
        <v/>
      </c>
      <c r="F15" s="20">
        <f>IF('Условия'!$C$26&lt;&gt;"Условия заполнены","",ROUND($E15-$E14,2))</f>
        <v/>
      </c>
      <c r="G15" s="20">
        <f>IF('Условия'!$C$26&lt;&gt;"Условия заполнены","",ROUND($B15*'Условия'!$C$13/100,2))</f>
        <v/>
      </c>
      <c r="H15" s="20">
        <f>IF('Условия'!$C$26&lt;&gt;"Условия заполнены","",ROUND($B15-$F15-$G15,2))</f>
        <v/>
      </c>
      <c r="I15" s="20">
        <f>IF('Условия'!$C$26&lt;&gt;"Условия заполнены","",IF($A15='Условия'!$C$7,'Условия'!$C$23,0))</f>
        <v/>
      </c>
      <c r="J15" s="20">
        <f>IF('Условия'!$C$26&lt;&gt;"Условия заполнены","",IFERROR(INDEX($H$5:$H$40,MATCH($A15-'Условия'!$C$17,$A$5:$A$40,0)),0))</f>
        <v/>
      </c>
      <c r="K15" s="20">
        <f>IF('Условия'!$C$26&lt;&gt;"Условия заполнены","",IF(AND('Условия'!$C$13&gt;0,'Условия'!$C$14&gt;0,$A15='Условия'!$C$14),ROUND(MIN(ROUND(SUM($G$5:$G$40)*'Условия'!$C$15/100,2),SUMIFS($G$5:$G$40,$A$5:$A$40,"&lt;="&amp;($A15-'Условия'!$C$17))),2),0))</f>
        <v/>
      </c>
      <c r="L15" s="20">
        <f>IF('Условия'!$C$26&lt;&gt;"Условия заполнены","",ROUND(IFERROR(INDEX($B$5:$B$40,MATCH($A15+'Условия'!$C$19,$A$5:$A$40,0)),0)*'Условия'!$C$18/100,2)+IF($A15=1,'Условия'!$C$20,0)+IF($A15='Условия'!$C$12,'Условия'!$C$24,0))</f>
        <v/>
      </c>
      <c r="M15" s="20">
        <f>IF('Условия'!$C$26&lt;&gt;"Условия заполнены","",ROUND($I15+$J15+$K15-$L15,2))</f>
        <v/>
      </c>
      <c r="N15" s="20">
        <f>IF('Условия'!$C$26&lt;&gt;"Условия заполнены","",ROUND($N14+$M15,2))</f>
        <v/>
      </c>
      <c r="O15" s="22">
        <f>IF('Условия'!$C$26&lt;&gt;"Условия заполнены","",IF($N15&lt;0,$A15,""))</f>
        <v/>
      </c>
      <c r="P15" s="13">
        <f>IF('Условия'!$C$26&lt;&gt;"Условия заполнены","",IF($H15&lt;-0.01,"ОШИБКА: погашение и удержание больше стоимости КС",IF(AND($F15&gt;0.01,$A15&lt;'Условия'!$C$7),"ОШИБКА: аванс погашается до поступления",IF(AND('Условия'!$C$13&gt;0,'Условия'!$C$14&gt;0,$A15='Условия'!$C$14,ROUND(SUM($G$5:$G$40)*'Условия'!$C$15/100,2)&gt;SUMIFS($G$5:$G$40,$A$5:$A$40,"&lt;="&amp;($A15-'Условия'!$C$17))+0.01),"ОШИБКА: возврат больше накопленного удержания",""))))</f>
        <v/>
      </c>
    </row>
    <row r="16">
      <c r="A16" s="17" t="n">
        <v>12</v>
      </c>
      <c r="B16" s="20">
        <f>IF('Условия'!$C$26&lt;&gt;"Условия заполнены","",ROUND(IFERROR('Условия'!$C$5*INDEX('График КС'!$C$5:$C$40,MATCH($A16,'График КС'!$A$5:$A$40,0))/100,0),2))</f>
        <v/>
      </c>
      <c r="C16" s="20">
        <f>IF('Условия'!$C$26&lt;&gt;"Условия заполнены","",SUMIFS($B$5:$B$40,$A$5:$A$40,"&lt;="&amp;$A16))</f>
        <v/>
      </c>
      <c r="D16" s="21">
        <f>IF('Условия'!$C$26&lt;&gt;"Условия заполнены","",SUMIFS('График КС'!$C$5:$C$40,'График КС'!$A$5:$A$40,"&lt;="&amp;$A16))</f>
        <v/>
      </c>
      <c r="E16" s="20">
        <f>IF('Условия'!$C$26&lt;&gt;"Условия заполнены","",IF('Условия'!$C$25=0,0,IFERROR(MAX(0,MIN('Условия'!$C$23,IF('Условия'!$C$25=1,ROUND('Условия'!$C$23*$D16/'График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КС'!$C$42-'Условия'!$C$9),2))))),0)))</f>
        <v/>
      </c>
      <c r="F16" s="20">
        <f>IF('Условия'!$C$26&lt;&gt;"Условия заполнены","",ROUND($E16-$E15,2))</f>
        <v/>
      </c>
      <c r="G16" s="20">
        <f>IF('Условия'!$C$26&lt;&gt;"Условия заполнены","",ROUND($B16*'Условия'!$C$13/100,2))</f>
        <v/>
      </c>
      <c r="H16" s="20">
        <f>IF('Условия'!$C$26&lt;&gt;"Условия заполнены","",ROUND($B16-$F16-$G16,2))</f>
        <v/>
      </c>
      <c r="I16" s="20">
        <f>IF('Условия'!$C$26&lt;&gt;"Условия заполнены","",IF($A16='Условия'!$C$7,'Условия'!$C$23,0))</f>
        <v/>
      </c>
      <c r="J16" s="20">
        <f>IF('Условия'!$C$26&lt;&gt;"Условия заполнены","",IFERROR(INDEX($H$5:$H$40,MATCH($A16-'Условия'!$C$17,$A$5:$A$40,0)),0))</f>
        <v/>
      </c>
      <c r="K16" s="20">
        <f>IF('Условия'!$C$26&lt;&gt;"Условия заполнены","",IF(AND('Условия'!$C$13&gt;0,'Условия'!$C$14&gt;0,$A16='Условия'!$C$14),ROUND(MIN(ROUND(SUM($G$5:$G$40)*'Условия'!$C$15/100,2),SUMIFS($G$5:$G$40,$A$5:$A$40,"&lt;="&amp;($A16-'Условия'!$C$17))),2),0))</f>
        <v/>
      </c>
      <c r="L16" s="20">
        <f>IF('Условия'!$C$26&lt;&gt;"Условия заполнены","",ROUND(IFERROR(INDEX($B$5:$B$40,MATCH($A16+'Условия'!$C$19,$A$5:$A$40,0)),0)*'Условия'!$C$18/100,2)+IF($A16=1,'Условия'!$C$20,0)+IF($A16='Условия'!$C$12,'Условия'!$C$24,0))</f>
        <v/>
      </c>
      <c r="M16" s="20">
        <f>IF('Условия'!$C$26&lt;&gt;"Условия заполнены","",ROUND($I16+$J16+$K16-$L16,2))</f>
        <v/>
      </c>
      <c r="N16" s="20">
        <f>IF('Условия'!$C$26&lt;&gt;"Условия заполнены","",ROUND($N15+$M16,2))</f>
        <v/>
      </c>
      <c r="O16" s="22">
        <f>IF('Условия'!$C$26&lt;&gt;"Условия заполнены","",IF($N16&lt;0,$A16,""))</f>
        <v/>
      </c>
      <c r="P16" s="13">
        <f>IF('Условия'!$C$26&lt;&gt;"Условия заполнены","",IF($H16&lt;-0.01,"ОШИБКА: погашение и удержание больше стоимости КС",IF(AND($F16&gt;0.01,$A16&lt;'Условия'!$C$7),"ОШИБКА: аванс погашается до поступления",IF(AND('Условия'!$C$13&gt;0,'Условия'!$C$14&gt;0,$A16='Условия'!$C$14,ROUND(SUM($G$5:$G$40)*'Условия'!$C$15/100,2)&gt;SUMIFS($G$5:$G$40,$A$5:$A$40,"&lt;="&amp;($A16-'Условия'!$C$17))+0.01),"ОШИБКА: возврат больше накопленного удержания",""))))</f>
        <v/>
      </c>
    </row>
    <row r="17">
      <c r="A17" s="17" t="n">
        <v>13</v>
      </c>
      <c r="B17" s="20">
        <f>IF('Условия'!$C$26&lt;&gt;"Условия заполнены","",ROUND(IFERROR('Условия'!$C$5*INDEX('График КС'!$C$5:$C$40,MATCH($A17,'График КС'!$A$5:$A$40,0))/100,0),2))</f>
        <v/>
      </c>
      <c r="C17" s="20">
        <f>IF('Условия'!$C$26&lt;&gt;"Условия заполнены","",SUMIFS($B$5:$B$40,$A$5:$A$40,"&lt;="&amp;$A17))</f>
        <v/>
      </c>
      <c r="D17" s="21">
        <f>IF('Условия'!$C$26&lt;&gt;"Условия заполнены","",SUMIFS('График КС'!$C$5:$C$40,'График КС'!$A$5:$A$40,"&lt;="&amp;$A17))</f>
        <v/>
      </c>
      <c r="E17" s="20">
        <f>IF('Условия'!$C$26&lt;&gt;"Условия заполнены","",IF('Условия'!$C$25=0,0,IFERROR(MAX(0,MIN('Условия'!$C$23,IF('Условия'!$C$25=1,ROUND('Условия'!$C$23*$D17/'График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КС'!$C$42-'Условия'!$C$9),2))))),0)))</f>
        <v/>
      </c>
      <c r="F17" s="20">
        <f>IF('Условия'!$C$26&lt;&gt;"Условия заполнены","",ROUND($E17-$E16,2))</f>
        <v/>
      </c>
      <c r="G17" s="20">
        <f>IF('Условия'!$C$26&lt;&gt;"Условия заполнены","",ROUND($B17*'Условия'!$C$13/100,2))</f>
        <v/>
      </c>
      <c r="H17" s="20">
        <f>IF('Условия'!$C$26&lt;&gt;"Условия заполнены","",ROUND($B17-$F17-$G17,2))</f>
        <v/>
      </c>
      <c r="I17" s="20">
        <f>IF('Условия'!$C$26&lt;&gt;"Условия заполнены","",IF($A17='Условия'!$C$7,'Условия'!$C$23,0))</f>
        <v/>
      </c>
      <c r="J17" s="20">
        <f>IF('Условия'!$C$26&lt;&gt;"Условия заполнены","",IFERROR(INDEX($H$5:$H$40,MATCH($A17-'Условия'!$C$17,$A$5:$A$40,0)),0))</f>
        <v/>
      </c>
      <c r="K17" s="20">
        <f>IF('Условия'!$C$26&lt;&gt;"Условия заполнены","",IF(AND('Условия'!$C$13&gt;0,'Условия'!$C$14&gt;0,$A17='Условия'!$C$14),ROUND(MIN(ROUND(SUM($G$5:$G$40)*'Условия'!$C$15/100,2),SUMIFS($G$5:$G$40,$A$5:$A$40,"&lt;="&amp;($A17-'Условия'!$C$17))),2),0))</f>
        <v/>
      </c>
      <c r="L17" s="20">
        <f>IF('Условия'!$C$26&lt;&gt;"Условия заполнены","",ROUND(IFERROR(INDEX($B$5:$B$40,MATCH($A17+'Условия'!$C$19,$A$5:$A$40,0)),0)*'Условия'!$C$18/100,2)+IF($A17=1,'Условия'!$C$20,0)+IF($A17='Условия'!$C$12,'Условия'!$C$24,0))</f>
        <v/>
      </c>
      <c r="M17" s="20">
        <f>IF('Условия'!$C$26&lt;&gt;"Условия заполнены","",ROUND($I17+$J17+$K17-$L17,2))</f>
        <v/>
      </c>
      <c r="N17" s="20">
        <f>IF('Условия'!$C$26&lt;&gt;"Условия заполнены","",ROUND($N16+$M17,2))</f>
        <v/>
      </c>
      <c r="O17" s="22">
        <f>IF('Условия'!$C$26&lt;&gt;"Условия заполнены","",IF($N17&lt;0,$A17,""))</f>
        <v/>
      </c>
      <c r="P17" s="13">
        <f>IF('Условия'!$C$26&lt;&gt;"Условия заполнены","",IF($H17&lt;-0.01,"ОШИБКА: погашение и удержание больше стоимости КС",IF(AND($F17&gt;0.01,$A17&lt;'Условия'!$C$7),"ОШИБКА: аванс погашается до поступления",IF(AND('Условия'!$C$13&gt;0,'Условия'!$C$14&gt;0,$A17='Условия'!$C$14,ROUND(SUM($G$5:$G$40)*'Условия'!$C$15/100,2)&gt;SUMIFS($G$5:$G$40,$A$5:$A$40,"&lt;="&amp;($A17-'Условия'!$C$17))+0.01),"ОШИБКА: возврат больше накопленного удержания",""))))</f>
        <v/>
      </c>
    </row>
    <row r="18">
      <c r="A18" s="17" t="n">
        <v>14</v>
      </c>
      <c r="B18" s="20">
        <f>IF('Условия'!$C$26&lt;&gt;"Условия заполнены","",ROUND(IFERROR('Условия'!$C$5*INDEX('График КС'!$C$5:$C$40,MATCH($A18,'График КС'!$A$5:$A$40,0))/100,0),2))</f>
        <v/>
      </c>
      <c r="C18" s="20">
        <f>IF('Условия'!$C$26&lt;&gt;"Условия заполнены","",SUMIFS($B$5:$B$40,$A$5:$A$40,"&lt;="&amp;$A18))</f>
        <v/>
      </c>
      <c r="D18" s="21">
        <f>IF('Условия'!$C$26&lt;&gt;"Условия заполнены","",SUMIFS('График КС'!$C$5:$C$40,'График КС'!$A$5:$A$40,"&lt;="&amp;$A18))</f>
        <v/>
      </c>
      <c r="E18" s="20">
        <f>IF('Условия'!$C$26&lt;&gt;"Условия заполнены","",IF('Условия'!$C$25=0,0,IFERROR(MAX(0,MIN('Условия'!$C$23,IF('Условия'!$C$25=1,ROUND('Условия'!$C$23*$D18/'График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КС'!$C$42-'Условия'!$C$9),2))))),0)))</f>
        <v/>
      </c>
      <c r="F18" s="20">
        <f>IF('Условия'!$C$26&lt;&gt;"Условия заполнены","",ROUND($E18-$E17,2))</f>
        <v/>
      </c>
      <c r="G18" s="20">
        <f>IF('Условия'!$C$26&lt;&gt;"Условия заполнены","",ROUND($B18*'Условия'!$C$13/100,2))</f>
        <v/>
      </c>
      <c r="H18" s="20">
        <f>IF('Условия'!$C$26&lt;&gt;"Условия заполнены","",ROUND($B18-$F18-$G18,2))</f>
        <v/>
      </c>
      <c r="I18" s="20">
        <f>IF('Условия'!$C$26&lt;&gt;"Условия заполнены","",IF($A18='Условия'!$C$7,'Условия'!$C$23,0))</f>
        <v/>
      </c>
      <c r="J18" s="20">
        <f>IF('Условия'!$C$26&lt;&gt;"Условия заполнены","",IFERROR(INDEX($H$5:$H$40,MATCH($A18-'Условия'!$C$17,$A$5:$A$40,0)),0))</f>
        <v/>
      </c>
      <c r="K18" s="20">
        <f>IF('Условия'!$C$26&lt;&gt;"Условия заполнены","",IF(AND('Условия'!$C$13&gt;0,'Условия'!$C$14&gt;0,$A18='Условия'!$C$14),ROUND(MIN(ROUND(SUM($G$5:$G$40)*'Условия'!$C$15/100,2),SUMIFS($G$5:$G$40,$A$5:$A$40,"&lt;="&amp;($A18-'Условия'!$C$17))),2),0))</f>
        <v/>
      </c>
      <c r="L18" s="20">
        <f>IF('Условия'!$C$26&lt;&gt;"Условия заполнены","",ROUND(IFERROR(INDEX($B$5:$B$40,MATCH($A18+'Условия'!$C$19,$A$5:$A$40,0)),0)*'Условия'!$C$18/100,2)+IF($A18=1,'Условия'!$C$20,0)+IF($A18='Условия'!$C$12,'Условия'!$C$24,0))</f>
        <v/>
      </c>
      <c r="M18" s="20">
        <f>IF('Условия'!$C$26&lt;&gt;"Условия заполнены","",ROUND($I18+$J18+$K18-$L18,2))</f>
        <v/>
      </c>
      <c r="N18" s="20">
        <f>IF('Условия'!$C$26&lt;&gt;"Условия заполнены","",ROUND($N17+$M18,2))</f>
        <v/>
      </c>
      <c r="O18" s="22">
        <f>IF('Условия'!$C$26&lt;&gt;"Условия заполнены","",IF($N18&lt;0,$A18,""))</f>
        <v/>
      </c>
      <c r="P18" s="13">
        <f>IF('Условия'!$C$26&lt;&gt;"Условия заполнены","",IF($H18&lt;-0.01,"ОШИБКА: погашение и удержание больше стоимости КС",IF(AND($F18&gt;0.01,$A18&lt;'Условия'!$C$7),"ОШИБКА: аванс погашается до поступления",IF(AND('Условия'!$C$13&gt;0,'Условия'!$C$14&gt;0,$A18='Условия'!$C$14,ROUND(SUM($G$5:$G$40)*'Условия'!$C$15/100,2)&gt;SUMIFS($G$5:$G$40,$A$5:$A$40,"&lt;="&amp;($A18-'Условия'!$C$17))+0.01),"ОШИБКА: возврат больше накопленного удержания",""))))</f>
        <v/>
      </c>
    </row>
    <row r="19">
      <c r="A19" s="17" t="n">
        <v>15</v>
      </c>
      <c r="B19" s="20">
        <f>IF('Условия'!$C$26&lt;&gt;"Условия заполнены","",ROUND(IFERROR('Условия'!$C$5*INDEX('График КС'!$C$5:$C$40,MATCH($A19,'График КС'!$A$5:$A$40,0))/100,0),2))</f>
        <v/>
      </c>
      <c r="C19" s="20">
        <f>IF('Условия'!$C$26&lt;&gt;"Условия заполнены","",SUMIFS($B$5:$B$40,$A$5:$A$40,"&lt;="&amp;$A19))</f>
        <v/>
      </c>
      <c r="D19" s="21">
        <f>IF('Условия'!$C$26&lt;&gt;"Условия заполнены","",SUMIFS('График КС'!$C$5:$C$40,'График КС'!$A$5:$A$40,"&lt;="&amp;$A19))</f>
        <v/>
      </c>
      <c r="E19" s="20">
        <f>IF('Условия'!$C$26&lt;&gt;"Условия заполнены","",IF('Условия'!$C$25=0,0,IFERROR(MAX(0,MIN('Условия'!$C$23,IF('Условия'!$C$25=1,ROUND('Условия'!$C$23*$D19/'График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КС'!$C$42-'Условия'!$C$9),2))))),0)))</f>
        <v/>
      </c>
      <c r="F19" s="20">
        <f>IF('Условия'!$C$26&lt;&gt;"Условия заполнены","",ROUND($E19-$E18,2))</f>
        <v/>
      </c>
      <c r="G19" s="20">
        <f>IF('Условия'!$C$26&lt;&gt;"Условия заполнены","",ROUND($B19*'Условия'!$C$13/100,2))</f>
        <v/>
      </c>
      <c r="H19" s="20">
        <f>IF('Условия'!$C$26&lt;&gt;"Условия заполнены","",ROUND($B19-$F19-$G19,2))</f>
        <v/>
      </c>
      <c r="I19" s="20">
        <f>IF('Условия'!$C$26&lt;&gt;"Условия заполнены","",IF($A19='Условия'!$C$7,'Условия'!$C$23,0))</f>
        <v/>
      </c>
      <c r="J19" s="20">
        <f>IF('Условия'!$C$26&lt;&gt;"Условия заполнены","",IFERROR(INDEX($H$5:$H$40,MATCH($A19-'Условия'!$C$17,$A$5:$A$40,0)),0))</f>
        <v/>
      </c>
      <c r="K19" s="20">
        <f>IF('Условия'!$C$26&lt;&gt;"Условия заполнены","",IF(AND('Условия'!$C$13&gt;0,'Условия'!$C$14&gt;0,$A19='Условия'!$C$14),ROUND(MIN(ROUND(SUM($G$5:$G$40)*'Условия'!$C$15/100,2),SUMIFS($G$5:$G$40,$A$5:$A$40,"&lt;="&amp;($A19-'Условия'!$C$17))),2),0))</f>
        <v/>
      </c>
      <c r="L19" s="20">
        <f>IF('Условия'!$C$26&lt;&gt;"Условия заполнены","",ROUND(IFERROR(INDEX($B$5:$B$40,MATCH($A19+'Условия'!$C$19,$A$5:$A$40,0)),0)*'Условия'!$C$18/100,2)+IF($A19=1,'Условия'!$C$20,0)+IF($A19='Условия'!$C$12,'Условия'!$C$24,0))</f>
        <v/>
      </c>
      <c r="M19" s="20">
        <f>IF('Условия'!$C$26&lt;&gt;"Условия заполнены","",ROUND($I19+$J19+$K19-$L19,2))</f>
        <v/>
      </c>
      <c r="N19" s="20">
        <f>IF('Условия'!$C$26&lt;&gt;"Условия заполнены","",ROUND($N18+$M19,2))</f>
        <v/>
      </c>
      <c r="O19" s="22">
        <f>IF('Условия'!$C$26&lt;&gt;"Условия заполнены","",IF($N19&lt;0,$A19,""))</f>
        <v/>
      </c>
      <c r="P19" s="13">
        <f>IF('Условия'!$C$26&lt;&gt;"Условия заполнены","",IF($H19&lt;-0.01,"ОШИБКА: погашение и удержание больше стоимости КС",IF(AND($F19&gt;0.01,$A19&lt;'Условия'!$C$7),"ОШИБКА: аванс погашается до поступления",IF(AND('Условия'!$C$13&gt;0,'Условия'!$C$14&gt;0,$A19='Условия'!$C$14,ROUND(SUM($G$5:$G$40)*'Условия'!$C$15/100,2)&gt;SUMIFS($G$5:$G$40,$A$5:$A$40,"&lt;="&amp;($A19-'Условия'!$C$17))+0.01),"ОШИБКА: возврат больше накопленного удержания",""))))</f>
        <v/>
      </c>
    </row>
    <row r="20">
      <c r="A20" s="17" t="n">
        <v>16</v>
      </c>
      <c r="B20" s="20">
        <f>IF('Условия'!$C$26&lt;&gt;"Условия заполнены","",ROUND(IFERROR('Условия'!$C$5*INDEX('График КС'!$C$5:$C$40,MATCH($A20,'График КС'!$A$5:$A$40,0))/100,0),2))</f>
        <v/>
      </c>
      <c r="C20" s="20">
        <f>IF('Условия'!$C$26&lt;&gt;"Условия заполнены","",SUMIFS($B$5:$B$40,$A$5:$A$40,"&lt;="&amp;$A20))</f>
        <v/>
      </c>
      <c r="D20" s="21">
        <f>IF('Условия'!$C$26&lt;&gt;"Условия заполнены","",SUMIFS('График КС'!$C$5:$C$40,'График КС'!$A$5:$A$40,"&lt;="&amp;$A20))</f>
        <v/>
      </c>
      <c r="E20" s="20">
        <f>IF('Условия'!$C$26&lt;&gt;"Условия заполнены","",IF('Условия'!$C$25=0,0,IFERROR(MAX(0,MIN('Условия'!$C$23,IF('Условия'!$C$25=1,ROUND('Условия'!$C$23*$D20/'График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КС'!$C$42-'Условия'!$C$9),2))))),0)))</f>
        <v/>
      </c>
      <c r="F20" s="20">
        <f>IF('Условия'!$C$26&lt;&gt;"Условия заполнены","",ROUND($E20-$E19,2))</f>
        <v/>
      </c>
      <c r="G20" s="20">
        <f>IF('Условия'!$C$26&lt;&gt;"Условия заполнены","",ROUND($B20*'Условия'!$C$13/100,2))</f>
        <v/>
      </c>
      <c r="H20" s="20">
        <f>IF('Условия'!$C$26&lt;&gt;"Условия заполнены","",ROUND($B20-$F20-$G20,2))</f>
        <v/>
      </c>
      <c r="I20" s="20">
        <f>IF('Условия'!$C$26&lt;&gt;"Условия заполнены","",IF($A20='Условия'!$C$7,'Условия'!$C$23,0))</f>
        <v/>
      </c>
      <c r="J20" s="20">
        <f>IF('Условия'!$C$26&lt;&gt;"Условия заполнены","",IFERROR(INDEX($H$5:$H$40,MATCH($A20-'Условия'!$C$17,$A$5:$A$40,0)),0))</f>
        <v/>
      </c>
      <c r="K20" s="20">
        <f>IF('Условия'!$C$26&lt;&gt;"Условия заполнены","",IF(AND('Условия'!$C$13&gt;0,'Условия'!$C$14&gt;0,$A20='Условия'!$C$14),ROUND(MIN(ROUND(SUM($G$5:$G$40)*'Условия'!$C$15/100,2),SUMIFS($G$5:$G$40,$A$5:$A$40,"&lt;="&amp;($A20-'Условия'!$C$17))),2),0))</f>
        <v/>
      </c>
      <c r="L20" s="20">
        <f>IF('Условия'!$C$26&lt;&gt;"Условия заполнены","",ROUND(IFERROR(INDEX($B$5:$B$40,MATCH($A20+'Условия'!$C$19,$A$5:$A$40,0)),0)*'Условия'!$C$18/100,2)+IF($A20=1,'Условия'!$C$20,0)+IF($A20='Условия'!$C$12,'Условия'!$C$24,0))</f>
        <v/>
      </c>
      <c r="M20" s="20">
        <f>IF('Условия'!$C$26&lt;&gt;"Условия заполнены","",ROUND($I20+$J20+$K20-$L20,2))</f>
        <v/>
      </c>
      <c r="N20" s="20">
        <f>IF('Условия'!$C$26&lt;&gt;"Условия заполнены","",ROUND($N19+$M20,2))</f>
        <v/>
      </c>
      <c r="O20" s="22">
        <f>IF('Условия'!$C$26&lt;&gt;"Условия заполнены","",IF($N20&lt;0,$A20,""))</f>
        <v/>
      </c>
      <c r="P20" s="13">
        <f>IF('Условия'!$C$26&lt;&gt;"Условия заполнены","",IF($H20&lt;-0.01,"ОШИБКА: погашение и удержание больше стоимости КС",IF(AND($F20&gt;0.01,$A20&lt;'Условия'!$C$7),"ОШИБКА: аванс погашается до поступления",IF(AND('Условия'!$C$13&gt;0,'Условия'!$C$14&gt;0,$A20='Условия'!$C$14,ROUND(SUM($G$5:$G$40)*'Условия'!$C$15/100,2)&gt;SUMIFS($G$5:$G$40,$A$5:$A$40,"&lt;="&amp;($A20-'Условия'!$C$17))+0.01),"ОШИБКА: возврат больше накопленного удержания",""))))</f>
        <v/>
      </c>
    </row>
    <row r="21">
      <c r="A21" s="17" t="n">
        <v>17</v>
      </c>
      <c r="B21" s="20">
        <f>IF('Условия'!$C$26&lt;&gt;"Условия заполнены","",ROUND(IFERROR('Условия'!$C$5*INDEX('График КС'!$C$5:$C$40,MATCH($A21,'График КС'!$A$5:$A$40,0))/100,0),2))</f>
        <v/>
      </c>
      <c r="C21" s="20">
        <f>IF('Условия'!$C$26&lt;&gt;"Условия заполнены","",SUMIFS($B$5:$B$40,$A$5:$A$40,"&lt;="&amp;$A21))</f>
        <v/>
      </c>
      <c r="D21" s="21">
        <f>IF('Условия'!$C$26&lt;&gt;"Условия заполнены","",SUMIFS('График КС'!$C$5:$C$40,'График КС'!$A$5:$A$40,"&lt;="&amp;$A21))</f>
        <v/>
      </c>
      <c r="E21" s="20">
        <f>IF('Условия'!$C$26&lt;&gt;"Условия заполнены","",IF('Условия'!$C$25=0,0,IFERROR(MAX(0,MIN('Условия'!$C$23,IF('Условия'!$C$25=1,ROUND('Условия'!$C$23*$D21/'График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КС'!$C$42-'Условия'!$C$9),2))))),0)))</f>
        <v/>
      </c>
      <c r="F21" s="20">
        <f>IF('Условия'!$C$26&lt;&gt;"Условия заполнены","",ROUND($E21-$E20,2))</f>
        <v/>
      </c>
      <c r="G21" s="20">
        <f>IF('Условия'!$C$26&lt;&gt;"Условия заполнены","",ROUND($B21*'Условия'!$C$13/100,2))</f>
        <v/>
      </c>
      <c r="H21" s="20">
        <f>IF('Условия'!$C$26&lt;&gt;"Условия заполнены","",ROUND($B21-$F21-$G21,2))</f>
        <v/>
      </c>
      <c r="I21" s="20">
        <f>IF('Условия'!$C$26&lt;&gt;"Условия заполнены","",IF($A21='Условия'!$C$7,'Условия'!$C$23,0))</f>
        <v/>
      </c>
      <c r="J21" s="20">
        <f>IF('Условия'!$C$26&lt;&gt;"Условия заполнены","",IFERROR(INDEX($H$5:$H$40,MATCH($A21-'Условия'!$C$17,$A$5:$A$40,0)),0))</f>
        <v/>
      </c>
      <c r="K21" s="20">
        <f>IF('Условия'!$C$26&lt;&gt;"Условия заполнены","",IF(AND('Условия'!$C$13&gt;0,'Условия'!$C$14&gt;0,$A21='Условия'!$C$14),ROUND(MIN(ROUND(SUM($G$5:$G$40)*'Условия'!$C$15/100,2),SUMIFS($G$5:$G$40,$A$5:$A$40,"&lt;="&amp;($A21-'Условия'!$C$17))),2),0))</f>
        <v/>
      </c>
      <c r="L21" s="20">
        <f>IF('Условия'!$C$26&lt;&gt;"Условия заполнены","",ROUND(IFERROR(INDEX($B$5:$B$40,MATCH($A21+'Условия'!$C$19,$A$5:$A$40,0)),0)*'Условия'!$C$18/100,2)+IF($A21=1,'Условия'!$C$20,0)+IF($A21='Условия'!$C$12,'Условия'!$C$24,0))</f>
        <v/>
      </c>
      <c r="M21" s="20">
        <f>IF('Условия'!$C$26&lt;&gt;"Условия заполнены","",ROUND($I21+$J21+$K21-$L21,2))</f>
        <v/>
      </c>
      <c r="N21" s="20">
        <f>IF('Условия'!$C$26&lt;&gt;"Условия заполнены","",ROUND($N20+$M21,2))</f>
        <v/>
      </c>
      <c r="O21" s="22">
        <f>IF('Условия'!$C$26&lt;&gt;"Условия заполнены","",IF($N21&lt;0,$A21,""))</f>
        <v/>
      </c>
      <c r="P21" s="13">
        <f>IF('Условия'!$C$26&lt;&gt;"Условия заполнены","",IF($H21&lt;-0.01,"ОШИБКА: погашение и удержание больше стоимости КС",IF(AND($F21&gt;0.01,$A21&lt;'Условия'!$C$7),"ОШИБКА: аванс погашается до поступления",IF(AND('Условия'!$C$13&gt;0,'Условия'!$C$14&gt;0,$A21='Условия'!$C$14,ROUND(SUM($G$5:$G$40)*'Условия'!$C$15/100,2)&gt;SUMIFS($G$5:$G$40,$A$5:$A$40,"&lt;="&amp;($A21-'Условия'!$C$17))+0.01),"ОШИБКА: возврат больше накопленного удержания",""))))</f>
        <v/>
      </c>
    </row>
    <row r="22">
      <c r="A22" s="17" t="n">
        <v>18</v>
      </c>
      <c r="B22" s="20">
        <f>IF('Условия'!$C$26&lt;&gt;"Условия заполнены","",ROUND(IFERROR('Условия'!$C$5*INDEX('График КС'!$C$5:$C$40,MATCH($A22,'График КС'!$A$5:$A$40,0))/100,0),2))</f>
        <v/>
      </c>
      <c r="C22" s="20">
        <f>IF('Условия'!$C$26&lt;&gt;"Условия заполнены","",SUMIFS($B$5:$B$40,$A$5:$A$40,"&lt;="&amp;$A22))</f>
        <v/>
      </c>
      <c r="D22" s="21">
        <f>IF('Условия'!$C$26&lt;&gt;"Условия заполнены","",SUMIFS('График КС'!$C$5:$C$40,'График КС'!$A$5:$A$40,"&lt;="&amp;$A22))</f>
        <v/>
      </c>
      <c r="E22" s="20">
        <f>IF('Условия'!$C$26&lt;&gt;"Условия заполнены","",IF('Условия'!$C$25=0,0,IFERROR(MAX(0,MIN('Условия'!$C$23,IF('Условия'!$C$25=1,ROUND('Условия'!$C$23*$D22/'График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КС'!$C$42-'Условия'!$C$9),2))))),0)))</f>
        <v/>
      </c>
      <c r="F22" s="20">
        <f>IF('Условия'!$C$26&lt;&gt;"Условия заполнены","",ROUND($E22-$E21,2))</f>
        <v/>
      </c>
      <c r="G22" s="20">
        <f>IF('Условия'!$C$26&lt;&gt;"Условия заполнены","",ROUND($B22*'Условия'!$C$13/100,2))</f>
        <v/>
      </c>
      <c r="H22" s="20">
        <f>IF('Условия'!$C$26&lt;&gt;"Условия заполнены","",ROUND($B22-$F22-$G22,2))</f>
        <v/>
      </c>
      <c r="I22" s="20">
        <f>IF('Условия'!$C$26&lt;&gt;"Условия заполнены","",IF($A22='Условия'!$C$7,'Условия'!$C$23,0))</f>
        <v/>
      </c>
      <c r="J22" s="20">
        <f>IF('Условия'!$C$26&lt;&gt;"Условия заполнены","",IFERROR(INDEX($H$5:$H$40,MATCH($A22-'Условия'!$C$17,$A$5:$A$40,0)),0))</f>
        <v/>
      </c>
      <c r="K22" s="20">
        <f>IF('Условия'!$C$26&lt;&gt;"Условия заполнены","",IF(AND('Условия'!$C$13&gt;0,'Условия'!$C$14&gt;0,$A22='Условия'!$C$14),ROUND(MIN(ROUND(SUM($G$5:$G$40)*'Условия'!$C$15/100,2),SUMIFS($G$5:$G$40,$A$5:$A$40,"&lt;="&amp;($A22-'Условия'!$C$17))),2),0))</f>
        <v/>
      </c>
      <c r="L22" s="20">
        <f>IF('Условия'!$C$26&lt;&gt;"Условия заполнены","",ROUND(IFERROR(INDEX($B$5:$B$40,MATCH($A22+'Условия'!$C$19,$A$5:$A$40,0)),0)*'Условия'!$C$18/100,2)+IF($A22=1,'Условия'!$C$20,0)+IF($A22='Условия'!$C$12,'Условия'!$C$24,0))</f>
        <v/>
      </c>
      <c r="M22" s="20">
        <f>IF('Условия'!$C$26&lt;&gt;"Условия заполнены","",ROUND($I22+$J22+$K22-$L22,2))</f>
        <v/>
      </c>
      <c r="N22" s="20">
        <f>IF('Условия'!$C$26&lt;&gt;"Условия заполнены","",ROUND($N21+$M22,2))</f>
        <v/>
      </c>
      <c r="O22" s="22">
        <f>IF('Условия'!$C$26&lt;&gt;"Условия заполнены","",IF($N22&lt;0,$A22,""))</f>
        <v/>
      </c>
      <c r="P22" s="13">
        <f>IF('Условия'!$C$26&lt;&gt;"Условия заполнены","",IF($H22&lt;-0.01,"ОШИБКА: погашение и удержание больше стоимости КС",IF(AND($F22&gt;0.01,$A22&lt;'Условия'!$C$7),"ОШИБКА: аванс погашается до поступления",IF(AND('Условия'!$C$13&gt;0,'Условия'!$C$14&gt;0,$A22='Условия'!$C$14,ROUND(SUM($G$5:$G$40)*'Условия'!$C$15/100,2)&gt;SUMIFS($G$5:$G$40,$A$5:$A$40,"&lt;="&amp;($A22-'Условия'!$C$17))+0.01),"ОШИБКА: возврат больше накопленного удержания",""))))</f>
        <v/>
      </c>
    </row>
    <row r="23">
      <c r="A23" s="17" t="n">
        <v>19</v>
      </c>
      <c r="B23" s="20">
        <f>IF('Условия'!$C$26&lt;&gt;"Условия заполнены","",ROUND(IFERROR('Условия'!$C$5*INDEX('График КС'!$C$5:$C$40,MATCH($A23,'График КС'!$A$5:$A$40,0))/100,0),2))</f>
        <v/>
      </c>
      <c r="C23" s="20">
        <f>IF('Условия'!$C$26&lt;&gt;"Условия заполнены","",SUMIFS($B$5:$B$40,$A$5:$A$40,"&lt;="&amp;$A23))</f>
        <v/>
      </c>
      <c r="D23" s="21">
        <f>IF('Условия'!$C$26&lt;&gt;"Условия заполнены","",SUMIFS('График КС'!$C$5:$C$40,'График КС'!$A$5:$A$40,"&lt;="&amp;$A23))</f>
        <v/>
      </c>
      <c r="E23" s="20">
        <f>IF('Условия'!$C$26&lt;&gt;"Условия заполнены","",IF('Условия'!$C$25=0,0,IFERROR(MAX(0,MIN('Условия'!$C$23,IF('Условия'!$C$25=1,ROUND('Условия'!$C$23*$D23/'График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КС'!$C$42-'Условия'!$C$9),2))))),0)))</f>
        <v/>
      </c>
      <c r="F23" s="20">
        <f>IF('Условия'!$C$26&lt;&gt;"Условия заполнены","",ROUND($E23-$E22,2))</f>
        <v/>
      </c>
      <c r="G23" s="20">
        <f>IF('Условия'!$C$26&lt;&gt;"Условия заполнены","",ROUND($B23*'Условия'!$C$13/100,2))</f>
        <v/>
      </c>
      <c r="H23" s="20">
        <f>IF('Условия'!$C$26&lt;&gt;"Условия заполнены","",ROUND($B23-$F23-$G23,2))</f>
        <v/>
      </c>
      <c r="I23" s="20">
        <f>IF('Условия'!$C$26&lt;&gt;"Условия заполнены","",IF($A23='Условия'!$C$7,'Условия'!$C$23,0))</f>
        <v/>
      </c>
      <c r="J23" s="20">
        <f>IF('Условия'!$C$26&lt;&gt;"Условия заполнены","",IFERROR(INDEX($H$5:$H$40,MATCH($A23-'Условия'!$C$17,$A$5:$A$40,0)),0))</f>
        <v/>
      </c>
      <c r="K23" s="20">
        <f>IF('Условия'!$C$26&lt;&gt;"Условия заполнены","",IF(AND('Условия'!$C$13&gt;0,'Условия'!$C$14&gt;0,$A23='Условия'!$C$14),ROUND(MIN(ROUND(SUM($G$5:$G$40)*'Условия'!$C$15/100,2),SUMIFS($G$5:$G$40,$A$5:$A$40,"&lt;="&amp;($A23-'Условия'!$C$17))),2),0))</f>
        <v/>
      </c>
      <c r="L23" s="20">
        <f>IF('Условия'!$C$26&lt;&gt;"Условия заполнены","",ROUND(IFERROR(INDEX($B$5:$B$40,MATCH($A23+'Условия'!$C$19,$A$5:$A$40,0)),0)*'Условия'!$C$18/100,2)+IF($A23=1,'Условия'!$C$20,0)+IF($A23='Условия'!$C$12,'Условия'!$C$24,0))</f>
        <v/>
      </c>
      <c r="M23" s="20">
        <f>IF('Условия'!$C$26&lt;&gt;"Условия заполнены","",ROUND($I23+$J23+$K23-$L23,2))</f>
        <v/>
      </c>
      <c r="N23" s="20">
        <f>IF('Условия'!$C$26&lt;&gt;"Условия заполнены","",ROUND($N22+$M23,2))</f>
        <v/>
      </c>
      <c r="O23" s="22">
        <f>IF('Условия'!$C$26&lt;&gt;"Условия заполнены","",IF($N23&lt;0,$A23,""))</f>
        <v/>
      </c>
      <c r="P23" s="13">
        <f>IF('Условия'!$C$26&lt;&gt;"Условия заполнены","",IF($H23&lt;-0.01,"ОШИБКА: погашение и удержание больше стоимости КС",IF(AND($F23&gt;0.01,$A23&lt;'Условия'!$C$7),"ОШИБКА: аванс погашается до поступления",IF(AND('Условия'!$C$13&gt;0,'Условия'!$C$14&gt;0,$A23='Условия'!$C$14,ROUND(SUM($G$5:$G$40)*'Условия'!$C$15/100,2)&gt;SUMIFS($G$5:$G$40,$A$5:$A$40,"&lt;="&amp;($A23-'Условия'!$C$17))+0.01),"ОШИБКА: возврат больше накопленного удержания",""))))</f>
        <v/>
      </c>
    </row>
    <row r="24">
      <c r="A24" s="17" t="n">
        <v>20</v>
      </c>
      <c r="B24" s="20">
        <f>IF('Условия'!$C$26&lt;&gt;"Условия заполнены","",ROUND(IFERROR('Условия'!$C$5*INDEX('График КС'!$C$5:$C$40,MATCH($A24,'График КС'!$A$5:$A$40,0))/100,0),2))</f>
        <v/>
      </c>
      <c r="C24" s="20">
        <f>IF('Условия'!$C$26&lt;&gt;"Условия заполнены","",SUMIFS($B$5:$B$40,$A$5:$A$40,"&lt;="&amp;$A24))</f>
        <v/>
      </c>
      <c r="D24" s="21">
        <f>IF('Условия'!$C$26&lt;&gt;"Условия заполнены","",SUMIFS('График КС'!$C$5:$C$40,'График КС'!$A$5:$A$40,"&lt;="&amp;$A24))</f>
        <v/>
      </c>
      <c r="E24" s="20">
        <f>IF('Условия'!$C$26&lt;&gt;"Условия заполнены","",IF('Условия'!$C$25=0,0,IFERROR(MAX(0,MIN('Условия'!$C$23,IF('Условия'!$C$25=1,ROUND('Условия'!$C$23*$D24/'График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КС'!$C$42-'Условия'!$C$9),2))))),0)))</f>
        <v/>
      </c>
      <c r="F24" s="20">
        <f>IF('Условия'!$C$26&lt;&gt;"Условия заполнены","",ROUND($E24-$E23,2))</f>
        <v/>
      </c>
      <c r="G24" s="20">
        <f>IF('Условия'!$C$26&lt;&gt;"Условия заполнены","",ROUND($B24*'Условия'!$C$13/100,2))</f>
        <v/>
      </c>
      <c r="H24" s="20">
        <f>IF('Условия'!$C$26&lt;&gt;"Условия заполнены","",ROUND($B24-$F24-$G24,2))</f>
        <v/>
      </c>
      <c r="I24" s="20">
        <f>IF('Условия'!$C$26&lt;&gt;"Условия заполнены","",IF($A24='Условия'!$C$7,'Условия'!$C$23,0))</f>
        <v/>
      </c>
      <c r="J24" s="20">
        <f>IF('Условия'!$C$26&lt;&gt;"Условия заполнены","",IFERROR(INDEX($H$5:$H$40,MATCH($A24-'Условия'!$C$17,$A$5:$A$40,0)),0))</f>
        <v/>
      </c>
      <c r="K24" s="20">
        <f>IF('Условия'!$C$26&lt;&gt;"Условия заполнены","",IF(AND('Условия'!$C$13&gt;0,'Условия'!$C$14&gt;0,$A24='Условия'!$C$14),ROUND(MIN(ROUND(SUM($G$5:$G$40)*'Условия'!$C$15/100,2),SUMIFS($G$5:$G$40,$A$5:$A$40,"&lt;="&amp;($A24-'Условия'!$C$17))),2),0))</f>
        <v/>
      </c>
      <c r="L24" s="20">
        <f>IF('Условия'!$C$26&lt;&gt;"Условия заполнены","",ROUND(IFERROR(INDEX($B$5:$B$40,MATCH($A24+'Условия'!$C$19,$A$5:$A$40,0)),0)*'Условия'!$C$18/100,2)+IF($A24=1,'Условия'!$C$20,0)+IF($A24='Условия'!$C$12,'Условия'!$C$24,0))</f>
        <v/>
      </c>
      <c r="M24" s="20">
        <f>IF('Условия'!$C$26&lt;&gt;"Условия заполнены","",ROUND($I24+$J24+$K24-$L24,2))</f>
        <v/>
      </c>
      <c r="N24" s="20">
        <f>IF('Условия'!$C$26&lt;&gt;"Условия заполнены","",ROUND($N23+$M24,2))</f>
        <v/>
      </c>
      <c r="O24" s="22">
        <f>IF('Условия'!$C$26&lt;&gt;"Условия заполнены","",IF($N24&lt;0,$A24,""))</f>
        <v/>
      </c>
      <c r="P24" s="13">
        <f>IF('Условия'!$C$26&lt;&gt;"Условия заполнены","",IF($H24&lt;-0.01,"ОШИБКА: погашение и удержание больше стоимости КС",IF(AND($F24&gt;0.01,$A24&lt;'Условия'!$C$7),"ОШИБКА: аванс погашается до поступления",IF(AND('Условия'!$C$13&gt;0,'Условия'!$C$14&gt;0,$A24='Условия'!$C$14,ROUND(SUM($G$5:$G$40)*'Условия'!$C$15/100,2)&gt;SUMIFS($G$5:$G$40,$A$5:$A$40,"&lt;="&amp;($A24-'Условия'!$C$17))+0.01),"ОШИБКА: возврат больше накопленного удержания",""))))</f>
        <v/>
      </c>
    </row>
    <row r="25">
      <c r="A25" s="17" t="n">
        <v>21</v>
      </c>
      <c r="B25" s="20">
        <f>IF('Условия'!$C$26&lt;&gt;"Условия заполнены","",ROUND(IFERROR('Условия'!$C$5*INDEX('График КС'!$C$5:$C$40,MATCH($A25,'График КС'!$A$5:$A$40,0))/100,0),2))</f>
        <v/>
      </c>
      <c r="C25" s="20">
        <f>IF('Условия'!$C$26&lt;&gt;"Условия заполнены","",SUMIFS($B$5:$B$40,$A$5:$A$40,"&lt;="&amp;$A25))</f>
        <v/>
      </c>
      <c r="D25" s="21">
        <f>IF('Условия'!$C$26&lt;&gt;"Условия заполнены","",SUMIFS('График КС'!$C$5:$C$40,'График КС'!$A$5:$A$40,"&lt;="&amp;$A25))</f>
        <v/>
      </c>
      <c r="E25" s="20">
        <f>IF('Условия'!$C$26&lt;&gt;"Условия заполнены","",IF('Условия'!$C$25=0,0,IFERROR(MAX(0,MIN('Условия'!$C$23,IF('Условия'!$C$25=1,ROUND('Условия'!$C$23*$D25/'График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КС'!$C$42-'Условия'!$C$9),2))))),0)))</f>
        <v/>
      </c>
      <c r="F25" s="20">
        <f>IF('Условия'!$C$26&lt;&gt;"Условия заполнены","",ROUND($E25-$E24,2))</f>
        <v/>
      </c>
      <c r="G25" s="20">
        <f>IF('Условия'!$C$26&lt;&gt;"Условия заполнены","",ROUND($B25*'Условия'!$C$13/100,2))</f>
        <v/>
      </c>
      <c r="H25" s="20">
        <f>IF('Условия'!$C$26&lt;&gt;"Условия заполнены","",ROUND($B25-$F25-$G25,2))</f>
        <v/>
      </c>
      <c r="I25" s="20">
        <f>IF('Условия'!$C$26&lt;&gt;"Условия заполнены","",IF($A25='Условия'!$C$7,'Условия'!$C$23,0))</f>
        <v/>
      </c>
      <c r="J25" s="20">
        <f>IF('Условия'!$C$26&lt;&gt;"Условия заполнены","",IFERROR(INDEX($H$5:$H$40,MATCH($A25-'Условия'!$C$17,$A$5:$A$40,0)),0))</f>
        <v/>
      </c>
      <c r="K25" s="20">
        <f>IF('Условия'!$C$26&lt;&gt;"Условия заполнены","",IF(AND('Условия'!$C$13&gt;0,'Условия'!$C$14&gt;0,$A25='Условия'!$C$14),ROUND(MIN(ROUND(SUM($G$5:$G$40)*'Условия'!$C$15/100,2),SUMIFS($G$5:$G$40,$A$5:$A$40,"&lt;="&amp;($A25-'Условия'!$C$17))),2),0))</f>
        <v/>
      </c>
      <c r="L25" s="20">
        <f>IF('Условия'!$C$26&lt;&gt;"Условия заполнены","",ROUND(IFERROR(INDEX($B$5:$B$40,MATCH($A25+'Условия'!$C$19,$A$5:$A$40,0)),0)*'Условия'!$C$18/100,2)+IF($A25=1,'Условия'!$C$20,0)+IF($A25='Условия'!$C$12,'Условия'!$C$24,0))</f>
        <v/>
      </c>
      <c r="M25" s="20">
        <f>IF('Условия'!$C$26&lt;&gt;"Условия заполнены","",ROUND($I25+$J25+$K25-$L25,2))</f>
        <v/>
      </c>
      <c r="N25" s="20">
        <f>IF('Условия'!$C$26&lt;&gt;"Условия заполнены","",ROUND($N24+$M25,2))</f>
        <v/>
      </c>
      <c r="O25" s="22">
        <f>IF('Условия'!$C$26&lt;&gt;"Условия заполнены","",IF($N25&lt;0,$A25,""))</f>
        <v/>
      </c>
      <c r="P25" s="13">
        <f>IF('Условия'!$C$26&lt;&gt;"Условия заполнены","",IF($H25&lt;-0.01,"ОШИБКА: погашение и удержание больше стоимости КС",IF(AND($F25&gt;0.01,$A25&lt;'Условия'!$C$7),"ОШИБКА: аванс погашается до поступления",IF(AND('Условия'!$C$13&gt;0,'Условия'!$C$14&gt;0,$A25='Условия'!$C$14,ROUND(SUM($G$5:$G$40)*'Условия'!$C$15/100,2)&gt;SUMIFS($G$5:$G$40,$A$5:$A$40,"&lt;="&amp;($A25-'Условия'!$C$17))+0.01),"ОШИБКА: возврат больше накопленного удержания",""))))</f>
        <v/>
      </c>
    </row>
    <row r="26">
      <c r="A26" s="17" t="n">
        <v>22</v>
      </c>
      <c r="B26" s="20">
        <f>IF('Условия'!$C$26&lt;&gt;"Условия заполнены","",ROUND(IFERROR('Условия'!$C$5*INDEX('График КС'!$C$5:$C$40,MATCH($A26,'График КС'!$A$5:$A$40,0))/100,0),2))</f>
        <v/>
      </c>
      <c r="C26" s="20">
        <f>IF('Условия'!$C$26&lt;&gt;"Условия заполнены","",SUMIFS($B$5:$B$40,$A$5:$A$40,"&lt;="&amp;$A26))</f>
        <v/>
      </c>
      <c r="D26" s="21">
        <f>IF('Условия'!$C$26&lt;&gt;"Условия заполнены","",SUMIFS('График КС'!$C$5:$C$40,'График КС'!$A$5:$A$40,"&lt;="&amp;$A26))</f>
        <v/>
      </c>
      <c r="E26" s="20">
        <f>IF('Условия'!$C$26&lt;&gt;"Условия заполнены","",IF('Условия'!$C$25=0,0,IFERROR(MAX(0,MIN('Условия'!$C$23,IF('Условия'!$C$25=1,ROUND('Условия'!$C$23*$D26/'График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КС'!$C$42-'Условия'!$C$9),2))))),0)))</f>
        <v/>
      </c>
      <c r="F26" s="20">
        <f>IF('Условия'!$C$26&lt;&gt;"Условия заполнены","",ROUND($E26-$E25,2))</f>
        <v/>
      </c>
      <c r="G26" s="20">
        <f>IF('Условия'!$C$26&lt;&gt;"Условия заполнены","",ROUND($B26*'Условия'!$C$13/100,2))</f>
        <v/>
      </c>
      <c r="H26" s="20">
        <f>IF('Условия'!$C$26&lt;&gt;"Условия заполнены","",ROUND($B26-$F26-$G26,2))</f>
        <v/>
      </c>
      <c r="I26" s="20">
        <f>IF('Условия'!$C$26&lt;&gt;"Условия заполнены","",IF($A26='Условия'!$C$7,'Условия'!$C$23,0))</f>
        <v/>
      </c>
      <c r="J26" s="20">
        <f>IF('Условия'!$C$26&lt;&gt;"Условия заполнены","",IFERROR(INDEX($H$5:$H$40,MATCH($A26-'Условия'!$C$17,$A$5:$A$40,0)),0))</f>
        <v/>
      </c>
      <c r="K26" s="20">
        <f>IF('Условия'!$C$26&lt;&gt;"Условия заполнены","",IF(AND('Условия'!$C$13&gt;0,'Условия'!$C$14&gt;0,$A26='Условия'!$C$14),ROUND(MIN(ROUND(SUM($G$5:$G$40)*'Условия'!$C$15/100,2),SUMIFS($G$5:$G$40,$A$5:$A$40,"&lt;="&amp;($A26-'Условия'!$C$17))),2),0))</f>
        <v/>
      </c>
      <c r="L26" s="20">
        <f>IF('Условия'!$C$26&lt;&gt;"Условия заполнены","",ROUND(IFERROR(INDEX($B$5:$B$40,MATCH($A26+'Условия'!$C$19,$A$5:$A$40,0)),0)*'Условия'!$C$18/100,2)+IF($A26=1,'Условия'!$C$20,0)+IF($A26='Условия'!$C$12,'Условия'!$C$24,0))</f>
        <v/>
      </c>
      <c r="M26" s="20">
        <f>IF('Условия'!$C$26&lt;&gt;"Условия заполнены","",ROUND($I26+$J26+$K26-$L26,2))</f>
        <v/>
      </c>
      <c r="N26" s="20">
        <f>IF('Условия'!$C$26&lt;&gt;"Условия заполнены","",ROUND($N25+$M26,2))</f>
        <v/>
      </c>
      <c r="O26" s="22">
        <f>IF('Условия'!$C$26&lt;&gt;"Условия заполнены","",IF($N26&lt;0,$A26,""))</f>
        <v/>
      </c>
      <c r="P26" s="13">
        <f>IF('Условия'!$C$26&lt;&gt;"Условия заполнены","",IF($H26&lt;-0.01,"ОШИБКА: погашение и удержание больше стоимости КС",IF(AND($F26&gt;0.01,$A26&lt;'Условия'!$C$7),"ОШИБКА: аванс погашается до поступления",IF(AND('Условия'!$C$13&gt;0,'Условия'!$C$14&gt;0,$A26='Условия'!$C$14,ROUND(SUM($G$5:$G$40)*'Условия'!$C$15/100,2)&gt;SUMIFS($G$5:$G$40,$A$5:$A$40,"&lt;="&amp;($A26-'Условия'!$C$17))+0.01),"ОШИБКА: возврат больше накопленного удержания",""))))</f>
        <v/>
      </c>
    </row>
    <row r="27">
      <c r="A27" s="17" t="n">
        <v>23</v>
      </c>
      <c r="B27" s="20">
        <f>IF('Условия'!$C$26&lt;&gt;"Условия заполнены","",ROUND(IFERROR('Условия'!$C$5*INDEX('График КС'!$C$5:$C$40,MATCH($A27,'График КС'!$A$5:$A$40,0))/100,0),2))</f>
        <v/>
      </c>
      <c r="C27" s="20">
        <f>IF('Условия'!$C$26&lt;&gt;"Условия заполнены","",SUMIFS($B$5:$B$40,$A$5:$A$40,"&lt;="&amp;$A27))</f>
        <v/>
      </c>
      <c r="D27" s="21">
        <f>IF('Условия'!$C$26&lt;&gt;"Условия заполнены","",SUMIFS('График КС'!$C$5:$C$40,'График КС'!$A$5:$A$40,"&lt;="&amp;$A27))</f>
        <v/>
      </c>
      <c r="E27" s="20">
        <f>IF('Условия'!$C$26&lt;&gt;"Условия заполнены","",IF('Условия'!$C$25=0,0,IFERROR(MAX(0,MIN('Условия'!$C$23,IF('Условия'!$C$25=1,ROUND('Условия'!$C$23*$D27/'График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КС'!$C$42-'Условия'!$C$9),2))))),0)))</f>
        <v/>
      </c>
      <c r="F27" s="20">
        <f>IF('Условия'!$C$26&lt;&gt;"Условия заполнены","",ROUND($E27-$E26,2))</f>
        <v/>
      </c>
      <c r="G27" s="20">
        <f>IF('Условия'!$C$26&lt;&gt;"Условия заполнены","",ROUND($B27*'Условия'!$C$13/100,2))</f>
        <v/>
      </c>
      <c r="H27" s="20">
        <f>IF('Условия'!$C$26&lt;&gt;"Условия заполнены","",ROUND($B27-$F27-$G27,2))</f>
        <v/>
      </c>
      <c r="I27" s="20">
        <f>IF('Условия'!$C$26&lt;&gt;"Условия заполнены","",IF($A27='Условия'!$C$7,'Условия'!$C$23,0))</f>
        <v/>
      </c>
      <c r="J27" s="20">
        <f>IF('Условия'!$C$26&lt;&gt;"Условия заполнены","",IFERROR(INDEX($H$5:$H$40,MATCH($A27-'Условия'!$C$17,$A$5:$A$40,0)),0))</f>
        <v/>
      </c>
      <c r="K27" s="20">
        <f>IF('Условия'!$C$26&lt;&gt;"Условия заполнены","",IF(AND('Условия'!$C$13&gt;0,'Условия'!$C$14&gt;0,$A27='Условия'!$C$14),ROUND(MIN(ROUND(SUM($G$5:$G$40)*'Условия'!$C$15/100,2),SUMIFS($G$5:$G$40,$A$5:$A$40,"&lt;="&amp;($A27-'Условия'!$C$17))),2),0))</f>
        <v/>
      </c>
      <c r="L27" s="20">
        <f>IF('Условия'!$C$26&lt;&gt;"Условия заполнены","",ROUND(IFERROR(INDEX($B$5:$B$40,MATCH($A27+'Условия'!$C$19,$A$5:$A$40,0)),0)*'Условия'!$C$18/100,2)+IF($A27=1,'Условия'!$C$20,0)+IF($A27='Условия'!$C$12,'Условия'!$C$24,0))</f>
        <v/>
      </c>
      <c r="M27" s="20">
        <f>IF('Условия'!$C$26&lt;&gt;"Условия заполнены","",ROUND($I27+$J27+$K27-$L27,2))</f>
        <v/>
      </c>
      <c r="N27" s="20">
        <f>IF('Условия'!$C$26&lt;&gt;"Условия заполнены","",ROUND($N26+$M27,2))</f>
        <v/>
      </c>
      <c r="O27" s="22">
        <f>IF('Условия'!$C$26&lt;&gt;"Условия заполнены","",IF($N27&lt;0,$A27,""))</f>
        <v/>
      </c>
      <c r="P27" s="13">
        <f>IF('Условия'!$C$26&lt;&gt;"Условия заполнены","",IF($H27&lt;-0.01,"ОШИБКА: погашение и удержание больше стоимости КС",IF(AND($F27&gt;0.01,$A27&lt;'Условия'!$C$7),"ОШИБКА: аванс погашается до поступления",IF(AND('Условия'!$C$13&gt;0,'Условия'!$C$14&gt;0,$A27='Условия'!$C$14,ROUND(SUM($G$5:$G$40)*'Условия'!$C$15/100,2)&gt;SUMIFS($G$5:$G$40,$A$5:$A$40,"&lt;="&amp;($A27-'Условия'!$C$17))+0.01),"ОШИБКА: возврат больше накопленного удержания",""))))</f>
        <v/>
      </c>
    </row>
    <row r="28">
      <c r="A28" s="17" t="n">
        <v>24</v>
      </c>
      <c r="B28" s="20">
        <f>IF('Условия'!$C$26&lt;&gt;"Условия заполнены","",ROUND(IFERROR('Условия'!$C$5*INDEX('График КС'!$C$5:$C$40,MATCH($A28,'График КС'!$A$5:$A$40,0))/100,0),2))</f>
        <v/>
      </c>
      <c r="C28" s="20">
        <f>IF('Условия'!$C$26&lt;&gt;"Условия заполнены","",SUMIFS($B$5:$B$40,$A$5:$A$40,"&lt;="&amp;$A28))</f>
        <v/>
      </c>
      <c r="D28" s="21">
        <f>IF('Условия'!$C$26&lt;&gt;"Условия заполнены","",SUMIFS('График КС'!$C$5:$C$40,'График КС'!$A$5:$A$40,"&lt;="&amp;$A28))</f>
        <v/>
      </c>
      <c r="E28" s="20">
        <f>IF('Условия'!$C$26&lt;&gt;"Условия заполнены","",IF('Условия'!$C$25=0,0,IFERROR(MAX(0,MIN('Условия'!$C$23,IF('Условия'!$C$25=1,ROUND('Условия'!$C$23*$D28/'График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КС'!$C$42-'Условия'!$C$9),2))))),0)))</f>
        <v/>
      </c>
      <c r="F28" s="20">
        <f>IF('Условия'!$C$26&lt;&gt;"Условия заполнены","",ROUND($E28-$E27,2))</f>
        <v/>
      </c>
      <c r="G28" s="20">
        <f>IF('Условия'!$C$26&lt;&gt;"Условия заполнены","",ROUND($B28*'Условия'!$C$13/100,2))</f>
        <v/>
      </c>
      <c r="H28" s="20">
        <f>IF('Условия'!$C$26&lt;&gt;"Условия заполнены","",ROUND($B28-$F28-$G28,2))</f>
        <v/>
      </c>
      <c r="I28" s="20">
        <f>IF('Условия'!$C$26&lt;&gt;"Условия заполнены","",IF($A28='Условия'!$C$7,'Условия'!$C$23,0))</f>
        <v/>
      </c>
      <c r="J28" s="20">
        <f>IF('Условия'!$C$26&lt;&gt;"Условия заполнены","",IFERROR(INDEX($H$5:$H$40,MATCH($A28-'Условия'!$C$17,$A$5:$A$40,0)),0))</f>
        <v/>
      </c>
      <c r="K28" s="20">
        <f>IF('Условия'!$C$26&lt;&gt;"Условия заполнены","",IF(AND('Условия'!$C$13&gt;0,'Условия'!$C$14&gt;0,$A28='Условия'!$C$14),ROUND(MIN(ROUND(SUM($G$5:$G$40)*'Условия'!$C$15/100,2),SUMIFS($G$5:$G$40,$A$5:$A$40,"&lt;="&amp;($A28-'Условия'!$C$17))),2),0))</f>
        <v/>
      </c>
      <c r="L28" s="20">
        <f>IF('Условия'!$C$26&lt;&gt;"Условия заполнены","",ROUND(IFERROR(INDEX($B$5:$B$40,MATCH($A28+'Условия'!$C$19,$A$5:$A$40,0)),0)*'Условия'!$C$18/100,2)+IF($A28=1,'Условия'!$C$20,0)+IF($A28='Условия'!$C$12,'Условия'!$C$24,0))</f>
        <v/>
      </c>
      <c r="M28" s="20">
        <f>IF('Условия'!$C$26&lt;&gt;"Условия заполнены","",ROUND($I28+$J28+$K28-$L28,2))</f>
        <v/>
      </c>
      <c r="N28" s="20">
        <f>IF('Условия'!$C$26&lt;&gt;"Условия заполнены","",ROUND($N27+$M28,2))</f>
        <v/>
      </c>
      <c r="O28" s="22">
        <f>IF('Условия'!$C$26&lt;&gt;"Условия заполнены","",IF($N28&lt;0,$A28,""))</f>
        <v/>
      </c>
      <c r="P28" s="13">
        <f>IF('Условия'!$C$26&lt;&gt;"Условия заполнены","",IF($H28&lt;-0.01,"ОШИБКА: погашение и удержание больше стоимости КС",IF(AND($F28&gt;0.01,$A28&lt;'Условия'!$C$7),"ОШИБКА: аванс погашается до поступления",IF(AND('Условия'!$C$13&gt;0,'Условия'!$C$14&gt;0,$A28='Условия'!$C$14,ROUND(SUM($G$5:$G$40)*'Условия'!$C$15/100,2)&gt;SUMIFS($G$5:$G$40,$A$5:$A$40,"&lt;="&amp;($A28-'Условия'!$C$17))+0.01),"ОШИБКА: возврат больше накопленного удержания",""))))</f>
        <v/>
      </c>
    </row>
    <row r="29">
      <c r="A29" s="17" t="n">
        <v>25</v>
      </c>
      <c r="B29" s="20">
        <f>IF('Условия'!$C$26&lt;&gt;"Условия заполнены","",ROUND(IFERROR('Условия'!$C$5*INDEX('График КС'!$C$5:$C$40,MATCH($A29,'График КС'!$A$5:$A$40,0))/100,0),2))</f>
        <v/>
      </c>
      <c r="C29" s="20">
        <f>IF('Условия'!$C$26&lt;&gt;"Условия заполнены","",SUMIFS($B$5:$B$40,$A$5:$A$40,"&lt;="&amp;$A29))</f>
        <v/>
      </c>
      <c r="D29" s="21">
        <f>IF('Условия'!$C$26&lt;&gt;"Условия заполнены","",SUMIFS('График КС'!$C$5:$C$40,'График КС'!$A$5:$A$40,"&lt;="&amp;$A29))</f>
        <v/>
      </c>
      <c r="E29" s="20">
        <f>IF('Условия'!$C$26&lt;&gt;"Условия заполнены","",IF('Условия'!$C$25=0,0,IFERROR(MAX(0,MIN('Условия'!$C$23,IF('Условия'!$C$25=1,ROUND('Условия'!$C$23*$D29/'График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КС'!$C$42-'Условия'!$C$9),2))))),0)))</f>
        <v/>
      </c>
      <c r="F29" s="20">
        <f>IF('Условия'!$C$26&lt;&gt;"Условия заполнены","",ROUND($E29-$E28,2))</f>
        <v/>
      </c>
      <c r="G29" s="20">
        <f>IF('Условия'!$C$26&lt;&gt;"Условия заполнены","",ROUND($B29*'Условия'!$C$13/100,2))</f>
        <v/>
      </c>
      <c r="H29" s="20">
        <f>IF('Условия'!$C$26&lt;&gt;"Условия заполнены","",ROUND($B29-$F29-$G29,2))</f>
        <v/>
      </c>
      <c r="I29" s="20">
        <f>IF('Условия'!$C$26&lt;&gt;"Условия заполнены","",IF($A29='Условия'!$C$7,'Условия'!$C$23,0))</f>
        <v/>
      </c>
      <c r="J29" s="20">
        <f>IF('Условия'!$C$26&lt;&gt;"Условия заполнены","",IFERROR(INDEX($H$5:$H$40,MATCH($A29-'Условия'!$C$17,$A$5:$A$40,0)),0))</f>
        <v/>
      </c>
      <c r="K29" s="20">
        <f>IF('Условия'!$C$26&lt;&gt;"Условия заполнены","",IF(AND('Условия'!$C$13&gt;0,'Условия'!$C$14&gt;0,$A29='Условия'!$C$14),ROUND(MIN(ROUND(SUM($G$5:$G$40)*'Условия'!$C$15/100,2),SUMIFS($G$5:$G$40,$A$5:$A$40,"&lt;="&amp;($A29-'Условия'!$C$17))),2),0))</f>
        <v/>
      </c>
      <c r="L29" s="20">
        <f>IF('Условия'!$C$26&lt;&gt;"Условия заполнены","",ROUND(IFERROR(INDEX($B$5:$B$40,MATCH($A29+'Условия'!$C$19,$A$5:$A$40,0)),0)*'Условия'!$C$18/100,2)+IF($A29=1,'Условия'!$C$20,0)+IF($A29='Условия'!$C$12,'Условия'!$C$24,0))</f>
        <v/>
      </c>
      <c r="M29" s="20">
        <f>IF('Условия'!$C$26&lt;&gt;"Условия заполнены","",ROUND($I29+$J29+$K29-$L29,2))</f>
        <v/>
      </c>
      <c r="N29" s="20">
        <f>IF('Условия'!$C$26&lt;&gt;"Условия заполнены","",ROUND($N28+$M29,2))</f>
        <v/>
      </c>
      <c r="O29" s="22">
        <f>IF('Условия'!$C$26&lt;&gt;"Условия заполнены","",IF($N29&lt;0,$A29,""))</f>
        <v/>
      </c>
      <c r="P29" s="13">
        <f>IF('Условия'!$C$26&lt;&gt;"Условия заполнены","",IF($H29&lt;-0.01,"ОШИБКА: погашение и удержание больше стоимости КС",IF(AND($F29&gt;0.01,$A29&lt;'Условия'!$C$7),"ОШИБКА: аванс погашается до поступления",IF(AND('Условия'!$C$13&gt;0,'Условия'!$C$14&gt;0,$A29='Условия'!$C$14,ROUND(SUM($G$5:$G$40)*'Условия'!$C$15/100,2)&gt;SUMIFS($G$5:$G$40,$A$5:$A$40,"&lt;="&amp;($A29-'Условия'!$C$17))+0.01),"ОШИБКА: возврат больше накопленного удержания",""))))</f>
        <v/>
      </c>
    </row>
    <row r="30">
      <c r="A30" s="17" t="n">
        <v>26</v>
      </c>
      <c r="B30" s="20">
        <f>IF('Условия'!$C$26&lt;&gt;"Условия заполнены","",ROUND(IFERROR('Условия'!$C$5*INDEX('График КС'!$C$5:$C$40,MATCH($A30,'График КС'!$A$5:$A$40,0))/100,0),2))</f>
        <v/>
      </c>
      <c r="C30" s="20">
        <f>IF('Условия'!$C$26&lt;&gt;"Условия заполнены","",SUMIFS($B$5:$B$40,$A$5:$A$40,"&lt;="&amp;$A30))</f>
        <v/>
      </c>
      <c r="D30" s="21">
        <f>IF('Условия'!$C$26&lt;&gt;"Условия заполнены","",SUMIFS('График КС'!$C$5:$C$40,'График КС'!$A$5:$A$40,"&lt;="&amp;$A30))</f>
        <v/>
      </c>
      <c r="E30" s="20">
        <f>IF('Условия'!$C$26&lt;&gt;"Условия заполнены","",IF('Условия'!$C$25=0,0,IFERROR(MAX(0,MIN('Условия'!$C$23,IF('Условия'!$C$25=1,ROUND('Условия'!$C$23*$D30/'График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КС'!$C$42-'Условия'!$C$9),2))))),0)))</f>
        <v/>
      </c>
      <c r="F30" s="20">
        <f>IF('Условия'!$C$26&lt;&gt;"Условия заполнены","",ROUND($E30-$E29,2))</f>
        <v/>
      </c>
      <c r="G30" s="20">
        <f>IF('Условия'!$C$26&lt;&gt;"Условия заполнены","",ROUND($B30*'Условия'!$C$13/100,2))</f>
        <v/>
      </c>
      <c r="H30" s="20">
        <f>IF('Условия'!$C$26&lt;&gt;"Условия заполнены","",ROUND($B30-$F30-$G30,2))</f>
        <v/>
      </c>
      <c r="I30" s="20">
        <f>IF('Условия'!$C$26&lt;&gt;"Условия заполнены","",IF($A30='Условия'!$C$7,'Условия'!$C$23,0))</f>
        <v/>
      </c>
      <c r="J30" s="20">
        <f>IF('Условия'!$C$26&lt;&gt;"Условия заполнены","",IFERROR(INDEX($H$5:$H$40,MATCH($A30-'Условия'!$C$17,$A$5:$A$40,0)),0))</f>
        <v/>
      </c>
      <c r="K30" s="20">
        <f>IF('Условия'!$C$26&lt;&gt;"Условия заполнены","",IF(AND('Условия'!$C$13&gt;0,'Условия'!$C$14&gt;0,$A30='Условия'!$C$14),ROUND(MIN(ROUND(SUM($G$5:$G$40)*'Условия'!$C$15/100,2),SUMIFS($G$5:$G$40,$A$5:$A$40,"&lt;="&amp;($A30-'Условия'!$C$17))),2),0))</f>
        <v/>
      </c>
      <c r="L30" s="20">
        <f>IF('Условия'!$C$26&lt;&gt;"Условия заполнены","",ROUND(IFERROR(INDEX($B$5:$B$40,MATCH($A30+'Условия'!$C$19,$A$5:$A$40,0)),0)*'Условия'!$C$18/100,2)+IF($A30=1,'Условия'!$C$20,0)+IF($A30='Условия'!$C$12,'Условия'!$C$24,0))</f>
        <v/>
      </c>
      <c r="M30" s="20">
        <f>IF('Условия'!$C$26&lt;&gt;"Условия заполнены","",ROUND($I30+$J30+$K30-$L30,2))</f>
        <v/>
      </c>
      <c r="N30" s="20">
        <f>IF('Условия'!$C$26&lt;&gt;"Условия заполнены","",ROUND($N29+$M30,2))</f>
        <v/>
      </c>
      <c r="O30" s="22">
        <f>IF('Условия'!$C$26&lt;&gt;"Условия заполнены","",IF($N30&lt;0,$A30,""))</f>
        <v/>
      </c>
      <c r="P30" s="13">
        <f>IF('Условия'!$C$26&lt;&gt;"Условия заполнены","",IF($H30&lt;-0.01,"ОШИБКА: погашение и удержание больше стоимости КС",IF(AND($F30&gt;0.01,$A30&lt;'Условия'!$C$7),"ОШИБКА: аванс погашается до поступления",IF(AND('Условия'!$C$13&gt;0,'Условия'!$C$14&gt;0,$A30='Условия'!$C$14,ROUND(SUM($G$5:$G$40)*'Условия'!$C$15/100,2)&gt;SUMIFS($G$5:$G$40,$A$5:$A$40,"&lt;="&amp;($A30-'Условия'!$C$17))+0.01),"ОШИБКА: возврат больше накопленного удержания",""))))</f>
        <v/>
      </c>
    </row>
    <row r="31">
      <c r="A31" s="17" t="n">
        <v>27</v>
      </c>
      <c r="B31" s="20">
        <f>IF('Условия'!$C$26&lt;&gt;"Условия заполнены","",ROUND(IFERROR('Условия'!$C$5*INDEX('График КС'!$C$5:$C$40,MATCH($A31,'График КС'!$A$5:$A$40,0))/100,0),2))</f>
        <v/>
      </c>
      <c r="C31" s="20">
        <f>IF('Условия'!$C$26&lt;&gt;"Условия заполнены","",SUMIFS($B$5:$B$40,$A$5:$A$40,"&lt;="&amp;$A31))</f>
        <v/>
      </c>
      <c r="D31" s="21">
        <f>IF('Условия'!$C$26&lt;&gt;"Условия заполнены","",SUMIFS('График КС'!$C$5:$C$40,'График КС'!$A$5:$A$40,"&lt;="&amp;$A31))</f>
        <v/>
      </c>
      <c r="E31" s="20">
        <f>IF('Условия'!$C$26&lt;&gt;"Условия заполнены","",IF('Условия'!$C$25=0,0,IFERROR(MAX(0,MIN('Условия'!$C$23,IF('Условия'!$C$25=1,ROUND('Условия'!$C$23*$D31/'График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КС'!$C$42-'Условия'!$C$9),2))))),0)))</f>
        <v/>
      </c>
      <c r="F31" s="20">
        <f>IF('Условия'!$C$26&lt;&gt;"Условия заполнены","",ROUND($E31-$E30,2))</f>
        <v/>
      </c>
      <c r="G31" s="20">
        <f>IF('Условия'!$C$26&lt;&gt;"Условия заполнены","",ROUND($B31*'Условия'!$C$13/100,2))</f>
        <v/>
      </c>
      <c r="H31" s="20">
        <f>IF('Условия'!$C$26&lt;&gt;"Условия заполнены","",ROUND($B31-$F31-$G31,2))</f>
        <v/>
      </c>
      <c r="I31" s="20">
        <f>IF('Условия'!$C$26&lt;&gt;"Условия заполнены","",IF($A31='Условия'!$C$7,'Условия'!$C$23,0))</f>
        <v/>
      </c>
      <c r="J31" s="20">
        <f>IF('Условия'!$C$26&lt;&gt;"Условия заполнены","",IFERROR(INDEX($H$5:$H$40,MATCH($A31-'Условия'!$C$17,$A$5:$A$40,0)),0))</f>
        <v/>
      </c>
      <c r="K31" s="20">
        <f>IF('Условия'!$C$26&lt;&gt;"Условия заполнены","",IF(AND('Условия'!$C$13&gt;0,'Условия'!$C$14&gt;0,$A31='Условия'!$C$14),ROUND(MIN(ROUND(SUM($G$5:$G$40)*'Условия'!$C$15/100,2),SUMIFS($G$5:$G$40,$A$5:$A$40,"&lt;="&amp;($A31-'Условия'!$C$17))),2),0))</f>
        <v/>
      </c>
      <c r="L31" s="20">
        <f>IF('Условия'!$C$26&lt;&gt;"Условия заполнены","",ROUND(IFERROR(INDEX($B$5:$B$40,MATCH($A31+'Условия'!$C$19,$A$5:$A$40,0)),0)*'Условия'!$C$18/100,2)+IF($A31=1,'Условия'!$C$20,0)+IF($A31='Условия'!$C$12,'Условия'!$C$24,0))</f>
        <v/>
      </c>
      <c r="M31" s="20">
        <f>IF('Условия'!$C$26&lt;&gt;"Условия заполнены","",ROUND($I31+$J31+$K31-$L31,2))</f>
        <v/>
      </c>
      <c r="N31" s="20">
        <f>IF('Условия'!$C$26&lt;&gt;"Условия заполнены","",ROUND($N30+$M31,2))</f>
        <v/>
      </c>
      <c r="O31" s="22">
        <f>IF('Условия'!$C$26&lt;&gt;"Условия заполнены","",IF($N31&lt;0,$A31,""))</f>
        <v/>
      </c>
      <c r="P31" s="13">
        <f>IF('Условия'!$C$26&lt;&gt;"Условия заполнены","",IF($H31&lt;-0.01,"ОШИБКА: погашение и удержание больше стоимости КС",IF(AND($F31&gt;0.01,$A31&lt;'Условия'!$C$7),"ОШИБКА: аванс погашается до поступления",IF(AND('Условия'!$C$13&gt;0,'Условия'!$C$14&gt;0,$A31='Условия'!$C$14,ROUND(SUM($G$5:$G$40)*'Условия'!$C$15/100,2)&gt;SUMIFS($G$5:$G$40,$A$5:$A$40,"&lt;="&amp;($A31-'Условия'!$C$17))+0.01),"ОШИБКА: возврат больше накопленного удержания",""))))</f>
        <v/>
      </c>
    </row>
    <row r="32">
      <c r="A32" s="17" t="n">
        <v>28</v>
      </c>
      <c r="B32" s="20">
        <f>IF('Условия'!$C$26&lt;&gt;"Условия заполнены","",ROUND(IFERROR('Условия'!$C$5*INDEX('График КС'!$C$5:$C$40,MATCH($A32,'График КС'!$A$5:$A$40,0))/100,0),2))</f>
        <v/>
      </c>
      <c r="C32" s="20">
        <f>IF('Условия'!$C$26&lt;&gt;"Условия заполнены","",SUMIFS($B$5:$B$40,$A$5:$A$40,"&lt;="&amp;$A32))</f>
        <v/>
      </c>
      <c r="D32" s="21">
        <f>IF('Условия'!$C$26&lt;&gt;"Условия заполнены","",SUMIFS('График КС'!$C$5:$C$40,'График КС'!$A$5:$A$40,"&lt;="&amp;$A32))</f>
        <v/>
      </c>
      <c r="E32" s="20">
        <f>IF('Условия'!$C$26&lt;&gt;"Условия заполнены","",IF('Условия'!$C$25=0,0,IFERROR(MAX(0,MIN('Условия'!$C$23,IF('Условия'!$C$25=1,ROUND('Условия'!$C$23*$D32/'График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КС'!$C$42-'Условия'!$C$9),2))))),0)))</f>
        <v/>
      </c>
      <c r="F32" s="20">
        <f>IF('Условия'!$C$26&lt;&gt;"Условия заполнены","",ROUND($E32-$E31,2))</f>
        <v/>
      </c>
      <c r="G32" s="20">
        <f>IF('Условия'!$C$26&lt;&gt;"Условия заполнены","",ROUND($B32*'Условия'!$C$13/100,2))</f>
        <v/>
      </c>
      <c r="H32" s="20">
        <f>IF('Условия'!$C$26&lt;&gt;"Условия заполнены","",ROUND($B32-$F32-$G32,2))</f>
        <v/>
      </c>
      <c r="I32" s="20">
        <f>IF('Условия'!$C$26&lt;&gt;"Условия заполнены","",IF($A32='Условия'!$C$7,'Условия'!$C$23,0))</f>
        <v/>
      </c>
      <c r="J32" s="20">
        <f>IF('Условия'!$C$26&lt;&gt;"Условия заполнены","",IFERROR(INDEX($H$5:$H$40,MATCH($A32-'Условия'!$C$17,$A$5:$A$40,0)),0))</f>
        <v/>
      </c>
      <c r="K32" s="20">
        <f>IF('Условия'!$C$26&lt;&gt;"Условия заполнены","",IF(AND('Условия'!$C$13&gt;0,'Условия'!$C$14&gt;0,$A32='Условия'!$C$14),ROUND(MIN(ROUND(SUM($G$5:$G$40)*'Условия'!$C$15/100,2),SUMIFS($G$5:$G$40,$A$5:$A$40,"&lt;="&amp;($A32-'Условия'!$C$17))),2),0))</f>
        <v/>
      </c>
      <c r="L32" s="20">
        <f>IF('Условия'!$C$26&lt;&gt;"Условия заполнены","",ROUND(IFERROR(INDEX($B$5:$B$40,MATCH($A32+'Условия'!$C$19,$A$5:$A$40,0)),0)*'Условия'!$C$18/100,2)+IF($A32=1,'Условия'!$C$20,0)+IF($A32='Условия'!$C$12,'Условия'!$C$24,0))</f>
        <v/>
      </c>
      <c r="M32" s="20">
        <f>IF('Условия'!$C$26&lt;&gt;"Условия заполнены","",ROUND($I32+$J32+$K32-$L32,2))</f>
        <v/>
      </c>
      <c r="N32" s="20">
        <f>IF('Условия'!$C$26&lt;&gt;"Условия заполнены","",ROUND($N31+$M32,2))</f>
        <v/>
      </c>
      <c r="O32" s="22">
        <f>IF('Условия'!$C$26&lt;&gt;"Условия заполнены","",IF($N32&lt;0,$A32,""))</f>
        <v/>
      </c>
      <c r="P32" s="13">
        <f>IF('Условия'!$C$26&lt;&gt;"Условия заполнены","",IF($H32&lt;-0.01,"ОШИБКА: погашение и удержание больше стоимости КС",IF(AND($F32&gt;0.01,$A32&lt;'Условия'!$C$7),"ОШИБКА: аванс погашается до поступления",IF(AND('Условия'!$C$13&gt;0,'Условия'!$C$14&gt;0,$A32='Условия'!$C$14,ROUND(SUM($G$5:$G$40)*'Условия'!$C$15/100,2)&gt;SUMIFS($G$5:$G$40,$A$5:$A$40,"&lt;="&amp;($A32-'Условия'!$C$17))+0.01),"ОШИБКА: возврат больше накопленного удержания",""))))</f>
        <v/>
      </c>
    </row>
    <row r="33">
      <c r="A33" s="17" t="n">
        <v>29</v>
      </c>
      <c r="B33" s="20">
        <f>IF('Условия'!$C$26&lt;&gt;"Условия заполнены","",ROUND(IFERROR('Условия'!$C$5*INDEX('График КС'!$C$5:$C$40,MATCH($A33,'График КС'!$A$5:$A$40,0))/100,0),2))</f>
        <v/>
      </c>
      <c r="C33" s="20">
        <f>IF('Условия'!$C$26&lt;&gt;"Условия заполнены","",SUMIFS($B$5:$B$40,$A$5:$A$40,"&lt;="&amp;$A33))</f>
        <v/>
      </c>
      <c r="D33" s="21">
        <f>IF('Условия'!$C$26&lt;&gt;"Условия заполнены","",SUMIFS('График КС'!$C$5:$C$40,'График КС'!$A$5:$A$40,"&lt;="&amp;$A33))</f>
        <v/>
      </c>
      <c r="E33" s="20">
        <f>IF('Условия'!$C$26&lt;&gt;"Условия заполнены","",IF('Условия'!$C$25=0,0,IFERROR(MAX(0,MIN('Условия'!$C$23,IF('Условия'!$C$25=1,ROUND('Условия'!$C$23*$D33/'График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КС'!$C$42-'Условия'!$C$9),2))))),0)))</f>
        <v/>
      </c>
      <c r="F33" s="20">
        <f>IF('Условия'!$C$26&lt;&gt;"Условия заполнены","",ROUND($E33-$E32,2))</f>
        <v/>
      </c>
      <c r="G33" s="20">
        <f>IF('Условия'!$C$26&lt;&gt;"Условия заполнены","",ROUND($B33*'Условия'!$C$13/100,2))</f>
        <v/>
      </c>
      <c r="H33" s="20">
        <f>IF('Условия'!$C$26&lt;&gt;"Условия заполнены","",ROUND($B33-$F33-$G33,2))</f>
        <v/>
      </c>
      <c r="I33" s="20">
        <f>IF('Условия'!$C$26&lt;&gt;"Условия заполнены","",IF($A33='Условия'!$C$7,'Условия'!$C$23,0))</f>
        <v/>
      </c>
      <c r="J33" s="20">
        <f>IF('Условия'!$C$26&lt;&gt;"Условия заполнены","",IFERROR(INDEX($H$5:$H$40,MATCH($A33-'Условия'!$C$17,$A$5:$A$40,0)),0))</f>
        <v/>
      </c>
      <c r="K33" s="20">
        <f>IF('Условия'!$C$26&lt;&gt;"Условия заполнены","",IF(AND('Условия'!$C$13&gt;0,'Условия'!$C$14&gt;0,$A33='Условия'!$C$14),ROUND(MIN(ROUND(SUM($G$5:$G$40)*'Условия'!$C$15/100,2),SUMIFS($G$5:$G$40,$A$5:$A$40,"&lt;="&amp;($A33-'Условия'!$C$17))),2),0))</f>
        <v/>
      </c>
      <c r="L33" s="20">
        <f>IF('Условия'!$C$26&lt;&gt;"Условия заполнены","",ROUND(IFERROR(INDEX($B$5:$B$40,MATCH($A33+'Условия'!$C$19,$A$5:$A$40,0)),0)*'Условия'!$C$18/100,2)+IF($A33=1,'Условия'!$C$20,0)+IF($A33='Условия'!$C$12,'Условия'!$C$24,0))</f>
        <v/>
      </c>
      <c r="M33" s="20">
        <f>IF('Условия'!$C$26&lt;&gt;"Условия заполнены","",ROUND($I33+$J33+$K33-$L33,2))</f>
        <v/>
      </c>
      <c r="N33" s="20">
        <f>IF('Условия'!$C$26&lt;&gt;"Условия заполнены","",ROUND($N32+$M33,2))</f>
        <v/>
      </c>
      <c r="O33" s="22">
        <f>IF('Условия'!$C$26&lt;&gt;"Условия заполнены","",IF($N33&lt;0,$A33,""))</f>
        <v/>
      </c>
      <c r="P33" s="13">
        <f>IF('Условия'!$C$26&lt;&gt;"Условия заполнены","",IF($H33&lt;-0.01,"ОШИБКА: погашение и удержание больше стоимости КС",IF(AND($F33&gt;0.01,$A33&lt;'Условия'!$C$7),"ОШИБКА: аванс погашается до поступления",IF(AND('Условия'!$C$13&gt;0,'Условия'!$C$14&gt;0,$A33='Условия'!$C$14,ROUND(SUM($G$5:$G$40)*'Условия'!$C$15/100,2)&gt;SUMIFS($G$5:$G$40,$A$5:$A$40,"&lt;="&amp;($A33-'Условия'!$C$17))+0.01),"ОШИБКА: возврат больше накопленного удержания",""))))</f>
        <v/>
      </c>
    </row>
    <row r="34">
      <c r="A34" s="17" t="n">
        <v>30</v>
      </c>
      <c r="B34" s="20">
        <f>IF('Условия'!$C$26&lt;&gt;"Условия заполнены","",ROUND(IFERROR('Условия'!$C$5*INDEX('График КС'!$C$5:$C$40,MATCH($A34,'График КС'!$A$5:$A$40,0))/100,0),2))</f>
        <v/>
      </c>
      <c r="C34" s="20">
        <f>IF('Условия'!$C$26&lt;&gt;"Условия заполнены","",SUMIFS($B$5:$B$40,$A$5:$A$40,"&lt;="&amp;$A34))</f>
        <v/>
      </c>
      <c r="D34" s="21">
        <f>IF('Условия'!$C$26&lt;&gt;"Условия заполнены","",SUMIFS('График КС'!$C$5:$C$40,'График КС'!$A$5:$A$40,"&lt;="&amp;$A34))</f>
        <v/>
      </c>
      <c r="E34" s="20">
        <f>IF('Условия'!$C$26&lt;&gt;"Условия заполнены","",IF('Условия'!$C$25=0,0,IFERROR(MAX(0,MIN('Условия'!$C$23,IF('Условия'!$C$25=1,ROUND('Условия'!$C$23*$D34/'График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КС'!$C$42-'Условия'!$C$9),2))))),0)))</f>
        <v/>
      </c>
      <c r="F34" s="20">
        <f>IF('Условия'!$C$26&lt;&gt;"Условия заполнены","",ROUND($E34-$E33,2))</f>
        <v/>
      </c>
      <c r="G34" s="20">
        <f>IF('Условия'!$C$26&lt;&gt;"Условия заполнены","",ROUND($B34*'Условия'!$C$13/100,2))</f>
        <v/>
      </c>
      <c r="H34" s="20">
        <f>IF('Условия'!$C$26&lt;&gt;"Условия заполнены","",ROUND($B34-$F34-$G34,2))</f>
        <v/>
      </c>
      <c r="I34" s="20">
        <f>IF('Условия'!$C$26&lt;&gt;"Условия заполнены","",IF($A34='Условия'!$C$7,'Условия'!$C$23,0))</f>
        <v/>
      </c>
      <c r="J34" s="20">
        <f>IF('Условия'!$C$26&lt;&gt;"Условия заполнены","",IFERROR(INDEX($H$5:$H$40,MATCH($A34-'Условия'!$C$17,$A$5:$A$40,0)),0))</f>
        <v/>
      </c>
      <c r="K34" s="20">
        <f>IF('Условия'!$C$26&lt;&gt;"Условия заполнены","",IF(AND('Условия'!$C$13&gt;0,'Условия'!$C$14&gt;0,$A34='Условия'!$C$14),ROUND(MIN(ROUND(SUM($G$5:$G$40)*'Условия'!$C$15/100,2),SUMIFS($G$5:$G$40,$A$5:$A$40,"&lt;="&amp;($A34-'Условия'!$C$17))),2),0))</f>
        <v/>
      </c>
      <c r="L34" s="20">
        <f>IF('Условия'!$C$26&lt;&gt;"Условия заполнены","",ROUND(IFERROR(INDEX($B$5:$B$40,MATCH($A34+'Условия'!$C$19,$A$5:$A$40,0)),0)*'Условия'!$C$18/100,2)+IF($A34=1,'Условия'!$C$20,0)+IF($A34='Условия'!$C$12,'Условия'!$C$24,0))</f>
        <v/>
      </c>
      <c r="M34" s="20">
        <f>IF('Условия'!$C$26&lt;&gt;"Условия заполнены","",ROUND($I34+$J34+$K34-$L34,2))</f>
        <v/>
      </c>
      <c r="N34" s="20">
        <f>IF('Условия'!$C$26&lt;&gt;"Условия заполнены","",ROUND($N33+$M34,2))</f>
        <v/>
      </c>
      <c r="O34" s="22">
        <f>IF('Условия'!$C$26&lt;&gt;"Условия заполнены","",IF($N34&lt;0,$A34,""))</f>
        <v/>
      </c>
      <c r="P34" s="13">
        <f>IF('Условия'!$C$26&lt;&gt;"Условия заполнены","",IF($H34&lt;-0.01,"ОШИБКА: погашение и удержание больше стоимости КС",IF(AND($F34&gt;0.01,$A34&lt;'Условия'!$C$7),"ОШИБКА: аванс погашается до поступления",IF(AND('Условия'!$C$13&gt;0,'Условия'!$C$14&gt;0,$A34='Условия'!$C$14,ROUND(SUM($G$5:$G$40)*'Условия'!$C$15/100,2)&gt;SUMIFS($G$5:$G$40,$A$5:$A$40,"&lt;="&amp;($A34-'Условия'!$C$17))+0.01),"ОШИБКА: возврат больше накопленного удержания",""))))</f>
        <v/>
      </c>
    </row>
    <row r="35">
      <c r="A35" s="17" t="n">
        <v>31</v>
      </c>
      <c r="B35" s="20">
        <f>IF('Условия'!$C$26&lt;&gt;"Условия заполнены","",ROUND(IFERROR('Условия'!$C$5*INDEX('График КС'!$C$5:$C$40,MATCH($A35,'График КС'!$A$5:$A$40,0))/100,0),2))</f>
        <v/>
      </c>
      <c r="C35" s="20">
        <f>IF('Условия'!$C$26&lt;&gt;"Условия заполнены","",SUMIFS($B$5:$B$40,$A$5:$A$40,"&lt;="&amp;$A35))</f>
        <v/>
      </c>
      <c r="D35" s="21">
        <f>IF('Условия'!$C$26&lt;&gt;"Условия заполнены","",SUMIFS('График КС'!$C$5:$C$40,'График КС'!$A$5:$A$40,"&lt;="&amp;$A35))</f>
        <v/>
      </c>
      <c r="E35" s="20">
        <f>IF('Условия'!$C$26&lt;&gt;"Условия заполнены","",IF('Условия'!$C$25=0,0,IFERROR(MAX(0,MIN('Условия'!$C$23,IF('Условия'!$C$25=1,ROUND('Условия'!$C$23*$D35/'График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КС'!$C$42-'Условия'!$C$9),2))))),0)))</f>
        <v/>
      </c>
      <c r="F35" s="20">
        <f>IF('Условия'!$C$26&lt;&gt;"Условия заполнены","",ROUND($E35-$E34,2))</f>
        <v/>
      </c>
      <c r="G35" s="20">
        <f>IF('Условия'!$C$26&lt;&gt;"Условия заполнены","",ROUND($B35*'Условия'!$C$13/100,2))</f>
        <v/>
      </c>
      <c r="H35" s="20">
        <f>IF('Условия'!$C$26&lt;&gt;"Условия заполнены","",ROUND($B35-$F35-$G35,2))</f>
        <v/>
      </c>
      <c r="I35" s="20">
        <f>IF('Условия'!$C$26&lt;&gt;"Условия заполнены","",IF($A35='Условия'!$C$7,'Условия'!$C$23,0))</f>
        <v/>
      </c>
      <c r="J35" s="20">
        <f>IF('Условия'!$C$26&lt;&gt;"Условия заполнены","",IFERROR(INDEX($H$5:$H$40,MATCH($A35-'Условия'!$C$17,$A$5:$A$40,0)),0))</f>
        <v/>
      </c>
      <c r="K35" s="20">
        <f>IF('Условия'!$C$26&lt;&gt;"Условия заполнены","",IF(AND('Условия'!$C$13&gt;0,'Условия'!$C$14&gt;0,$A35='Условия'!$C$14),ROUND(MIN(ROUND(SUM($G$5:$G$40)*'Условия'!$C$15/100,2),SUMIFS($G$5:$G$40,$A$5:$A$40,"&lt;="&amp;($A35-'Условия'!$C$17))),2),0))</f>
        <v/>
      </c>
      <c r="L35" s="20">
        <f>IF('Условия'!$C$26&lt;&gt;"Условия заполнены","",ROUND(IFERROR(INDEX($B$5:$B$40,MATCH($A35+'Условия'!$C$19,$A$5:$A$40,0)),0)*'Условия'!$C$18/100,2)+IF($A35=1,'Условия'!$C$20,0)+IF($A35='Условия'!$C$12,'Условия'!$C$24,0))</f>
        <v/>
      </c>
      <c r="M35" s="20">
        <f>IF('Условия'!$C$26&lt;&gt;"Условия заполнены","",ROUND($I35+$J35+$K35-$L35,2))</f>
        <v/>
      </c>
      <c r="N35" s="20">
        <f>IF('Условия'!$C$26&lt;&gt;"Условия заполнены","",ROUND($N34+$M35,2))</f>
        <v/>
      </c>
      <c r="O35" s="22">
        <f>IF('Условия'!$C$26&lt;&gt;"Условия заполнены","",IF($N35&lt;0,$A35,""))</f>
        <v/>
      </c>
      <c r="P35" s="13">
        <f>IF('Условия'!$C$26&lt;&gt;"Условия заполнены","",IF($H35&lt;-0.01,"ОШИБКА: погашение и удержание больше стоимости КС",IF(AND($F35&gt;0.01,$A35&lt;'Условия'!$C$7),"ОШИБКА: аванс погашается до поступления",IF(AND('Условия'!$C$13&gt;0,'Условия'!$C$14&gt;0,$A35='Условия'!$C$14,ROUND(SUM($G$5:$G$40)*'Условия'!$C$15/100,2)&gt;SUMIFS($G$5:$G$40,$A$5:$A$40,"&lt;="&amp;($A35-'Условия'!$C$17))+0.01),"ОШИБКА: возврат больше накопленного удержания",""))))</f>
        <v/>
      </c>
    </row>
    <row r="36">
      <c r="A36" s="17" t="n">
        <v>32</v>
      </c>
      <c r="B36" s="20">
        <f>IF('Условия'!$C$26&lt;&gt;"Условия заполнены","",ROUND(IFERROR('Условия'!$C$5*INDEX('График КС'!$C$5:$C$40,MATCH($A36,'График КС'!$A$5:$A$40,0))/100,0),2))</f>
        <v/>
      </c>
      <c r="C36" s="20">
        <f>IF('Условия'!$C$26&lt;&gt;"Условия заполнены","",SUMIFS($B$5:$B$40,$A$5:$A$40,"&lt;="&amp;$A36))</f>
        <v/>
      </c>
      <c r="D36" s="21">
        <f>IF('Условия'!$C$26&lt;&gt;"Условия заполнены","",SUMIFS('График КС'!$C$5:$C$40,'График КС'!$A$5:$A$40,"&lt;="&amp;$A36))</f>
        <v/>
      </c>
      <c r="E36" s="20">
        <f>IF('Условия'!$C$26&lt;&gt;"Условия заполнены","",IF('Условия'!$C$25=0,0,IFERROR(MAX(0,MIN('Условия'!$C$23,IF('Условия'!$C$25=1,ROUND('Условия'!$C$23*$D36/'График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КС'!$C$42-'Условия'!$C$9),2))))),0)))</f>
        <v/>
      </c>
      <c r="F36" s="20">
        <f>IF('Условия'!$C$26&lt;&gt;"Условия заполнены","",ROUND($E36-$E35,2))</f>
        <v/>
      </c>
      <c r="G36" s="20">
        <f>IF('Условия'!$C$26&lt;&gt;"Условия заполнены","",ROUND($B36*'Условия'!$C$13/100,2))</f>
        <v/>
      </c>
      <c r="H36" s="20">
        <f>IF('Условия'!$C$26&lt;&gt;"Условия заполнены","",ROUND($B36-$F36-$G36,2))</f>
        <v/>
      </c>
      <c r="I36" s="20">
        <f>IF('Условия'!$C$26&lt;&gt;"Условия заполнены","",IF($A36='Условия'!$C$7,'Условия'!$C$23,0))</f>
        <v/>
      </c>
      <c r="J36" s="20">
        <f>IF('Условия'!$C$26&lt;&gt;"Условия заполнены","",IFERROR(INDEX($H$5:$H$40,MATCH($A36-'Условия'!$C$17,$A$5:$A$40,0)),0))</f>
        <v/>
      </c>
      <c r="K36" s="20">
        <f>IF('Условия'!$C$26&lt;&gt;"Условия заполнены","",IF(AND('Условия'!$C$13&gt;0,'Условия'!$C$14&gt;0,$A36='Условия'!$C$14),ROUND(MIN(ROUND(SUM($G$5:$G$40)*'Условия'!$C$15/100,2),SUMIFS($G$5:$G$40,$A$5:$A$40,"&lt;="&amp;($A36-'Условия'!$C$17))),2),0))</f>
        <v/>
      </c>
      <c r="L36" s="20">
        <f>IF('Условия'!$C$26&lt;&gt;"Условия заполнены","",ROUND(IFERROR(INDEX($B$5:$B$40,MATCH($A36+'Условия'!$C$19,$A$5:$A$40,0)),0)*'Условия'!$C$18/100,2)+IF($A36=1,'Условия'!$C$20,0)+IF($A36='Условия'!$C$12,'Условия'!$C$24,0))</f>
        <v/>
      </c>
      <c r="M36" s="20">
        <f>IF('Условия'!$C$26&lt;&gt;"Условия заполнены","",ROUND($I36+$J36+$K36-$L36,2))</f>
        <v/>
      </c>
      <c r="N36" s="20">
        <f>IF('Условия'!$C$26&lt;&gt;"Условия заполнены","",ROUND($N35+$M36,2))</f>
        <v/>
      </c>
      <c r="O36" s="22">
        <f>IF('Условия'!$C$26&lt;&gt;"Условия заполнены","",IF($N36&lt;0,$A36,""))</f>
        <v/>
      </c>
      <c r="P36" s="13">
        <f>IF('Условия'!$C$26&lt;&gt;"Условия заполнены","",IF($H36&lt;-0.01,"ОШИБКА: погашение и удержание больше стоимости КС",IF(AND($F36&gt;0.01,$A36&lt;'Условия'!$C$7),"ОШИБКА: аванс погашается до поступления",IF(AND('Условия'!$C$13&gt;0,'Условия'!$C$14&gt;0,$A36='Условия'!$C$14,ROUND(SUM($G$5:$G$40)*'Условия'!$C$15/100,2)&gt;SUMIFS($G$5:$G$40,$A$5:$A$40,"&lt;="&amp;($A36-'Условия'!$C$17))+0.01),"ОШИБКА: возврат больше накопленного удержания",""))))</f>
        <v/>
      </c>
    </row>
    <row r="37">
      <c r="A37" s="17" t="n">
        <v>33</v>
      </c>
      <c r="B37" s="20">
        <f>IF('Условия'!$C$26&lt;&gt;"Условия заполнены","",ROUND(IFERROR('Условия'!$C$5*INDEX('График КС'!$C$5:$C$40,MATCH($A37,'График КС'!$A$5:$A$40,0))/100,0),2))</f>
        <v/>
      </c>
      <c r="C37" s="20">
        <f>IF('Условия'!$C$26&lt;&gt;"Условия заполнены","",SUMIFS($B$5:$B$40,$A$5:$A$40,"&lt;="&amp;$A37))</f>
        <v/>
      </c>
      <c r="D37" s="21">
        <f>IF('Условия'!$C$26&lt;&gt;"Условия заполнены","",SUMIFS('График КС'!$C$5:$C$40,'График КС'!$A$5:$A$40,"&lt;="&amp;$A37))</f>
        <v/>
      </c>
      <c r="E37" s="20">
        <f>IF('Условия'!$C$26&lt;&gt;"Условия заполнены","",IF('Условия'!$C$25=0,0,IFERROR(MAX(0,MIN('Условия'!$C$23,IF('Условия'!$C$25=1,ROUND('Условия'!$C$23*$D37/'График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КС'!$C$42-'Условия'!$C$9),2))))),0)))</f>
        <v/>
      </c>
      <c r="F37" s="20">
        <f>IF('Условия'!$C$26&lt;&gt;"Условия заполнены","",ROUND($E37-$E36,2))</f>
        <v/>
      </c>
      <c r="G37" s="20">
        <f>IF('Условия'!$C$26&lt;&gt;"Условия заполнены","",ROUND($B37*'Условия'!$C$13/100,2))</f>
        <v/>
      </c>
      <c r="H37" s="20">
        <f>IF('Условия'!$C$26&lt;&gt;"Условия заполнены","",ROUND($B37-$F37-$G37,2))</f>
        <v/>
      </c>
      <c r="I37" s="20">
        <f>IF('Условия'!$C$26&lt;&gt;"Условия заполнены","",IF($A37='Условия'!$C$7,'Условия'!$C$23,0))</f>
        <v/>
      </c>
      <c r="J37" s="20">
        <f>IF('Условия'!$C$26&lt;&gt;"Условия заполнены","",IFERROR(INDEX($H$5:$H$40,MATCH($A37-'Условия'!$C$17,$A$5:$A$40,0)),0))</f>
        <v/>
      </c>
      <c r="K37" s="20">
        <f>IF('Условия'!$C$26&lt;&gt;"Условия заполнены","",IF(AND('Условия'!$C$13&gt;0,'Условия'!$C$14&gt;0,$A37='Условия'!$C$14),ROUND(MIN(ROUND(SUM($G$5:$G$40)*'Условия'!$C$15/100,2),SUMIFS($G$5:$G$40,$A$5:$A$40,"&lt;="&amp;($A37-'Условия'!$C$17))),2),0))</f>
        <v/>
      </c>
      <c r="L37" s="20">
        <f>IF('Условия'!$C$26&lt;&gt;"Условия заполнены","",ROUND(IFERROR(INDEX($B$5:$B$40,MATCH($A37+'Условия'!$C$19,$A$5:$A$40,0)),0)*'Условия'!$C$18/100,2)+IF($A37=1,'Условия'!$C$20,0)+IF($A37='Условия'!$C$12,'Условия'!$C$24,0))</f>
        <v/>
      </c>
      <c r="M37" s="20">
        <f>IF('Условия'!$C$26&lt;&gt;"Условия заполнены","",ROUND($I37+$J37+$K37-$L37,2))</f>
        <v/>
      </c>
      <c r="N37" s="20">
        <f>IF('Условия'!$C$26&lt;&gt;"Условия заполнены","",ROUND($N36+$M37,2))</f>
        <v/>
      </c>
      <c r="O37" s="22">
        <f>IF('Условия'!$C$26&lt;&gt;"Условия заполнены","",IF($N37&lt;0,$A37,""))</f>
        <v/>
      </c>
      <c r="P37" s="13">
        <f>IF('Условия'!$C$26&lt;&gt;"Условия заполнены","",IF($H37&lt;-0.01,"ОШИБКА: погашение и удержание больше стоимости КС",IF(AND($F37&gt;0.01,$A37&lt;'Условия'!$C$7),"ОШИБКА: аванс погашается до поступления",IF(AND('Условия'!$C$13&gt;0,'Условия'!$C$14&gt;0,$A37='Условия'!$C$14,ROUND(SUM($G$5:$G$40)*'Условия'!$C$15/100,2)&gt;SUMIFS($G$5:$G$40,$A$5:$A$40,"&lt;="&amp;($A37-'Условия'!$C$17))+0.01),"ОШИБКА: возврат больше накопленного удержания",""))))</f>
        <v/>
      </c>
    </row>
    <row r="38">
      <c r="A38" s="17" t="n">
        <v>34</v>
      </c>
      <c r="B38" s="20">
        <f>IF('Условия'!$C$26&lt;&gt;"Условия заполнены","",ROUND(IFERROR('Условия'!$C$5*INDEX('График КС'!$C$5:$C$40,MATCH($A38,'График КС'!$A$5:$A$40,0))/100,0),2))</f>
        <v/>
      </c>
      <c r="C38" s="20">
        <f>IF('Условия'!$C$26&lt;&gt;"Условия заполнены","",SUMIFS($B$5:$B$40,$A$5:$A$40,"&lt;="&amp;$A38))</f>
        <v/>
      </c>
      <c r="D38" s="21">
        <f>IF('Условия'!$C$26&lt;&gt;"Условия заполнены","",SUMIFS('График КС'!$C$5:$C$40,'График КС'!$A$5:$A$40,"&lt;="&amp;$A38))</f>
        <v/>
      </c>
      <c r="E38" s="20">
        <f>IF('Условия'!$C$26&lt;&gt;"Условия заполнены","",IF('Условия'!$C$25=0,0,IFERROR(MAX(0,MIN('Условия'!$C$23,IF('Условия'!$C$25=1,ROUND('Условия'!$C$23*$D38/'График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КС'!$C$42-'Условия'!$C$9),2))))),0)))</f>
        <v/>
      </c>
      <c r="F38" s="20">
        <f>IF('Условия'!$C$26&lt;&gt;"Условия заполнены","",ROUND($E38-$E37,2))</f>
        <v/>
      </c>
      <c r="G38" s="20">
        <f>IF('Условия'!$C$26&lt;&gt;"Условия заполнены","",ROUND($B38*'Условия'!$C$13/100,2))</f>
        <v/>
      </c>
      <c r="H38" s="20">
        <f>IF('Условия'!$C$26&lt;&gt;"Условия заполнены","",ROUND($B38-$F38-$G38,2))</f>
        <v/>
      </c>
      <c r="I38" s="20">
        <f>IF('Условия'!$C$26&lt;&gt;"Условия заполнены","",IF($A38='Условия'!$C$7,'Условия'!$C$23,0))</f>
        <v/>
      </c>
      <c r="J38" s="20">
        <f>IF('Условия'!$C$26&lt;&gt;"Условия заполнены","",IFERROR(INDEX($H$5:$H$40,MATCH($A38-'Условия'!$C$17,$A$5:$A$40,0)),0))</f>
        <v/>
      </c>
      <c r="K38" s="20">
        <f>IF('Условия'!$C$26&lt;&gt;"Условия заполнены","",IF(AND('Условия'!$C$13&gt;0,'Условия'!$C$14&gt;0,$A38='Условия'!$C$14),ROUND(MIN(ROUND(SUM($G$5:$G$40)*'Условия'!$C$15/100,2),SUMIFS($G$5:$G$40,$A$5:$A$40,"&lt;="&amp;($A38-'Условия'!$C$17))),2),0))</f>
        <v/>
      </c>
      <c r="L38" s="20">
        <f>IF('Условия'!$C$26&lt;&gt;"Условия заполнены","",ROUND(IFERROR(INDEX($B$5:$B$40,MATCH($A38+'Условия'!$C$19,$A$5:$A$40,0)),0)*'Условия'!$C$18/100,2)+IF($A38=1,'Условия'!$C$20,0)+IF($A38='Условия'!$C$12,'Условия'!$C$24,0))</f>
        <v/>
      </c>
      <c r="M38" s="20">
        <f>IF('Условия'!$C$26&lt;&gt;"Условия заполнены","",ROUND($I38+$J38+$K38-$L38,2))</f>
        <v/>
      </c>
      <c r="N38" s="20">
        <f>IF('Условия'!$C$26&lt;&gt;"Условия заполнены","",ROUND($N37+$M38,2))</f>
        <v/>
      </c>
      <c r="O38" s="22">
        <f>IF('Условия'!$C$26&lt;&gt;"Условия заполнены","",IF($N38&lt;0,$A38,""))</f>
        <v/>
      </c>
      <c r="P38" s="13">
        <f>IF('Условия'!$C$26&lt;&gt;"Условия заполнены","",IF($H38&lt;-0.01,"ОШИБКА: погашение и удержание больше стоимости КС",IF(AND($F38&gt;0.01,$A38&lt;'Условия'!$C$7),"ОШИБКА: аванс погашается до поступления",IF(AND('Условия'!$C$13&gt;0,'Условия'!$C$14&gt;0,$A38='Условия'!$C$14,ROUND(SUM($G$5:$G$40)*'Условия'!$C$15/100,2)&gt;SUMIFS($G$5:$G$40,$A$5:$A$40,"&lt;="&amp;($A38-'Условия'!$C$17))+0.01),"ОШИБКА: возврат больше накопленного удержания",""))))</f>
        <v/>
      </c>
    </row>
    <row r="39">
      <c r="A39" s="17" t="n">
        <v>35</v>
      </c>
      <c r="B39" s="20">
        <f>IF('Условия'!$C$26&lt;&gt;"Условия заполнены","",ROUND(IFERROR('Условия'!$C$5*INDEX('График КС'!$C$5:$C$40,MATCH($A39,'График КС'!$A$5:$A$40,0))/100,0),2))</f>
        <v/>
      </c>
      <c r="C39" s="20">
        <f>IF('Условия'!$C$26&lt;&gt;"Условия заполнены","",SUMIFS($B$5:$B$40,$A$5:$A$40,"&lt;="&amp;$A39))</f>
        <v/>
      </c>
      <c r="D39" s="21">
        <f>IF('Условия'!$C$26&lt;&gt;"Условия заполнены","",SUMIFS('График КС'!$C$5:$C$40,'График КС'!$A$5:$A$40,"&lt;="&amp;$A39))</f>
        <v/>
      </c>
      <c r="E39" s="20">
        <f>IF('Условия'!$C$26&lt;&gt;"Условия заполнены","",IF('Условия'!$C$25=0,0,IFERROR(MAX(0,MIN('Условия'!$C$23,IF('Условия'!$C$25=1,ROUND('Условия'!$C$23*$D39/'График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КС'!$C$42-'Условия'!$C$9),2))))),0)))</f>
        <v/>
      </c>
      <c r="F39" s="20">
        <f>IF('Условия'!$C$26&lt;&gt;"Условия заполнены","",ROUND($E39-$E38,2))</f>
        <v/>
      </c>
      <c r="G39" s="20">
        <f>IF('Условия'!$C$26&lt;&gt;"Условия заполнены","",ROUND($B39*'Условия'!$C$13/100,2))</f>
        <v/>
      </c>
      <c r="H39" s="20">
        <f>IF('Условия'!$C$26&lt;&gt;"Условия заполнены","",ROUND($B39-$F39-$G39,2))</f>
        <v/>
      </c>
      <c r="I39" s="20">
        <f>IF('Условия'!$C$26&lt;&gt;"Условия заполнены","",IF($A39='Условия'!$C$7,'Условия'!$C$23,0))</f>
        <v/>
      </c>
      <c r="J39" s="20">
        <f>IF('Условия'!$C$26&lt;&gt;"Условия заполнены","",IFERROR(INDEX($H$5:$H$40,MATCH($A39-'Условия'!$C$17,$A$5:$A$40,0)),0))</f>
        <v/>
      </c>
      <c r="K39" s="20">
        <f>IF('Условия'!$C$26&lt;&gt;"Условия заполнены","",IF(AND('Условия'!$C$13&gt;0,'Условия'!$C$14&gt;0,$A39='Условия'!$C$14),ROUND(MIN(ROUND(SUM($G$5:$G$40)*'Условия'!$C$15/100,2),SUMIFS($G$5:$G$40,$A$5:$A$40,"&lt;="&amp;($A39-'Условия'!$C$17))),2),0))</f>
        <v/>
      </c>
      <c r="L39" s="20">
        <f>IF('Условия'!$C$26&lt;&gt;"Условия заполнены","",ROUND(IFERROR(INDEX($B$5:$B$40,MATCH($A39+'Условия'!$C$19,$A$5:$A$40,0)),0)*'Условия'!$C$18/100,2)+IF($A39=1,'Условия'!$C$20,0)+IF($A39='Условия'!$C$12,'Условия'!$C$24,0))</f>
        <v/>
      </c>
      <c r="M39" s="20">
        <f>IF('Условия'!$C$26&lt;&gt;"Условия заполнены","",ROUND($I39+$J39+$K39-$L39,2))</f>
        <v/>
      </c>
      <c r="N39" s="20">
        <f>IF('Условия'!$C$26&lt;&gt;"Условия заполнены","",ROUND($N38+$M39,2))</f>
        <v/>
      </c>
      <c r="O39" s="22">
        <f>IF('Условия'!$C$26&lt;&gt;"Условия заполнены","",IF($N39&lt;0,$A39,""))</f>
        <v/>
      </c>
      <c r="P39" s="13">
        <f>IF('Условия'!$C$26&lt;&gt;"Условия заполнены","",IF($H39&lt;-0.01,"ОШИБКА: погашение и удержание больше стоимости КС",IF(AND($F39&gt;0.01,$A39&lt;'Условия'!$C$7),"ОШИБКА: аванс погашается до поступления",IF(AND('Условия'!$C$13&gt;0,'Условия'!$C$14&gt;0,$A39='Условия'!$C$14,ROUND(SUM($G$5:$G$40)*'Условия'!$C$15/100,2)&gt;SUMIFS($G$5:$G$40,$A$5:$A$40,"&lt;="&amp;($A39-'Условия'!$C$17))+0.01),"ОШИБКА: возврат больше накопленного удержания",""))))</f>
        <v/>
      </c>
    </row>
    <row r="40">
      <c r="A40" s="17" t="n">
        <v>36</v>
      </c>
      <c r="B40" s="20">
        <f>IF('Условия'!$C$26&lt;&gt;"Условия заполнены","",ROUND(IFERROR('Условия'!$C$5*INDEX('График КС'!$C$5:$C$40,MATCH($A40,'График КС'!$A$5:$A$40,0))/100,0),2))</f>
        <v/>
      </c>
      <c r="C40" s="20">
        <f>IF('Условия'!$C$26&lt;&gt;"Условия заполнены","",SUMIFS($B$5:$B$40,$A$5:$A$40,"&lt;="&amp;$A40))</f>
        <v/>
      </c>
      <c r="D40" s="21">
        <f>IF('Условия'!$C$26&lt;&gt;"Условия заполнены","",SUMIFS('График КС'!$C$5:$C$40,'График КС'!$A$5:$A$40,"&lt;="&amp;$A40))</f>
        <v/>
      </c>
      <c r="E40" s="20">
        <f>IF('Условия'!$C$26&lt;&gt;"Условия заполнены","",IF('Условия'!$C$25=0,0,IFERROR(MAX(0,MIN('Условия'!$C$23,IF('Условия'!$C$25=1,ROUND('Условия'!$C$23*$D40/'График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КС'!$C$42-'Условия'!$C$9),2))))),0)))</f>
        <v/>
      </c>
      <c r="F40" s="20">
        <f>IF('Условия'!$C$26&lt;&gt;"Условия заполнены","",ROUND($E40-$E39,2))</f>
        <v/>
      </c>
      <c r="G40" s="20">
        <f>IF('Условия'!$C$26&lt;&gt;"Условия заполнены","",ROUND($B40*'Условия'!$C$13/100,2))</f>
        <v/>
      </c>
      <c r="H40" s="20">
        <f>IF('Условия'!$C$26&lt;&gt;"Условия заполнены","",ROUND($B40-$F40-$G40,2))</f>
        <v/>
      </c>
      <c r="I40" s="20">
        <f>IF('Условия'!$C$26&lt;&gt;"Условия заполнены","",IF($A40='Условия'!$C$7,'Условия'!$C$23,0))</f>
        <v/>
      </c>
      <c r="J40" s="20">
        <f>IF('Условия'!$C$26&lt;&gt;"Условия заполнены","",IFERROR(INDEX($H$5:$H$40,MATCH($A40-'Условия'!$C$17,$A$5:$A$40,0)),0))</f>
        <v/>
      </c>
      <c r="K40" s="20">
        <f>IF('Условия'!$C$26&lt;&gt;"Условия заполнены","",IF(AND('Условия'!$C$13&gt;0,'Условия'!$C$14&gt;0,$A40='Условия'!$C$14),ROUND(MIN(ROUND(SUM($G$5:$G$40)*'Условия'!$C$15/100,2),SUMIFS($G$5:$G$40,$A$5:$A$40,"&lt;="&amp;($A40-'Условия'!$C$17))),2),0))</f>
        <v/>
      </c>
      <c r="L40" s="20">
        <f>IF('Условия'!$C$26&lt;&gt;"Условия заполнены","",ROUND(IFERROR(INDEX($B$5:$B$40,MATCH($A40+'Условия'!$C$19,$A$5:$A$40,0)),0)*'Условия'!$C$18/100,2)+IF($A40=1,'Условия'!$C$20,0)+IF($A40='Условия'!$C$12,'Условия'!$C$24,0))</f>
        <v/>
      </c>
      <c r="M40" s="20">
        <f>IF('Условия'!$C$26&lt;&gt;"Условия заполнены","",ROUND($I40+$J40+$K40-$L40,2))</f>
        <v/>
      </c>
      <c r="N40" s="20">
        <f>IF('Условия'!$C$26&lt;&gt;"Условия заполнены","",ROUND($N39+$M40,2))</f>
        <v/>
      </c>
      <c r="O40" s="22">
        <f>IF('Условия'!$C$26&lt;&gt;"Условия заполнены","",IF($N40&lt;0,$A40,""))</f>
        <v/>
      </c>
      <c r="P40" s="13">
        <f>IF('Условия'!$C$26&lt;&gt;"Условия заполнены","",IF($H40&lt;-0.01,"ОШИБКА: погашение и удержание больше стоимости КС",IF(AND($F40&gt;0.01,$A40&lt;'Условия'!$C$7),"ОШИБКА: аванс погашается до поступления",IF(AND('Условия'!$C$13&gt;0,'Условия'!$C$14&gt;0,$A40='Условия'!$C$14,ROUND(SUM($G$5:$G$40)*'Условия'!$C$15/100,2)&gt;SUMIFS($G$5:$G$40,$A$5:$A$40,"&lt;="&amp;($A40-'Условия'!$C$17))+0.01),"ОШИБКА: возврат больше накопленного удержания",""))))</f>
        <v/>
      </c>
    </row>
    <row r="42">
      <c r="A42" s="9" t="inlineStr">
        <is>
          <t>Итого</t>
        </is>
      </c>
      <c r="B42" s="23">
        <f>IF('Условия'!$C$26&lt;&gt;"Условия заполнены","",ROUND(SUM($B$5:$B$40),2))</f>
        <v/>
      </c>
      <c r="F42" s="23">
        <f>IF('Условия'!$C$26&lt;&gt;"Условия заполнены","",ROUND(SUM($F$5:$F$40),2))</f>
        <v/>
      </c>
      <c r="G42" s="23">
        <f>IF('Условия'!$C$26&lt;&gt;"Условия заполнены","",ROUND(SUM($G$5:$G$40),2))</f>
        <v/>
      </c>
      <c r="H42" s="23">
        <f>IF('Условия'!$C$26&lt;&gt;"Условия заполнены","",ROUND(SUM($H$5:$H$40),2))</f>
        <v/>
      </c>
      <c r="I42" s="23">
        <f>IF('Условия'!$C$26&lt;&gt;"Условия заполнены","",ROUND(SUM($I$5:$I$40),2))</f>
        <v/>
      </c>
      <c r="J42" s="23">
        <f>IF('Условия'!$C$26&lt;&gt;"Условия заполнены","",ROUND(SUM($J$5:$J$40),2))</f>
        <v/>
      </c>
      <c r="K42" s="23">
        <f>IF('Условия'!$C$26&lt;&gt;"Условия заполнены","",ROUND(SUM($K$5:$K$40),2))</f>
        <v/>
      </c>
      <c r="L42" s="23">
        <f>IF('Условия'!$C$26&lt;&gt;"Условия заполнены","",ROUND(SUM($L$5:$L$40),2))</f>
        <v/>
      </c>
      <c r="M42" s="23">
        <f>IF('Условия'!$C$26&lt;&gt;"Условия заполнены","",ROUND(SUM($M$5:$M$40),2))</f>
        <v/>
      </c>
      <c r="N42" s="23">
        <f>IF('Условия'!$C$26&lt;&gt;"Условия заполнены","",$N$40)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 ht="16.8" customHeight="1">
      <c r="A1" s="1" t="inlineStr">
        <is>
          <t xml:space="preserve">Сравнение условий аванса</t>
        </is>
      </c>
    </row>
    <row r="2" ht="32" customHeight="1">
      <c r="A2" s="2" t="inlineStr">
        <is>
          <t>Сначала проверьте готовность каждого сценария в строке 18. При неполных условиях или противоречиях профиля его денежные итоги не выводятся. Сравнивайте финансирование, обеспечение и конечный остаток, а не только размер аванса.</t>
        </is>
      </c>
    </row>
    <row r="4">
      <c r="A4" s="3" t="inlineStr">
        <is>
          <t>Показатель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Разница (Б минус А)</t>
        </is>
      </c>
      <c r="E4" s="3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24">
        <f>IF(B$18&lt;&gt;"Готово к сравнению","",'Профиль А'!$I$42)</f>
        <v/>
      </c>
      <c r="C5" s="24">
        <f>IF(C$18&lt;&gt;"Готово к сравнению","",'Профиль Б'!$I$42)</f>
        <v/>
      </c>
      <c r="D5" s="23">
        <f>IF(OR(NOT(ISNUMBER(B5)),NOT(ISNUMBER(C5))),"",ROUND(C5-B5,2))</f>
        <v/>
      </c>
      <c r="E5" s="2" t="inlineStr">
        <is>
          <t xml:space="preserve">Сумма аванса, предусмотренная расчётным сценарием.</t>
        </is>
      </c>
    </row>
    <row r="6" ht="32" customHeight="1">
      <c r="A6" s="4" t="inlineStr">
        <is>
          <t>Стоимость обеспечения аванса, руб.</t>
        </is>
      </c>
      <c r="B6" s="24">
        <f>IF(B$18&lt;&gt;"Готово к сравнению","",'Условия'!$B$24)</f>
        <v/>
      </c>
      <c r="C6" s="24">
        <f>IF(C$18&lt;&gt;"Готово к сравнению","",'Условия'!$C$24)</f>
        <v/>
      </c>
      <c r="D6" s="23">
        <f>IF(OR(NOT(ISNUMBER(B6)),NOT(ISNUMBER(C6))),"",ROUND(C6-B6,2))</f>
        <v/>
      </c>
      <c r="E6" s="2" t="inlineStr">
        <is>
          <t xml:space="preserve">Стоимость обеспечения уменьшает денежный результат. Расчёт учитывает сумму аванса, годовую ставку и срок.</t>
        </is>
      </c>
    </row>
    <row r="7" ht="32" customHeight="1">
      <c r="A7" s="4" t="inlineStr">
        <is>
          <t xml:space="preserve">Максимальная потребность в финансировании, руб.</t>
        </is>
      </c>
      <c r="B7" s="24">
        <f>IF(B$18&lt;&gt;"Готово к сравнению","",IF(MIN('Профиль А'!$N$5:$N$40)&lt;0,-MIN('Профиль А'!$N$5:$N$40),0))</f>
        <v/>
      </c>
      <c r="C7" s="24">
        <f>IF(C$18&lt;&gt;"Готово к сравнению","",IF(MIN('Профиль Б'!$N$5:$N$40)&lt;0,-MIN('Профиль Б'!$N$5:$N$40),0))</f>
        <v/>
      </c>
      <c r="D7" s="23">
        <f>IF(OR(NOT(ISNUMBER(B7)),NOT(ISNUMBER(C7))),"",ROUND(C7-B7,2))</f>
        <v/>
      </c>
      <c r="E7" s="2" t="inlineStr">
        <is>
          <t>Максимальный отрицательный остаток по итогам месяцев. Внутримесячные кассовые разрывы проверяйте отдельно.</t>
        </is>
      </c>
    </row>
    <row r="8" ht="32" customHeight="1">
      <c r="A8" s="4" t="inlineStr">
        <is>
          <t xml:space="preserve">Месяц максимальной потребности</t>
        </is>
      </c>
      <c r="B8" s="25">
        <f>IF(B$18&lt;&gt;"Готово к сравнению","",IF(MIN('Профиль А'!$N$5:$N$40)&lt;0,INDEX('Профиль А'!$A$5:$A$40,MATCH(MIN('Профиль А'!$N$5:$N$40),'Профиль А'!$N$5:$N$40,0)),"Отсутствует"))</f>
        <v/>
      </c>
      <c r="C8" s="25">
        <f>IF(C$18&lt;&gt;"Готово к сравнению","",IF(MIN('Профиль Б'!$N$5:$N$40)&lt;0,INDEX('Профиль Б'!$A$5:$A$40,MATCH(MIN('Профиль Б'!$N$5:$N$40),'Профиль Б'!$N$5:$N$40,0)),"Отсутствует"))</f>
        <v/>
      </c>
      <c r="D8" s="10" t="inlineStr">
        <is>
          <t>—</t>
        </is>
      </c>
      <c r="E8" s="2" t="inlineStr">
        <is>
          <t xml:space="preserve">Месяц наибольшего отрицательного остатка. Сопоставьте его с графиком закупок, работ и доступного финансирования.</t>
        </is>
      </c>
    </row>
    <row r="9" ht="32" customHeight="1">
      <c r="A9" s="4" t="inlineStr">
        <is>
          <t xml:space="preserve">Первый месяц отрицательного остатка</t>
        </is>
      </c>
      <c r="B9" s="25">
        <f>IF(B$18&lt;&gt;"Готово к сравнению","",IF(COUNT('Профиль А'!$O$5:$O$40)=0,"Отсутствует",MIN('Профиль А'!$O$5:$O$40)))</f>
        <v/>
      </c>
      <c r="C9" s="25">
        <f>IF(C$18&lt;&gt;"Готово к сравнению","",IF(COUNT('Профиль Б'!$O$5:$O$40)=0,"Отсутствует",MIN('Профиль Б'!$O$5:$O$40)))</f>
        <v/>
      </c>
      <c r="D9" s="10" t="inlineStr">
        <is>
          <t>—</t>
        </is>
      </c>
      <c r="E9" s="2" t="inlineStr">
        <is>
          <t xml:space="preserve">Начало периода потребности во внешнем или собственном финансировании.</t>
        </is>
      </c>
    </row>
    <row r="10" ht="36.0" customHeight="1">
      <c r="A10" s="4" t="inlineStr">
        <is>
          <t xml:space="preserve">Количество месяцев отрицательного остатка</t>
        </is>
      </c>
      <c r="B10" s="25">
        <f>IF(B$18&lt;&gt;"Готово к сравнению","",COUNTIF('Профиль А'!$N$5:$N$40,"&lt;0"))</f>
        <v/>
      </c>
      <c r="C10" s="25">
        <f>IF(C$18&lt;&gt;"Готово к сравнению","",COUNTIF('Профиль Б'!$N$5:$N$40,"&lt;0"))</f>
        <v/>
      </c>
      <c r="D10" s="10" t="inlineStr">
        <is>
          <t>—</t>
        </is>
      </c>
      <c r="E10" s="2" t="inlineStr">
        <is>
          <t xml:space="preserve">Продолжительность потребности в финансировании. Его стоимость рассчитывайте по сумме задолженности, ставке и длительности каждого периода.</t>
        </is>
      </c>
    </row>
    <row r="11" ht="32" customHeight="1">
      <c r="A11" s="4" t="inlineStr">
        <is>
          <t>Погашено аванса, руб.</t>
        </is>
      </c>
      <c r="B11" s="24">
        <f>IF(B$18&lt;&gt;"Готово к сравнению","",'Профиль А'!$F$42)</f>
        <v/>
      </c>
      <c r="C11" s="24">
        <f>IF(C$18&lt;&gt;"Готово к сравнению","",'Профиль Б'!$F$42)</f>
        <v/>
      </c>
      <c r="D11" s="23">
        <f>IF(OR(NOT(ISNUMBER(B11)),NOT(ISNUMBER(C11))),"",ROUND(C11-B11,2))</f>
        <v/>
      </c>
      <c r="E11" s="2" t="inlineStr">
        <is>
          <t>Полученный аванс должен быть погашен по графику. Данная модель не допускает погашения раньше получения.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24">
        <f>IF(B$18&lt;&gt;"Готово к сравнению","",ROUND('Профиль А'!$G$42-'Профиль А'!$K$42,2))</f>
        <v/>
      </c>
      <c r="C12" s="24">
        <f>IF(C$18&lt;&gt;"Готово к сравнению","",ROUND('Профиль Б'!$G$42-'Профиль Б'!$K$42,2))</f>
        <v/>
      </c>
      <c r="D12" s="23">
        <f>IF(OR(NOT(ISNUMBER(B12)),NOT(ISNUMBER(C12))),"",ROUND(C12-B12,2))</f>
        <v/>
      </c>
      <c r="E12" s="2" t="inlineStr">
        <is>
          <t>Начисленное по КС удержание минус возврат. Досрочный возврат будущих удержаний блокирует сравнение.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24">
        <f>IF(B$18&lt;&gt;"Готово к сравнению","",ROUND('Профиль А'!$H$42-'Профиль А'!$J$42,2))</f>
        <v/>
      </c>
      <c r="C13" s="24">
        <f>IF(C$18&lt;&gt;"Готово к сравнению","",ROUND('Профиль Б'!$H$42-'Профиль Б'!$J$42,2))</f>
        <v/>
      </c>
      <c r="D13" s="23">
        <f>IF(OR(NOT(ISNUMBER(B13)),NOT(ISNUMBER(C13))),"",ROUND(C13-B13,2))</f>
        <v/>
      </c>
      <c r="E13" s="2" t="inlineStr">
        <is>
          <t xml:space="preserve">Стоимость актированных работ, оплата которых поступит после окончания расчётного периода.</t>
        </is>
      </c>
    </row>
    <row r="14" ht="32" customHeight="1">
      <c r="A14" s="4" t="inlineStr">
        <is>
          <t>Израсходовано на объекте, руб.</t>
        </is>
      </c>
      <c r="B14" s="24">
        <f>IF(B$18&lt;&gt;"Готово к сравнению","",'Профиль А'!$L$42)</f>
        <v/>
      </c>
      <c r="C14" s="24">
        <f>IF(C$18&lt;&gt;"Готово к сравнению","",'Профиль Б'!$L$42)</f>
        <v/>
      </c>
      <c r="D14" s="23">
        <f>IF(OR(NOT(ISNUMBER(B14)),NOT(ISNUMBER(C14))),"",ROUND(C14-B14,2))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24">
        <f>IF(B$18&lt;&gt;"Готово к сравнению","",'Профиль А'!$N$42)</f>
        <v/>
      </c>
      <c r="C15" s="24">
        <f>IF(C$18&lt;&gt;"Готово к сравнению","",'Профиль Б'!$N$42)</f>
        <v/>
      </c>
      <c r="D15" s="23">
        <f>IF(OR(NOT(ISNUMBER(B15)),NOT(ISNUMBER(C15))),"",ROUND(C15-B15,2))</f>
        <v/>
      </c>
      <c r="E15" s="2" t="inlineStr">
        <is>
          <t xml:space="preserve">Разница поступлений и расходов на конец расчётного периода. Для определения прибыли отдельно учитывайте начисления и обязательства.</t>
        </is>
      </c>
    </row>
    <row r="17" ht="54" customHeight="1">
      <c r="A17" s="9" t="inlineStr">
        <is>
          <t>Что изменилось между сценариями</t>
        </is>
      </c>
      <c r="B17" s="26">
        <f>IF(OR(NOT(ISNUMBER(B7)),NOT(ISNUMBER(C7))),"Сравнение не завершено: проверьте условия и профили",IF(C7&lt;B7,"Сценарий Б снижает потребность в финансировании",IF(C7&gt;B7,"Сценарий Б увеличивает потребность в финансировании","Потребность в финансировании одинакова")))</f>
        <v/>
      </c>
    </row>
    <row r="18" ht="36" customHeight="1">
      <c r="A18" s="9" t="inlineStr">
        <is>
          <t>Контроль готовности</t>
        </is>
      </c>
      <c r="B18" s="13">
        <f>IF('Условия'!B26&lt;&gt;"Условия заполнены","Проверьте условия",IF(COUNTIF('Профиль А'!P5:P40,"ОШИБКА: погашение и удержание больше стоимости КС")+COUNTIF('Профиль А'!P5:P40,"ОШИБКА: аванс погашается до поступления")+COUNTIF('Профиль А'!P5:P40,"ОШИБКА: возврат больше накопленного удержания")&gt;0,"Проверьте профиль","Готово к сравнению"))</f>
        <v/>
      </c>
      <c r="C18" s="13">
        <f>IF('Условия'!C26&lt;&gt;"Условия заполнены","Проверьте условия",IF(COUNTIF('Профиль Б'!P5:P40,"ОШИБКА: погашение и удержание больше стоимости КС")+COUNTIF('Профиль Б'!P5:P40,"ОШИБКА: аванс погашается до поступления")+COUNTIF('Профиль Б'!P5:P40,"ОШИБКА: возврат больше накопленного удержания")&gt;0,"Проверьте профиль","Готово к сравнению"))</f>
        <v/>
      </c>
    </row>
    <row r="19">
      <c r="A19" s="9" t="inlineStr">
        <is>
          <t>Дополнительный расчёт стоимости финансирования</t>
        </is>
      </c>
    </row>
    <row r="20" ht="46" customHeight="1">
      <c r="A20" s="2" t="inlineStr">
        <is>
          <t>Для оценки стоимости собственных денег отдельно примените вашу ставку кредита или овердрафта к фактическому отрицательному остатку по месяцам.</t>
        </is>
      </c>
    </row>
    <row r="21" ht="46" customHeight="1">
      <c r="A21" s="2" t="inlineStr">
        <is>
          <t xml:space="preserve">Налоговые платежи, включая НДС с аванса, включите в отдельный финансовый план по применимому налоговому режиму.</t>
        </is>
      </c>
    </row>
    <row r="22" ht="46" customHeight="1">
      <c r="A22" s="2" t="inlineStr">
        <is>
          <t>Если получено требование вернуть аванс после прекращения договора, отдельно заполните расчёт 09 по актам, платежам и основанию прекращения.</t>
        </is>
      </c>
    </row>
    <row r="23" ht="46" customHeight="1">
      <c r="A23" s="2" t="inlineStr">
        <is>
          <t xml:space="preserve">Зафиксируйте результаты согласования в протоколе разногласий или дополнительном соглашении. При отказе пересчитайте потребность в финансировании на предложенных условиях.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Как пользоваться калькулятором</t>
        </is>
      </c>
    </row>
    <row r="3" ht="34" customHeight="1">
      <c r="A3" s="4" t="inlineStr">
        <is>
          <t>Шаг 1</t>
        </is>
      </c>
      <c r="B3" s="27" t="inlineStr">
        <is>
          <t>Заполните числовые условия А и Б. При отсутствии расходов в обязательных полях укажите 0; неизвестную сумму не подменяйте нулём.</t>
        </is>
      </c>
    </row>
    <row r="4" ht="34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Колонку Б заполните так же, если сравниваете только условия аванса.</t>
        </is>
      </c>
    </row>
    <row r="5" ht="34" customHeight="1">
      <c r="A5" s="4" t="inlineStr">
        <is>
          <t>Шаг 3</t>
        </is>
      </c>
      <c r="B5" s="27" t="inlineStr">
        <is>
          <t xml:space="preserve">Скопируйте исходные условия сценария А в сценарий Б. Для отдельной оценки измените один показатель: размер аванса, порядок погашения, ставку обеспечения или гарантийное удержание.</t>
        </is>
      </c>
    </row>
    <row r="6" ht="34" customHeight="1">
      <c r="A6" s="4" t="inlineStr">
        <is>
          <t>Шаг 4</t>
        </is>
      </c>
      <c r="B6" s="27" t="inlineStr">
        <is>
          <t>На «Сравнение» сначала проверьте строку 18. При ошибке условий откройте строку 26 «Условия», при ошибке профиля — колонку P.</t>
        </is>
      </c>
    </row>
    <row r="7" ht="34" customHeight="1">
      <c r="A7" s="4" t="inlineStr">
        <is>
          <t>Шаг 5</t>
        </is>
      </c>
      <c r="B7" s="27" t="inlineStr">
        <is>
          <t xml:space="preserve">Повторите сравнение для остальных условий. Составьте перечень изменений с оценкой денежного эффекта по каждому.</t>
        </is>
      </c>
    </row>
    <row r="8" ht="34" customHeight="1">
      <c r="A8" s="4" t="inlineStr">
        <is>
          <t>Шаг 6</t>
        </is>
      </c>
      <c r="B8" s="27" t="inlineStr">
        <is>
          <t xml:space="preserve">До подписания договора оформите согласованные изменения протоколом разногласий, после подписания — дополнительным соглашением. Используйте формы 05 и 06.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 xml:space="preserve">Сообщение проверки. Уточните исходные данные, к которым относится замечание.</t>
        </is>
      </c>
    </row>
    <row r="17">
      <c r="A17" s="9" t="inlineStr">
        <is>
          <t>Совместимость и контроль расчёта</t>
        </is>
      </c>
    </row>
    <row r="18" ht="32" customHeight="1">
      <c r="A18" s="2" t="inlineStr">
        <is>
          <t>Редакция для проверки 22.10.2026. Введите данные, сохраните XLSX, повторно откройте и проверьте пересчёт. Печатный вид проверяется в Excel.</t>
        </is>
      </c>
    </row>
    <row r="20">
      <c r="A20" s="9" t="inlineStr">
        <is>
          <t xml:space="preserve">Контроль перед согласованием условий</t>
        </is>
      </c>
    </row>
    <row r="21" ht="36" customHeight="1">
      <c r="A21" s="2" t="inlineStr">
        <is>
          <t>Расчёт помесячный, не определяет прибыль и внутримесячный пик. Налоги и стоимость финансирования учитывайте отдельно. Помощь: nastoronepodryadchika@yandex.ru.</t>
        </is>
      </c>
    </row>
  </sheetData>
  <mergeCells count="2">
    <mergeCell ref="A18:B18"/>
    <mergeCell ref="A21:B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1" t="inlineStr">
        <is>
          <t>Контрольный пример: аванс 20% / без аванса</t>
        </is>
      </c>
    </row>
    <row r="2" ht="32" customHeight="1">
      <c r="A2" s="16" t="inlineStr">
        <is>
          <t>Все числа учебные. Перенесите значения в лист «Условия», а на «График КС» укажите по 50 в первом и втором месяцах обоих сценариев. Пустые остальные месяцы означают отсутствие работ.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n">
        <v>100000</v>
      </c>
      <c r="C5" s="30" t="n">
        <v>100000</v>
      </c>
    </row>
    <row r="6">
      <c r="A6" s="27" t="inlineStr">
        <is>
          <t>Размер аванса, % от суммы договора</t>
        </is>
      </c>
      <c r="B6" s="30" t="n">
        <v>20</v>
      </c>
      <c r="C6" s="30" t="n">
        <v>0</v>
      </c>
    </row>
    <row r="7">
      <c r="A7" s="27" t="inlineStr">
        <is>
          <t>Месяц поступления аванса</t>
        </is>
      </c>
      <c r="B7" s="30" t="n">
        <v>1</v>
      </c>
      <c r="C7" s="30" t="n">
        <v>0</v>
      </c>
    </row>
    <row r="8" ht="48" customHeight="1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пропорционально из каждой КС</t>
        </is>
      </c>
    </row>
    <row r="9">
      <c r="A9" s="27" t="inlineStr">
        <is>
          <t>Доля выполнения, с которой начинается погашение, %</t>
        </is>
      </c>
      <c r="B9" s="30" t="n">
        <v>0</v>
      </c>
      <c r="C9" s="30" t="n">
        <v>0</v>
      </c>
    </row>
    <row r="10">
      <c r="A10" s="27" t="inlineStr">
        <is>
          <t>Ставка обеспечения аванса, % годовых</t>
        </is>
      </c>
      <c r="B10" s="30" t="n">
        <v>0</v>
      </c>
      <c r="C10" s="30" t="n">
        <v>0</v>
      </c>
    </row>
    <row r="11">
      <c r="A11" s="27" t="inlineStr">
        <is>
          <t>Срок действия обеспечения, мес.</t>
        </is>
      </c>
      <c r="B11" s="30" t="n">
        <v>0</v>
      </c>
      <c r="C11" s="30" t="n">
        <v>0</v>
      </c>
    </row>
    <row r="12">
      <c r="A12" s="27" t="inlineStr">
        <is>
          <t>Месяц оплаты обеспечения</t>
        </is>
      </c>
      <c r="B12" s="30" t="n">
        <v>0</v>
      </c>
      <c r="C12" s="30" t="n">
        <v>0</v>
      </c>
    </row>
    <row r="13">
      <c r="A13" s="27" t="inlineStr">
        <is>
          <t>Гарантийное удержание, % от каждой КС</t>
        </is>
      </c>
      <c r="B13" s="30" t="n">
        <v>0</v>
      </c>
      <c r="C13" s="30" t="n">
        <v>0</v>
      </c>
    </row>
    <row r="14">
      <c r="A14" s="27" t="inlineStr">
        <is>
          <t>Месяц возврата гарантийного удержания</t>
        </is>
      </c>
      <c r="B14" s="30" t="n">
        <v>0</v>
      </c>
      <c r="C14" s="30" t="n">
        <v>0</v>
      </c>
    </row>
    <row r="15">
      <c r="A15" s="27" t="inlineStr">
        <is>
          <t>Доля возвращаемого удержания, %</t>
        </is>
      </c>
      <c r="B15" s="30" t="n">
        <v>0</v>
      </c>
      <c r="C15" s="30" t="n">
        <v>0</v>
      </c>
    </row>
    <row r="16">
      <c r="A16" s="27" t="inlineStr">
        <is>
          <t>Срок объекта, мес.</t>
        </is>
      </c>
      <c r="B16" s="30" t="n">
        <v>2</v>
      </c>
      <c r="C16" s="30" t="n">
        <v>2</v>
      </c>
    </row>
    <row r="17">
      <c r="A17" s="27" t="inlineStr">
        <is>
          <t>Отсрочка оплаты КС, мес.</t>
        </is>
      </c>
      <c r="B17" s="30" t="n">
        <v>1</v>
      </c>
      <c r="C17" s="30" t="n">
        <v>1</v>
      </c>
    </row>
    <row r="18">
      <c r="A18" s="27" t="inlineStr">
        <is>
          <t>Себестоимость работ, % от суммы договора</t>
        </is>
      </c>
      <c r="B18" s="30" t="n">
        <v>80</v>
      </c>
      <c r="C18" s="30" t="n">
        <v>80</v>
      </c>
    </row>
    <row r="19">
      <c r="A19" s="27" t="inlineStr">
        <is>
          <t>Опережение расходов, мес.</t>
        </is>
      </c>
      <c r="B19" s="30" t="n">
        <v>0</v>
      </c>
      <c r="C19" s="30" t="n">
        <v>0</v>
      </c>
    </row>
    <row r="20">
      <c r="A20" s="27" t="inlineStr">
        <is>
          <t>Стартовые затраты до первой КС, руб.</t>
        </is>
      </c>
      <c r="B20" s="30" t="n">
        <v>0</v>
      </c>
      <c r="C20" s="30" t="n">
        <v>0</v>
      </c>
    </row>
    <row r="22">
      <c r="A22" s="9" t="inlineStr">
        <is>
          <t>Лист «График КС»</t>
        </is>
      </c>
    </row>
    <row r="23">
      <c r="A23" s="2" t="inlineStr">
        <is>
          <t>Первый и второй месяцы: по 50% в каждом сценарии. Остальные месяцы — пусто или 0. Не копируйте формулы из расчётных листов в поля ввода.</t>
        </is>
      </c>
    </row>
    <row r="25">
      <c r="A25" s="9" t="inlineStr">
        <is>
          <t>Что покажет лист «Сравнение» на таких условиях</t>
        </is>
      </c>
    </row>
    <row r="26" ht="72" customHeight="1">
      <c r="A26" s="2" t="inlineStr">
        <is>
          <t>Ожидается: финансирование А 20 000 ₽, Б 40 000 ₽; расходы обоих 80 000 ₽; конечный остаток обоих 20 000 ₽. Без аванса можно не выбирать порядок погашения. Данные примера не являются ставками банка или условиями вашего договора.</t>
        </is>
      </c>
    </row>
  </sheetData>
  <mergeCells count="3">
    <mergeCell ref="A23:D23"/>
    <mergeCell ref="A26:D26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2026-08-01T11:19:44Z</dcterms:created>
  <dcterms:modified xmlns:dcterms="http://purl.org/dc/terms/" xmlns:xsi="http://www.w3.org/2001/XMLSchema-instance" xsi:type="dcterms:W3CDTF">2026-10-18T06:23:34Z</dcterms:modified>
</cp:coreProperties>
</file>