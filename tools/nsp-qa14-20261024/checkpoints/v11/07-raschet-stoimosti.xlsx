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Реестр" sheetId="1" state="visible" r:id="rId1"/>
    <sheet xmlns:r="http://schemas.openxmlformats.org/officeDocument/2006/relationships" name="Инструкция" sheetId="2" state="visible" r:id="rId2"/>
    <sheet xmlns:ns0="http://schemas.openxmlformats.org/officeDocument/2006/relationships" name="Печать" sheetId="3" ns0:id="rId5"/>
  </sheets>
  <definedNames>
    <definedName name="_xlnm.Print_Area" localSheetId="0">'Реестр'!$A$1:$J$107</definedName>
    <definedName name="_xlnm.Print_Titles" localSheetId="0">'Реестр'!$1:$3</definedName>
    <definedName name="_xlnm.Print_Area" localSheetId="1">'Инструкция'!$A$1:$A$3</definedName>
    <definedName name="_xlnm.Print_Area" localSheetId="2">OFFSET('Печать'!$A$1,0,0,MAX(8,8+COUNT('Печать'!$K$5:$K$104)),10)</definedName>
    <definedName name="_xlnm.Print_Titles" localSheetId="2">'Печать'!$4:$4</definedName>
    <definedName name="P2_PRINT_RANGE">OFFSET('Печать'!$A$1,0,0,MAX(8,8+COUNT('Печать'!$K$5:$K$104)),10)</definedName>
  </definedNames>
  <calcPr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"/>
  </numFmts>
  <fonts count="14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242629"/>
      <sz val="10"/>
    </font>
    <font>
      <name val="Arial"/>
      <b val="1"/>
      <color rgb="FFFFFFFF"/>
    </font>
    <font>
      <name val="Arial"/>
      <sz val="10"/>
    </font>
    <font>
      <name val="Arial"/>
      <b val="1"/>
      <color rgb="FFE85D22"/>
      <sz val="16"/>
    </font>
    <font>
      <name val="Arial"/>
      <b val="1"/>
      <color rgb="FF263039"/>
      <sz val="16"/>
    </font>
    <font>
      <name val="Arial"/>
      <family val="2"/>
      <b val="1"/>
      <color rgb="FF263039"/>
      <sz val="16"/>
      <scheme val="minor"/>
    </font>
    <font>
      <name val="Arial"/>
      <b val="1"/>
      <color rgb="FFFFFFFF"/>
      <sz val="10"/>
    </font>
    <font>
      <name val="Arial"/>
      <color rgb="FF263039"/>
      <sz val="10"/>
    </font>
    <font>
      <name val="Arial"/>
      <family val="2"/>
      <color rgb="FF263039"/>
      <sz val="10"/>
      <scheme val="minor"/>
    </font>
    <font>
      <name val="Arial"/>
      <i val="1"/>
      <color rgb="FF263039"/>
      <sz val="10"/>
    </font>
    <font>
      <name val="Arial"/>
      <b val="1"/>
      <color rgb="FF263039"/>
      <sz val="15"/>
    </font>
    <font>
      <name val="Arial"/>
      <family val="2"/>
      <b val="1"/>
      <color rgb="FF263039"/>
      <sz val="10"/>
      <scheme val="minor"/>
    </font>
  </fonts>
  <fills count="8">
    <fill>
      <patternFill/>
    </fill>
    <fill>
      <patternFill patternType="gray125"/>
    </fill>
    <fill>
      <patternFill patternType="solid">
        <fgColor rgb="FF242629"/>
      </patternFill>
    </fill>
    <fill>
      <patternFill patternType="solid">
        <fgColor rgb="FFE85D22"/>
      </patternFill>
    </fill>
    <fill>
      <patternFill patternType="solid">
        <fgColor rgb="FFFFFFFF"/>
      </patternFill>
    </fill>
    <fill>
      <patternFill patternType="solid">
        <fgColor rgb="FF263039"/>
      </patternFill>
    </fill>
    <fill>
      <patternFill patternType="solid">
        <fgColor rgb="FFF3F0E8"/>
      </patternFill>
    </fill>
    <fill>
      <patternFill patternType="solid">
        <fgColor rgb="FFE9DFCA"/>
      </patternFill>
    </fill>
  </fills>
  <borders count="6">
    <border>
      <left/>
      <right/>
      <top/>
      <bottom/>
      <diagonal/>
    </border>
    <border>
      <bottom style="thin">
        <color rgb="FFB8B8B8"/>
      </bottom>
    </border>
    <border>
      <bottom style="hair">
        <color rgb="FFDDDDDD"/>
      </bottom>
    </border>
    <border>
      <bottom style="thin">
        <color rgb="FFE1E3E4"/>
      </bottom>
    </border>
    <border>
      <top style="thin">
        <color rgb="FFE1E3E4"/>
      </top>
      <bottom style="thin">
        <color rgb="FFE1E3E4"/>
      </bottom>
    </border>
    <border>
      <top style="thin">
        <color rgb="FFE1E3E4"/>
      </top>
      <bottom style="hair">
        <color rgb="FFDDDDDD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4" borderId="0" applyAlignment="1" pivotButton="0" quotePrefix="0" xfId="0">
      <alignment horizontal="left"/>
    </xf>
    <xf numFmtId="0" fontId="0" fillId="4" borderId="0" pivotButton="0" quotePrefix="0" xfId="0"/>
    <xf numFmtId="0" fontId="6" fillId="4" borderId="0" applyAlignment="1" pivotButton="0" quotePrefix="0" xfId="0">
      <alignment horizontal="left"/>
    </xf>
    <xf numFmtId="0" fontId="7" fillId="4" borderId="0" pivotButton="0" quotePrefix="0" xfId="0"/>
    <xf numFmtId="0" fontId="3" fillId="5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top" wrapText="1"/>
    </xf>
    <xf numFmtId="0" fontId="10" fillId="0" borderId="0" pivotButton="0" quotePrefix="0" xfId="0"/>
    <xf numFmtId="0" fontId="9" fillId="0" borderId="2" applyAlignment="1" pivotButton="0" quotePrefix="0" xfId="0">
      <alignment vertical="center" wrapText="1"/>
    </xf>
    <xf numFmtId="0" fontId="10" fillId="0" borderId="0" applyAlignment="1" pivotButton="0" quotePrefix="0" xfId="0">
      <alignment vertical="center"/>
    </xf>
    <xf numFmtId="0" fontId="9" fillId="0" borderId="3" applyAlignment="1" pivotButton="0" quotePrefix="0" xfId="0">
      <alignment vertical="center" wrapText="1"/>
    </xf>
    <xf numFmtId="0" fontId="9" fillId="0" borderId="4" applyAlignment="1" pivotButton="0" quotePrefix="0" xfId="0">
      <alignment vertical="center" wrapText="1"/>
    </xf>
    <xf numFmtId="0" fontId="9" fillId="0" borderId="5" applyAlignment="1" pivotButton="0" quotePrefix="0" xfId="0">
      <alignment vertical="center" wrapText="1"/>
    </xf>
    <xf numFmtId="0" fontId="11" fillId="0" borderId="0" pivotButton="0" quotePrefix="0" xfId="0"/>
    <xf numFmtId="0" fontId="12" fillId="0" borderId="0" pivotButton="0" quotePrefix="0" xfId="0"/>
    <xf numFmtId="0" fontId="9" fillId="6" borderId="3" applyAlignment="1" pivotButton="0" quotePrefix="0" xfId="0">
      <alignment vertical="center" wrapText="1"/>
    </xf>
    <xf numFmtId="0" fontId="9" fillId="6" borderId="4" applyAlignment="1" pivotButton="0" quotePrefix="0" xfId="0">
      <alignment vertical="center" wrapText="1"/>
    </xf>
    <xf numFmtId="0" fontId="9" fillId="6" borderId="5" applyAlignment="1" pivotButton="0" quotePrefix="0" xfId="0">
      <alignment vertical="center" wrapText="1"/>
    </xf>
    <xf numFmtId="4" fontId="9" fillId="6" borderId="3" applyAlignment="1" pivotButton="0" quotePrefix="0" xfId="0">
      <alignment vertical="center" wrapText="1"/>
    </xf>
    <xf numFmtId="4" fontId="9" fillId="0" borderId="3" applyAlignment="1" pivotButton="0" quotePrefix="0" xfId="0">
      <alignment vertical="center" wrapText="1"/>
    </xf>
    <xf numFmtId="4" fontId="9" fillId="6" borderId="4" applyAlignment="1" pivotButton="0" quotePrefix="0" xfId="0">
      <alignment vertical="center" wrapText="1"/>
    </xf>
    <xf numFmtId="4" fontId="9" fillId="6" borderId="5" applyAlignment="1" pivotButton="0" quotePrefix="0" xfId="0">
      <alignment vertical="center" wrapText="1"/>
    </xf>
    <xf numFmtId="4" fontId="10" fillId="0" borderId="0" applyAlignment="1" pivotButton="0" quotePrefix="0" xfId="0">
      <alignment vertical="center"/>
    </xf>
    <xf numFmtId="164" fontId="9" fillId="6" borderId="3" applyAlignment="1" pivotButton="0" quotePrefix="0" xfId="0">
      <alignment vertical="center" wrapText="1"/>
    </xf>
    <xf numFmtId="164" fontId="9" fillId="6" borderId="4" applyAlignment="1" pivotButton="0" quotePrefix="0" xfId="0">
      <alignment vertical="center" wrapText="1"/>
    </xf>
    <xf numFmtId="164" fontId="9" fillId="6" borderId="5" applyAlignment="1" pivotButton="0" quotePrefix="0" xfId="0">
      <alignment vertical="center" wrapText="1"/>
    </xf>
    <xf numFmtId="165" fontId="9" fillId="6" borderId="3" applyAlignment="1" pivotButton="0" quotePrefix="0" xfId="0">
      <alignment vertical="center" wrapText="1"/>
    </xf>
    <xf numFmtId="165" fontId="9" fillId="6" borderId="4" applyAlignment="1" pivotButton="0" quotePrefix="0" xfId="0">
      <alignment vertical="center" wrapText="1"/>
    </xf>
    <xf numFmtId="165" fontId="9" fillId="6" borderId="5" applyAlignment="1" pivotButton="0" quotePrefix="0" xfId="0">
      <alignment vertical="center" wrapText="1"/>
    </xf>
    <xf numFmtId="4" fontId="13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3" fillId="7" borderId="0" applyAlignment="1" pivotButton="0" quotePrefix="0" xfId="0">
      <alignment vertical="center"/>
    </xf>
    <xf numFmtId="4" fontId="13" fillId="7" borderId="0" applyAlignment="1" pivotButton="0" quotePrefix="0" xfId="0">
      <alignment vertical="center"/>
    </xf>
    <xf numFmtId="164" fontId="9" fillId="6" borderId="3" applyAlignment="1" pivotButton="0" quotePrefix="0" xfId="0">
      <alignment vertical="center" wrapText="1"/>
    </xf>
    <xf numFmtId="4" fontId="9" fillId="6" borderId="3" applyAlignment="1" pivotButton="0" quotePrefix="0" xfId="0">
      <alignment vertical="center" wrapText="1"/>
    </xf>
    <xf numFmtId="4" fontId="9" fillId="0" borderId="3" applyAlignment="1" pivotButton="0" quotePrefix="0" xfId="0">
      <alignment vertical="center" wrapText="1"/>
    </xf>
    <xf numFmtId="165" fontId="9" fillId="6" borderId="3" applyAlignment="1" pivotButton="0" quotePrefix="0" xfId="0">
      <alignment vertical="center" wrapText="1"/>
    </xf>
    <xf numFmtId="164" fontId="9" fillId="6" borderId="4" applyAlignment="1" pivotButton="0" quotePrefix="0" xfId="0">
      <alignment vertical="center" wrapText="1"/>
    </xf>
    <xf numFmtId="4" fontId="9" fillId="6" borderId="4" applyAlignment="1" pivotButton="0" quotePrefix="0" xfId="0">
      <alignment vertical="center" wrapText="1"/>
    </xf>
    <xf numFmtId="165" fontId="9" fillId="6" borderId="4" applyAlignment="1" pivotButton="0" quotePrefix="0" xfId="0">
      <alignment vertical="center" wrapText="1"/>
    </xf>
    <xf numFmtId="164" fontId="9" fillId="6" borderId="5" applyAlignment="1" pivotButton="0" quotePrefix="0" xfId="0">
      <alignment vertical="center" wrapText="1"/>
    </xf>
    <xf numFmtId="4" fontId="9" fillId="6" borderId="5" applyAlignment="1" pivotButton="0" quotePrefix="0" xfId="0">
      <alignment vertical="center" wrapText="1"/>
    </xf>
    <xf numFmtId="165" fontId="9" fillId="6" borderId="5" applyAlignment="1" pivotButton="0" quotePrefix="0" xfId="0">
      <alignment vertical="center" wrapText="1"/>
    </xf>
    <xf numFmtId="4" fontId="10" fillId="0" borderId="0" applyAlignment="1" pivotButton="0" quotePrefix="0" xfId="0">
      <alignment vertical="center"/>
    </xf>
    <xf numFmtId="4" fontId="13" fillId="0" borderId="0" applyAlignment="1" pivotButton="0" quotePrefix="0" xfId="0">
      <alignment vertical="center"/>
    </xf>
    <xf numFmtId="4" fontId="13" fillId="7" borderId="0" applyAlignment="1" pivotButton="0" quotePrefix="0" xfId="0">
      <alignment vertical="center"/>
    </xf>
    <xf numFmtId="0" fontId="11" fillId="0" borderId="0" pivotButton="0" quotePrefix="0" xfId="0" applyAlignment="1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Relationship Id="rId5" Type="http://schemas.openxmlformats.org/officeDocument/2006/relationships/worksheet" Target="/xl/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7"/>
  <sheetViews>
    <sheetView showGridLines="0" workbookViewId="0">
      <pane ySplit="3" topLeftCell="A4" activePane="bottomLeft" state="frozen"/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4" customWidth="1" min="8" max="8"/>
    <col width="24" customWidth="1" min="9" max="9"/>
    <col width="14" customWidth="1" min="10" max="10"/>
  </cols>
  <sheetData>
    <row r="1">
      <c r="A1" s="9" t="inlineStr">
        <is>
          <t>Расчёт стоимости дополнительных работ</t>
        </is>
      </c>
    </row>
    <row r="2" ht="54" customHeight="1">
      <c r="A2" s="53" t="inlineStr">
        <is>
          <t xml:space="preserve">Расчёт № {{НОМЕР}} от {{ДАТА}} к договору № {{НОМЕР_ДОГОВОРА}} от {{ДАТА_ДОГОВОРА}}.
Объект: {{ОБЪЕКТ}}. Подрядчик: {{ПОДРЯДЧИК}}. Заказчик: {{ЗАКАЗЧИК}}.</t>
        </is>
      </c>
    </row>
    <row r="3" ht="26" customHeight="1">
      <c r="A3" s="12" t="inlineStr">
        <is>
          <t>№</t>
        </is>
      </c>
      <c r="B3" s="12" t="inlineStr">
        <is>
          <t>Работа/ресурс</t>
        </is>
      </c>
      <c r="C3" s="12" t="inlineStr">
        <is>
          <t>Ед.</t>
        </is>
      </c>
      <c r="D3" s="12" t="inlineStr">
        <is>
          <t>Кол-во</t>
        </is>
      </c>
      <c r="E3" s="12" t="inlineStr">
        <is>
          <t>Цена</t>
        </is>
      </c>
      <c r="F3" s="12" t="inlineStr">
        <is>
          <t>Сумма</t>
        </is>
      </c>
      <c r="G3" s="12" t="inlineStr">
        <is>
          <t>Источник цены</t>
        </is>
      </c>
      <c r="H3" s="12" t="inlineStr">
        <is>
          <t>Коэффициент</t>
        </is>
      </c>
      <c r="I3" s="12" t="inlineStr">
        <is>
          <t>Итого с коэффициентом</t>
        </is>
      </c>
      <c r="J3" s="12" t="inlineStr">
        <is>
          <t>Комментарий</t>
        </is>
      </c>
    </row>
    <row r="4" ht="23" customHeight="1">
      <c r="A4" s="17" t="n"/>
      <c r="B4" s="22" t="n"/>
      <c r="C4" s="22" t="n"/>
      <c r="D4" s="40" t="n"/>
      <c r="E4" s="41" t="n"/>
      <c r="F4" s="42" t="str">
        <f>IF(COUNTA(B4:E4,G4:H4)=0,"",IF(OR(B4="",NOT(ISNUMBER(D4)),NOT(ISNUMBER(E4)),D4&lt;=0,E4&lt;0),"НЕ ЗАВЕРШЕНО",D4*E4))</f>
      </c>
      <c r="G4" s="22" t="n"/>
      <c r="H4" s="43" t="n"/>
      <c r="I4" s="42" t="str">
        <f>IF(F4="","",IF(OR(NOT(ISNUMBER(F4)),AND(H4&lt;&gt;"",OR(NOT(ISNUMBER(H4)),H4&lt;=0))),"НЕ ЗАВЕРШЕНО",F4*IF(H4="",1,H4)))</f>
      </c>
      <c r="J4" s="22" t="n"/>
    </row>
    <row r="5" ht="23" customHeight="1">
      <c r="A5" s="18" t="n"/>
      <c r="B5" s="23" t="n"/>
      <c r="C5" s="23" t="n"/>
      <c r="D5" s="44" t="n"/>
      <c r="E5" s="45" t="n"/>
      <c r="F5" s="42" t="str">
        <f>IF(COUNTA(B5:E5,G5:H5)=0,"",IF(OR(B5="",NOT(ISNUMBER(D5)),NOT(ISNUMBER(E5)),D5&lt;=0,E5&lt;0),"НЕ ЗАВЕРШЕНО",D5*E5))</f>
      </c>
      <c r="G5" s="23" t="n"/>
      <c r="H5" s="46" t="n"/>
      <c r="I5" s="42" t="str">
        <f>IF(F5="","",IF(OR(NOT(ISNUMBER(F5)),AND(H5&lt;&gt;"",OR(NOT(ISNUMBER(H5)),H5&lt;=0))),"НЕ ЗАВЕРШЕНО",F5*IF(H5="",1,H5)))</f>
      </c>
      <c r="J5" s="23" t="n"/>
    </row>
    <row r="6" ht="23" customHeight="1">
      <c r="A6" s="18" t="n"/>
      <c r="B6" s="23" t="n"/>
      <c r="C6" s="23" t="n"/>
      <c r="D6" s="44" t="n"/>
      <c r="E6" s="45" t="n"/>
      <c r="F6" s="42" t="str">
        <f>IF(COUNTA(B6:E6,G6:H6)=0,"",IF(OR(B6="",NOT(ISNUMBER(D6)),NOT(ISNUMBER(E6)),D6&lt;=0,E6&lt;0),"НЕ ЗАВЕРШЕНО",D6*E6))</f>
      </c>
      <c r="G6" s="23" t="n"/>
      <c r="H6" s="46" t="n"/>
      <c r="I6" s="42" t="str">
        <f>IF(F6="","",IF(OR(NOT(ISNUMBER(F6)),AND(H6&lt;&gt;"",OR(NOT(ISNUMBER(H6)),H6&lt;=0))),"НЕ ЗАВЕРШЕНО",F6*IF(H6="",1,H6)))</f>
      </c>
      <c r="J6" s="23" t="n"/>
    </row>
    <row r="7" ht="23" customHeight="1">
      <c r="A7" s="18" t="n"/>
      <c r="B7" s="23" t="n"/>
      <c r="C7" s="23" t="n"/>
      <c r="D7" s="44" t="n"/>
      <c r="E7" s="45" t="n"/>
      <c r="F7" s="42" t="str">
        <f>IF(COUNTA(B7:E7,G7:H7)=0,"",IF(OR(B7="",NOT(ISNUMBER(D7)),NOT(ISNUMBER(E7)),D7&lt;=0,E7&lt;0),"НЕ ЗАВЕРШЕНО",D7*E7))</f>
      </c>
      <c r="G7" s="23" t="n"/>
      <c r="H7" s="46" t="n"/>
      <c r="I7" s="42" t="str">
        <f>IF(F7="","",IF(OR(NOT(ISNUMBER(F7)),AND(H7&lt;&gt;"",OR(NOT(ISNUMBER(H7)),H7&lt;=0))),"НЕ ЗАВЕРШЕНО",F7*IF(H7="",1,H7)))</f>
      </c>
      <c r="J7" s="23" t="n"/>
    </row>
    <row r="8" ht="23" customHeight="1">
      <c r="A8" s="18" t="n"/>
      <c r="B8" s="23" t="n"/>
      <c r="C8" s="23" t="n"/>
      <c r="D8" s="44" t="n"/>
      <c r="E8" s="45" t="n"/>
      <c r="F8" s="42" t="str">
        <f>IF(COUNTA(B8:E8,G8:H8)=0,"",IF(OR(B8="",NOT(ISNUMBER(D8)),NOT(ISNUMBER(E8)),D8&lt;=0,E8&lt;0),"НЕ ЗАВЕРШЕНО",D8*E8))</f>
      </c>
      <c r="G8" s="23" t="n"/>
      <c r="H8" s="46" t="n"/>
      <c r="I8" s="42" t="str">
        <f>IF(F8="","",IF(OR(NOT(ISNUMBER(F8)),AND(H8&lt;&gt;"",OR(NOT(ISNUMBER(H8)),H8&lt;=0))),"НЕ ЗАВЕРШЕНО",F8*IF(H8="",1,H8)))</f>
      </c>
      <c r="J8" s="23" t="n"/>
    </row>
    <row r="9" ht="23" customHeight="1">
      <c r="A9" s="18" t="n"/>
      <c r="B9" s="23" t="n"/>
      <c r="C9" s="23" t="n"/>
      <c r="D9" s="44" t="n"/>
      <c r="E9" s="45" t="n"/>
      <c r="F9" s="42" t="str">
        <f>IF(COUNTA(B9:E9,G9:H9)=0,"",IF(OR(B9="",NOT(ISNUMBER(D9)),NOT(ISNUMBER(E9)),D9&lt;=0,E9&lt;0),"НЕ ЗАВЕРШЕНО",D9*E9))</f>
      </c>
      <c r="G9" s="23" t="n"/>
      <c r="H9" s="46" t="n"/>
      <c r="I9" s="42" t="str">
        <f>IF(F9="","",IF(OR(NOT(ISNUMBER(F9)),AND(H9&lt;&gt;"",OR(NOT(ISNUMBER(H9)),H9&lt;=0))),"НЕ ЗАВЕРШЕНО",F9*IF(H9="",1,H9)))</f>
      </c>
      <c r="J9" s="23" t="n"/>
    </row>
    <row r="10" ht="23" customHeight="1">
      <c r="A10" s="18" t="n"/>
      <c r="B10" s="23" t="n"/>
      <c r="C10" s="23" t="n"/>
      <c r="D10" s="44" t="n"/>
      <c r="E10" s="45" t="n"/>
      <c r="F10" s="42" t="str">
        <f>IF(COUNTA(B10:E10,G10:H10)=0,"",IF(OR(B10="",NOT(ISNUMBER(D10)),NOT(ISNUMBER(E10)),D10&lt;=0,E10&lt;0),"НЕ ЗАВЕРШЕНО",D10*E10))</f>
      </c>
      <c r="G10" s="23" t="n"/>
      <c r="H10" s="46" t="n"/>
      <c r="I10" s="42" t="str">
        <f>IF(F10="","",IF(OR(NOT(ISNUMBER(F10)),AND(H10&lt;&gt;"",OR(NOT(ISNUMBER(H10)),H10&lt;=0))),"НЕ ЗАВЕРШЕНО",F10*IF(H10="",1,H10)))</f>
      </c>
      <c r="J10" s="23" t="n"/>
    </row>
    <row r="11" ht="23" customHeight="1">
      <c r="A11" s="18" t="n"/>
      <c r="B11" s="23" t="n"/>
      <c r="C11" s="23" t="n"/>
      <c r="D11" s="44" t="n"/>
      <c r="E11" s="45" t="n"/>
      <c r="F11" s="42" t="str">
        <f>IF(COUNTA(B11:E11,G11:H11)=0,"",IF(OR(B11="",NOT(ISNUMBER(D11)),NOT(ISNUMBER(E11)),D11&lt;=0,E11&lt;0),"НЕ ЗАВЕРШЕНО",D11*E11))</f>
      </c>
      <c r="G11" s="23" t="n"/>
      <c r="H11" s="46" t="n"/>
      <c r="I11" s="42" t="str">
        <f>IF(F11="","",IF(OR(NOT(ISNUMBER(F11)),AND(H11&lt;&gt;"",OR(NOT(ISNUMBER(H11)),H11&lt;=0))),"НЕ ЗАВЕРШЕНО",F11*IF(H11="",1,H11)))</f>
      </c>
      <c r="J11" s="23" t="n"/>
    </row>
    <row r="12" ht="23" customHeight="1">
      <c r="A12" s="18" t="n"/>
      <c r="B12" s="23" t="n"/>
      <c r="C12" s="23" t="n"/>
      <c r="D12" s="44" t="n"/>
      <c r="E12" s="45" t="n"/>
      <c r="F12" s="42" t="str">
        <f>IF(COUNTA(B12:E12,G12:H12)=0,"",IF(OR(B12="",NOT(ISNUMBER(D12)),NOT(ISNUMBER(E12)),D12&lt;=0,E12&lt;0),"НЕ ЗАВЕРШЕНО",D12*E12))</f>
      </c>
      <c r="G12" s="23" t="n"/>
      <c r="H12" s="46" t="n"/>
      <c r="I12" s="42" t="str">
        <f>IF(F12="","",IF(OR(NOT(ISNUMBER(F12)),AND(H12&lt;&gt;"",OR(NOT(ISNUMBER(H12)),H12&lt;=0))),"НЕ ЗАВЕРШЕНО",F12*IF(H12="",1,H12)))</f>
      </c>
      <c r="J12" s="23" t="n"/>
    </row>
    <row r="13" ht="23" customHeight="1">
      <c r="A13" s="18" t="n"/>
      <c r="B13" s="23" t="n"/>
      <c r="C13" s="23" t="n"/>
      <c r="D13" s="44" t="n"/>
      <c r="E13" s="45" t="n"/>
      <c r="F13" s="42" t="str">
        <f>IF(COUNTA(B13:E13,G13:H13)=0,"",IF(OR(B13="",NOT(ISNUMBER(D13)),NOT(ISNUMBER(E13)),D13&lt;=0,E13&lt;0),"НЕ ЗАВЕРШЕНО",D13*E13))</f>
      </c>
      <c r="G13" s="23" t="n"/>
      <c r="H13" s="46" t="n"/>
      <c r="I13" s="42" t="str">
        <f>IF(F13="","",IF(OR(NOT(ISNUMBER(F13)),AND(H13&lt;&gt;"",OR(NOT(ISNUMBER(H13)),H13&lt;=0))),"НЕ ЗАВЕРШЕНО",F13*IF(H13="",1,H13)))</f>
      </c>
      <c r="J13" s="23" t="n"/>
    </row>
    <row r="14" ht="23" customHeight="1">
      <c r="A14" s="18" t="n"/>
      <c r="B14" s="23" t="n"/>
      <c r="C14" s="23" t="n"/>
      <c r="D14" s="44" t="n"/>
      <c r="E14" s="45" t="n"/>
      <c r="F14" s="42" t="str">
        <f>IF(COUNTA(B14:E14,G14:H14)=0,"",IF(OR(B14="",NOT(ISNUMBER(D14)),NOT(ISNUMBER(E14)),D14&lt;=0,E14&lt;0),"НЕ ЗАВЕРШЕНО",D14*E14))</f>
      </c>
      <c r="G14" s="23" t="n"/>
      <c r="H14" s="46" t="n"/>
      <c r="I14" s="42" t="str">
        <f>IF(F14="","",IF(OR(NOT(ISNUMBER(F14)),AND(H14&lt;&gt;"",OR(NOT(ISNUMBER(H14)),H14&lt;=0))),"НЕ ЗАВЕРШЕНО",F14*IF(H14="",1,H14)))</f>
      </c>
      <c r="J14" s="23" t="n"/>
    </row>
    <row r="15" ht="23" customHeight="1">
      <c r="A15" s="18" t="n"/>
      <c r="B15" s="23" t="n"/>
      <c r="C15" s="23" t="n"/>
      <c r="D15" s="44" t="n"/>
      <c r="E15" s="45" t="n"/>
      <c r="F15" s="42" t="str">
        <f>IF(COUNTA(B15:E15,G15:H15)=0,"",IF(OR(B15="",NOT(ISNUMBER(D15)),NOT(ISNUMBER(E15)),D15&lt;=0,E15&lt;0),"НЕ ЗАВЕРШЕНО",D15*E15))</f>
      </c>
      <c r="G15" s="23" t="n"/>
      <c r="H15" s="46" t="n"/>
      <c r="I15" s="42" t="str">
        <f>IF(F15="","",IF(OR(NOT(ISNUMBER(F15)),AND(H15&lt;&gt;"",OR(NOT(ISNUMBER(H15)),H15&lt;=0))),"НЕ ЗАВЕРШЕНО",F15*IF(H15="",1,H15)))</f>
      </c>
      <c r="J15" s="23" t="n"/>
    </row>
    <row r="16" ht="23" customHeight="1">
      <c r="A16" s="18" t="n"/>
      <c r="B16" s="23" t="n"/>
      <c r="C16" s="23" t="n"/>
      <c r="D16" s="44" t="n"/>
      <c r="E16" s="45" t="n"/>
      <c r="F16" s="42" t="str">
        <f>IF(COUNTA(B16:E16,G16:H16)=0,"",IF(OR(B16="",NOT(ISNUMBER(D16)),NOT(ISNUMBER(E16)),D16&lt;=0,E16&lt;0),"НЕ ЗАВЕРШЕНО",D16*E16))</f>
      </c>
      <c r="G16" s="23" t="n"/>
      <c r="H16" s="46" t="n"/>
      <c r="I16" s="42" t="str">
        <f>IF(F16="","",IF(OR(NOT(ISNUMBER(F16)),AND(H16&lt;&gt;"",OR(NOT(ISNUMBER(H16)),H16&lt;=0))),"НЕ ЗАВЕРШЕНО",F16*IF(H16="",1,H16)))</f>
      </c>
      <c r="J16" s="23" t="n"/>
    </row>
    <row r="17" ht="23" customHeight="1">
      <c r="A17" s="18" t="n"/>
      <c r="B17" s="23" t="n"/>
      <c r="C17" s="23" t="n"/>
      <c r="D17" s="44" t="n"/>
      <c r="E17" s="45" t="n"/>
      <c r="F17" s="42" t="str">
        <f>IF(COUNTA(B17:E17,G17:H17)=0,"",IF(OR(B17="",NOT(ISNUMBER(D17)),NOT(ISNUMBER(E17)),D17&lt;=0,E17&lt;0),"НЕ ЗАВЕРШЕНО",D17*E17))</f>
      </c>
      <c r="G17" s="23" t="n"/>
      <c r="H17" s="46" t="n"/>
      <c r="I17" s="42" t="str">
        <f>IF(F17="","",IF(OR(NOT(ISNUMBER(F17)),AND(H17&lt;&gt;"",OR(NOT(ISNUMBER(H17)),H17&lt;=0))),"НЕ ЗАВЕРШЕНО",F17*IF(H17="",1,H17)))</f>
      </c>
      <c r="J17" s="23" t="n"/>
    </row>
    <row r="18" ht="23" customHeight="1">
      <c r="A18" s="18" t="n"/>
      <c r="B18" s="23" t="n"/>
      <c r="C18" s="23" t="n"/>
      <c r="D18" s="44" t="n"/>
      <c r="E18" s="45" t="n"/>
      <c r="F18" s="42" t="str">
        <f>IF(COUNTA(B18:E18,G18:H18)=0,"",IF(OR(B18="",NOT(ISNUMBER(D18)),NOT(ISNUMBER(E18)),D18&lt;=0,E18&lt;0),"НЕ ЗАВЕРШЕНО",D18*E18))</f>
      </c>
      <c r="G18" s="23" t="n"/>
      <c r="H18" s="46" t="n"/>
      <c r="I18" s="42" t="str">
        <f>IF(F18="","",IF(OR(NOT(ISNUMBER(F18)),AND(H18&lt;&gt;"",OR(NOT(ISNUMBER(H18)),H18&lt;=0))),"НЕ ЗАВЕРШЕНО",F18*IF(H18="",1,H18)))</f>
      </c>
      <c r="J18" s="23" t="n"/>
    </row>
    <row r="19" ht="23" customHeight="1">
      <c r="A19" s="18" t="n"/>
      <c r="B19" s="23" t="n"/>
      <c r="C19" s="23" t="n"/>
      <c r="D19" s="44" t="n"/>
      <c r="E19" s="45" t="n"/>
      <c r="F19" s="42" t="str">
        <f>IF(COUNTA(B19:E19,G19:H19)=0,"",IF(OR(B19="",NOT(ISNUMBER(D19)),NOT(ISNUMBER(E19)),D19&lt;=0,E19&lt;0),"НЕ ЗАВЕРШЕНО",D19*E19))</f>
      </c>
      <c r="G19" s="23" t="n"/>
      <c r="H19" s="46" t="n"/>
      <c r="I19" s="42" t="str">
        <f>IF(F19="","",IF(OR(NOT(ISNUMBER(F19)),AND(H19&lt;&gt;"",OR(NOT(ISNUMBER(H19)),H19&lt;=0))),"НЕ ЗАВЕРШЕНО",F19*IF(H19="",1,H19)))</f>
      </c>
      <c r="J19" s="23" t="n"/>
    </row>
    <row r="20" ht="23" customHeight="1">
      <c r="A20" s="18" t="n"/>
      <c r="B20" s="23" t="n"/>
      <c r="C20" s="23" t="n"/>
      <c r="D20" s="44" t="n"/>
      <c r="E20" s="45" t="n"/>
      <c r="F20" s="42" t="str">
        <f>IF(COUNTA(B20:E20,G20:H20)=0,"",IF(OR(B20="",NOT(ISNUMBER(D20)),NOT(ISNUMBER(E20)),D20&lt;=0,E20&lt;0),"НЕ ЗАВЕРШЕНО",D20*E20))</f>
      </c>
      <c r="G20" s="23" t="n"/>
      <c r="H20" s="46" t="n"/>
      <c r="I20" s="42" t="str">
        <f>IF(F20="","",IF(OR(NOT(ISNUMBER(F20)),AND(H20&lt;&gt;"",OR(NOT(ISNUMBER(H20)),H20&lt;=0))),"НЕ ЗАВЕРШЕНО",F20*IF(H20="",1,H20)))</f>
      </c>
      <c r="J20" s="23" t="n"/>
    </row>
    <row r="21" ht="23" customHeight="1">
      <c r="A21" s="18" t="n"/>
      <c r="B21" s="23" t="n"/>
      <c r="C21" s="23" t="n"/>
      <c r="D21" s="44" t="n"/>
      <c r="E21" s="45" t="n"/>
      <c r="F21" s="42" t="str">
        <f>IF(COUNTA(B21:E21,G21:H21)=0,"",IF(OR(B21="",NOT(ISNUMBER(D21)),NOT(ISNUMBER(E21)),D21&lt;=0,E21&lt;0),"НЕ ЗАВЕРШЕНО",D21*E21))</f>
      </c>
      <c r="G21" s="23" t="n"/>
      <c r="H21" s="46" t="n"/>
      <c r="I21" s="42" t="str">
        <f>IF(F21="","",IF(OR(NOT(ISNUMBER(F21)),AND(H21&lt;&gt;"",OR(NOT(ISNUMBER(H21)),H21&lt;=0))),"НЕ ЗАВЕРШЕНО",F21*IF(H21="",1,H21)))</f>
      </c>
      <c r="J21" s="23" t="n"/>
    </row>
    <row r="22" ht="23" customHeight="1">
      <c r="A22" s="18" t="n"/>
      <c r="B22" s="23" t="n"/>
      <c r="C22" s="23" t="n"/>
      <c r="D22" s="44" t="n"/>
      <c r="E22" s="45" t="n"/>
      <c r="F22" s="42" t="str">
        <f>IF(COUNTA(B22:E22,G22:H22)=0,"",IF(OR(B22="",NOT(ISNUMBER(D22)),NOT(ISNUMBER(E22)),D22&lt;=0,E22&lt;0),"НЕ ЗАВЕРШЕНО",D22*E22))</f>
      </c>
      <c r="G22" s="23" t="n"/>
      <c r="H22" s="46" t="n"/>
      <c r="I22" s="42" t="str">
        <f>IF(F22="","",IF(OR(NOT(ISNUMBER(F22)),AND(H22&lt;&gt;"",OR(NOT(ISNUMBER(H22)),H22&lt;=0))),"НЕ ЗАВЕРШЕНО",F22*IF(H22="",1,H22)))</f>
      </c>
      <c r="J22" s="23" t="n"/>
    </row>
    <row r="23" ht="23" customHeight="1">
      <c r="A23" s="18" t="n"/>
      <c r="B23" s="23" t="n"/>
      <c r="C23" s="23" t="n"/>
      <c r="D23" s="44" t="n"/>
      <c r="E23" s="45" t="n"/>
      <c r="F23" s="42" t="str">
        <f>IF(COUNTA(B23:E23,G23:H23)=0,"",IF(OR(B23="",NOT(ISNUMBER(D23)),NOT(ISNUMBER(E23)),D23&lt;=0,E23&lt;0),"НЕ ЗАВЕРШЕНО",D23*E23))</f>
      </c>
      <c r="G23" s="23" t="n"/>
      <c r="H23" s="46" t="n"/>
      <c r="I23" s="42" t="str">
        <f>IF(F23="","",IF(OR(NOT(ISNUMBER(F23)),AND(H23&lt;&gt;"",OR(NOT(ISNUMBER(H23)),H23&lt;=0))),"НЕ ЗАВЕРШЕНО",F23*IF(H23="",1,H23)))</f>
      </c>
      <c r="J23" s="23" t="n"/>
    </row>
    <row r="24" ht="23" customHeight="1">
      <c r="A24" s="18" t="n"/>
      <c r="B24" s="23" t="n"/>
      <c r="C24" s="23" t="n"/>
      <c r="D24" s="44" t="n"/>
      <c r="E24" s="45" t="n"/>
      <c r="F24" s="42" t="str">
        <f>IF(COUNTA(B24:E24,G24:H24)=0,"",IF(OR(B24="",NOT(ISNUMBER(D24)),NOT(ISNUMBER(E24)),D24&lt;=0,E24&lt;0),"НЕ ЗАВЕРШЕНО",D24*E24))</f>
      </c>
      <c r="G24" s="23" t="n"/>
      <c r="H24" s="46" t="n"/>
      <c r="I24" s="42" t="str">
        <f>IF(F24="","",IF(OR(NOT(ISNUMBER(F24)),AND(H24&lt;&gt;"",OR(NOT(ISNUMBER(H24)),H24&lt;=0))),"НЕ ЗАВЕРШЕНО",F24*IF(H24="",1,H24)))</f>
      </c>
      <c r="J24" s="23" t="n"/>
    </row>
    <row r="25" ht="23" customHeight="1">
      <c r="A25" s="18" t="n"/>
      <c r="B25" s="23" t="n"/>
      <c r="C25" s="23" t="n"/>
      <c r="D25" s="44" t="n"/>
      <c r="E25" s="45" t="n"/>
      <c r="F25" s="42" t="str">
        <f>IF(COUNTA(B25:E25,G25:H25)=0,"",IF(OR(B25="",NOT(ISNUMBER(D25)),NOT(ISNUMBER(E25)),D25&lt;=0,E25&lt;0),"НЕ ЗАВЕРШЕНО",D25*E25))</f>
      </c>
      <c r="G25" s="23" t="n"/>
      <c r="H25" s="46" t="n"/>
      <c r="I25" s="42" t="str">
        <f>IF(F25="","",IF(OR(NOT(ISNUMBER(F25)),AND(H25&lt;&gt;"",OR(NOT(ISNUMBER(H25)),H25&lt;=0))),"НЕ ЗАВЕРШЕНО",F25*IF(H25="",1,H25)))</f>
      </c>
      <c r="J25" s="23" t="n"/>
    </row>
    <row r="26" ht="23" customHeight="1">
      <c r="A26" s="18" t="n"/>
      <c r="B26" s="23" t="n"/>
      <c r="C26" s="23" t="n"/>
      <c r="D26" s="44" t="n"/>
      <c r="E26" s="45" t="n"/>
      <c r="F26" s="42" t="str">
        <f>IF(COUNTA(B26:E26,G26:H26)=0,"",IF(OR(B26="",NOT(ISNUMBER(D26)),NOT(ISNUMBER(E26)),D26&lt;=0,E26&lt;0),"НЕ ЗАВЕРШЕНО",D26*E26))</f>
      </c>
      <c r="G26" s="23" t="n"/>
      <c r="H26" s="46" t="n"/>
      <c r="I26" s="42" t="str">
        <f>IF(F26="","",IF(OR(NOT(ISNUMBER(F26)),AND(H26&lt;&gt;"",OR(NOT(ISNUMBER(H26)),H26&lt;=0))),"НЕ ЗАВЕРШЕНО",F26*IF(H26="",1,H26)))</f>
      </c>
      <c r="J26" s="23" t="n"/>
    </row>
    <row r="27" ht="23" customHeight="1">
      <c r="A27" s="18" t="n"/>
      <c r="B27" s="23" t="n"/>
      <c r="C27" s="23" t="n"/>
      <c r="D27" s="44" t="n"/>
      <c r="E27" s="45" t="n"/>
      <c r="F27" s="42" t="str">
        <f>IF(COUNTA(B27:E27,G27:H27)=0,"",IF(OR(B27="",NOT(ISNUMBER(D27)),NOT(ISNUMBER(E27)),D27&lt;=0,E27&lt;0),"НЕ ЗАВЕРШЕНО",D27*E27))</f>
      </c>
      <c r="G27" s="23" t="n"/>
      <c r="H27" s="46" t="n"/>
      <c r="I27" s="42" t="str">
        <f>IF(F27="","",IF(OR(NOT(ISNUMBER(F27)),AND(H27&lt;&gt;"",OR(NOT(ISNUMBER(H27)),H27&lt;=0))),"НЕ ЗАВЕРШЕНО",F27*IF(H27="",1,H27)))</f>
      </c>
      <c r="J27" s="23" t="n"/>
    </row>
    <row r="28" ht="23" customHeight="1">
      <c r="A28" s="18" t="n"/>
      <c r="B28" s="23" t="n"/>
      <c r="C28" s="23" t="n"/>
      <c r="D28" s="44" t="n"/>
      <c r="E28" s="45" t="n"/>
      <c r="F28" s="42" t="str">
        <f>IF(COUNTA(B28:E28,G28:H28)=0,"",IF(OR(B28="",NOT(ISNUMBER(D28)),NOT(ISNUMBER(E28)),D28&lt;=0,E28&lt;0),"НЕ ЗАВЕРШЕНО",D28*E28))</f>
      </c>
      <c r="G28" s="23" t="n"/>
      <c r="H28" s="46" t="n"/>
      <c r="I28" s="42" t="str">
        <f>IF(F28="","",IF(OR(NOT(ISNUMBER(F28)),AND(H28&lt;&gt;"",OR(NOT(ISNUMBER(H28)),H28&lt;=0))),"НЕ ЗАВЕРШЕНО",F28*IF(H28="",1,H28)))</f>
      </c>
      <c r="J28" s="23" t="n"/>
    </row>
    <row r="29" ht="23" customHeight="1">
      <c r="A29" s="18" t="n"/>
      <c r="B29" s="23" t="n"/>
      <c r="C29" s="23" t="n"/>
      <c r="D29" s="44" t="n"/>
      <c r="E29" s="45" t="n"/>
      <c r="F29" s="42" t="str">
        <f>IF(COUNTA(B29:E29,G29:H29)=0,"",IF(OR(B29="",NOT(ISNUMBER(D29)),NOT(ISNUMBER(E29)),D29&lt;=0,E29&lt;0),"НЕ ЗАВЕРШЕНО",D29*E29))</f>
      </c>
      <c r="G29" s="23" t="n"/>
      <c r="H29" s="46" t="n"/>
      <c r="I29" s="42" t="str">
        <f>IF(F29="","",IF(OR(NOT(ISNUMBER(F29)),AND(H29&lt;&gt;"",OR(NOT(ISNUMBER(H29)),H29&lt;=0))),"НЕ ЗАВЕРШЕНО",F29*IF(H29="",1,H29)))</f>
      </c>
      <c r="J29" s="23" t="n"/>
    </row>
    <row r="30" ht="23" customHeight="1">
      <c r="A30" s="18" t="n"/>
      <c r="B30" s="23" t="n"/>
      <c r="C30" s="23" t="n"/>
      <c r="D30" s="44" t="n"/>
      <c r="E30" s="45" t="n"/>
      <c r="F30" s="42" t="str">
        <f>IF(COUNTA(B30:E30,G30:H30)=0,"",IF(OR(B30="",NOT(ISNUMBER(D30)),NOT(ISNUMBER(E30)),D30&lt;=0,E30&lt;0),"НЕ ЗАВЕРШЕНО",D30*E30))</f>
      </c>
      <c r="G30" s="23" t="n"/>
      <c r="H30" s="46" t="n"/>
      <c r="I30" s="42" t="str">
        <f>IF(F30="","",IF(OR(NOT(ISNUMBER(F30)),AND(H30&lt;&gt;"",OR(NOT(ISNUMBER(H30)),H30&lt;=0))),"НЕ ЗАВЕРШЕНО",F30*IF(H30="",1,H30)))</f>
      </c>
      <c r="J30" s="23" t="n"/>
    </row>
    <row r="31" ht="23" customHeight="1">
      <c r="A31" s="18" t="n"/>
      <c r="B31" s="23" t="n"/>
      <c r="C31" s="23" t="n"/>
      <c r="D31" s="44" t="n"/>
      <c r="E31" s="45" t="n"/>
      <c r="F31" s="42" t="str">
        <f>IF(COUNTA(B31:E31,G31:H31)=0,"",IF(OR(B31="",NOT(ISNUMBER(D31)),NOT(ISNUMBER(E31)),D31&lt;=0,E31&lt;0),"НЕ ЗАВЕРШЕНО",D31*E31))</f>
      </c>
      <c r="G31" s="23" t="n"/>
      <c r="H31" s="46" t="n"/>
      <c r="I31" s="42" t="str">
        <f>IF(F31="","",IF(OR(NOT(ISNUMBER(F31)),AND(H31&lt;&gt;"",OR(NOT(ISNUMBER(H31)),H31&lt;=0))),"НЕ ЗАВЕРШЕНО",F31*IF(H31="",1,H31)))</f>
      </c>
      <c r="J31" s="23" t="n"/>
    </row>
    <row r="32" ht="23" customHeight="1">
      <c r="A32" s="18" t="n"/>
      <c r="B32" s="23" t="n"/>
      <c r="C32" s="23" t="n"/>
      <c r="D32" s="44" t="n"/>
      <c r="E32" s="45" t="n"/>
      <c r="F32" s="42" t="str">
        <f>IF(COUNTA(B32:E32,G32:H32)=0,"",IF(OR(B32="",NOT(ISNUMBER(D32)),NOT(ISNUMBER(E32)),D32&lt;=0,E32&lt;0),"НЕ ЗАВЕРШЕНО",D32*E32))</f>
      </c>
      <c r="G32" s="23" t="n"/>
      <c r="H32" s="46" t="n"/>
      <c r="I32" s="42" t="str">
        <f>IF(F32="","",IF(OR(NOT(ISNUMBER(F32)),AND(H32&lt;&gt;"",OR(NOT(ISNUMBER(H32)),H32&lt;=0))),"НЕ ЗАВЕРШЕНО",F32*IF(H32="",1,H32)))</f>
      </c>
      <c r="J32" s="23" t="n"/>
    </row>
    <row r="33" ht="23" customHeight="1">
      <c r="A33" s="18" t="n"/>
      <c r="B33" s="23" t="n"/>
      <c r="C33" s="23" t="n"/>
      <c r="D33" s="44" t="n"/>
      <c r="E33" s="45" t="n"/>
      <c r="F33" s="42" t="str">
        <f>IF(COUNTA(B33:E33,G33:H33)=0,"",IF(OR(B33="",NOT(ISNUMBER(D33)),NOT(ISNUMBER(E33)),D33&lt;=0,E33&lt;0),"НЕ ЗАВЕРШЕНО",D33*E33))</f>
      </c>
      <c r="G33" s="23" t="n"/>
      <c r="H33" s="46" t="n"/>
      <c r="I33" s="42" t="str">
        <f>IF(F33="","",IF(OR(NOT(ISNUMBER(F33)),AND(H33&lt;&gt;"",OR(NOT(ISNUMBER(H33)),H33&lt;=0))),"НЕ ЗАВЕРШЕНО",F33*IF(H33="",1,H33)))</f>
      </c>
      <c r="J33" s="23" t="n"/>
    </row>
    <row r="34" ht="23" customHeight="1">
      <c r="A34" s="18" t="n"/>
      <c r="B34" s="23" t="n"/>
      <c r="C34" s="23" t="n"/>
      <c r="D34" s="44" t="n"/>
      <c r="E34" s="45" t="n"/>
      <c r="F34" s="42" t="str">
        <f>IF(COUNTA(B34:E34,G34:H34)=0,"",IF(OR(B34="",NOT(ISNUMBER(D34)),NOT(ISNUMBER(E34)),D34&lt;=0,E34&lt;0),"НЕ ЗАВЕРШЕНО",D34*E34))</f>
      </c>
      <c r="G34" s="23" t="n"/>
      <c r="H34" s="46" t="n"/>
      <c r="I34" s="42" t="str">
        <f>IF(F34="","",IF(OR(NOT(ISNUMBER(F34)),AND(H34&lt;&gt;"",OR(NOT(ISNUMBER(H34)),H34&lt;=0))),"НЕ ЗАВЕРШЕНО",F34*IF(H34="",1,H34)))</f>
      </c>
      <c r="J34" s="23" t="n"/>
    </row>
    <row r="35" ht="23" customHeight="1">
      <c r="A35" s="18" t="n"/>
      <c r="B35" s="23" t="n"/>
      <c r="C35" s="23" t="n"/>
      <c r="D35" s="44" t="n"/>
      <c r="E35" s="45" t="n"/>
      <c r="F35" s="42" t="str">
        <f>IF(COUNTA(B35:E35,G35:H35)=0,"",IF(OR(B35="",NOT(ISNUMBER(D35)),NOT(ISNUMBER(E35)),D35&lt;=0,E35&lt;0),"НЕ ЗАВЕРШЕНО",D35*E35))</f>
      </c>
      <c r="G35" s="23" t="n"/>
      <c r="H35" s="46" t="n"/>
      <c r="I35" s="42" t="str">
        <f>IF(F35="","",IF(OR(NOT(ISNUMBER(F35)),AND(H35&lt;&gt;"",OR(NOT(ISNUMBER(H35)),H35&lt;=0))),"НЕ ЗАВЕРШЕНО",F35*IF(H35="",1,H35)))</f>
      </c>
      <c r="J35" s="23" t="n"/>
    </row>
    <row r="36" ht="23" customHeight="1">
      <c r="A36" s="18" t="n"/>
      <c r="B36" s="23" t="n"/>
      <c r="C36" s="23" t="n"/>
      <c r="D36" s="44" t="n"/>
      <c r="E36" s="45" t="n"/>
      <c r="F36" s="42" t="str">
        <f>IF(COUNTA(B36:E36,G36:H36)=0,"",IF(OR(B36="",NOT(ISNUMBER(D36)),NOT(ISNUMBER(E36)),D36&lt;=0,E36&lt;0),"НЕ ЗАВЕРШЕНО",D36*E36))</f>
      </c>
      <c r="G36" s="23" t="n"/>
      <c r="H36" s="46" t="n"/>
      <c r="I36" s="42" t="str">
        <f>IF(F36="","",IF(OR(NOT(ISNUMBER(F36)),AND(H36&lt;&gt;"",OR(NOT(ISNUMBER(H36)),H36&lt;=0))),"НЕ ЗАВЕРШЕНО",F36*IF(H36="",1,H36)))</f>
      </c>
      <c r="J36" s="23" t="n"/>
    </row>
    <row r="37" ht="23" customHeight="1">
      <c r="A37" s="18" t="n"/>
      <c r="B37" s="23" t="n"/>
      <c r="C37" s="23" t="n"/>
      <c r="D37" s="44" t="n"/>
      <c r="E37" s="45" t="n"/>
      <c r="F37" s="42" t="str">
        <f>IF(COUNTA(B37:E37,G37:H37)=0,"",IF(OR(B37="",NOT(ISNUMBER(D37)),NOT(ISNUMBER(E37)),D37&lt;=0,E37&lt;0),"НЕ ЗАВЕРШЕНО",D37*E37))</f>
      </c>
      <c r="G37" s="23" t="n"/>
      <c r="H37" s="46" t="n"/>
      <c r="I37" s="42" t="str">
        <f>IF(F37="","",IF(OR(NOT(ISNUMBER(F37)),AND(H37&lt;&gt;"",OR(NOT(ISNUMBER(H37)),H37&lt;=0))),"НЕ ЗАВЕРШЕНО",F37*IF(H37="",1,H37)))</f>
      </c>
      <c r="J37" s="23" t="n"/>
    </row>
    <row r="38" ht="23" customHeight="1">
      <c r="A38" s="18" t="n"/>
      <c r="B38" s="23" t="n"/>
      <c r="C38" s="23" t="n"/>
      <c r="D38" s="44" t="n"/>
      <c r="E38" s="45" t="n"/>
      <c r="F38" s="42" t="str">
        <f>IF(COUNTA(B38:E38,G38:H38)=0,"",IF(OR(B38="",NOT(ISNUMBER(D38)),NOT(ISNUMBER(E38)),D38&lt;=0,E38&lt;0),"НЕ ЗАВЕРШЕНО",D38*E38))</f>
      </c>
      <c r="G38" s="23" t="n"/>
      <c r="H38" s="46" t="n"/>
      <c r="I38" s="42" t="str">
        <f>IF(F38="","",IF(OR(NOT(ISNUMBER(F38)),AND(H38&lt;&gt;"",OR(NOT(ISNUMBER(H38)),H38&lt;=0))),"НЕ ЗАВЕРШЕНО",F38*IF(H38="",1,H38)))</f>
      </c>
      <c r="J38" s="23" t="n"/>
    </row>
    <row r="39" ht="23" customHeight="1">
      <c r="A39" s="18" t="n"/>
      <c r="B39" s="23" t="n"/>
      <c r="C39" s="23" t="n"/>
      <c r="D39" s="44" t="n"/>
      <c r="E39" s="45" t="n"/>
      <c r="F39" s="42" t="str">
        <f>IF(COUNTA(B39:E39,G39:H39)=0,"",IF(OR(B39="",NOT(ISNUMBER(D39)),NOT(ISNUMBER(E39)),D39&lt;=0,E39&lt;0),"НЕ ЗАВЕРШЕНО",D39*E39))</f>
      </c>
      <c r="G39" s="23" t="n"/>
      <c r="H39" s="46" t="n"/>
      <c r="I39" s="42" t="str">
        <f>IF(F39="","",IF(OR(NOT(ISNUMBER(F39)),AND(H39&lt;&gt;"",OR(NOT(ISNUMBER(H39)),H39&lt;=0))),"НЕ ЗАВЕРШЕНО",F39*IF(H39="",1,H39)))</f>
      </c>
      <c r="J39" s="23" t="n"/>
    </row>
    <row r="40" ht="23" customHeight="1">
      <c r="A40" s="18" t="n"/>
      <c r="B40" s="23" t="n"/>
      <c r="C40" s="23" t="n"/>
      <c r="D40" s="44" t="n"/>
      <c r="E40" s="45" t="n"/>
      <c r="F40" s="42" t="str">
        <f>IF(COUNTA(B40:E40,G40:H40)=0,"",IF(OR(B40="",NOT(ISNUMBER(D40)),NOT(ISNUMBER(E40)),D40&lt;=0,E40&lt;0),"НЕ ЗАВЕРШЕНО",D40*E40))</f>
      </c>
      <c r="G40" s="23" t="n"/>
      <c r="H40" s="46" t="n"/>
      <c r="I40" s="42" t="str">
        <f>IF(F40="","",IF(OR(NOT(ISNUMBER(F40)),AND(H40&lt;&gt;"",OR(NOT(ISNUMBER(H40)),H40&lt;=0))),"НЕ ЗАВЕРШЕНО",F40*IF(H40="",1,H40)))</f>
      </c>
      <c r="J40" s="23" t="n"/>
    </row>
    <row r="41" ht="23" customHeight="1">
      <c r="A41" s="18" t="n"/>
      <c r="B41" s="23" t="n"/>
      <c r="C41" s="23" t="n"/>
      <c r="D41" s="44" t="n"/>
      <c r="E41" s="45" t="n"/>
      <c r="F41" s="42" t="str">
        <f>IF(COUNTA(B41:E41,G41:H41)=0,"",IF(OR(B41="",NOT(ISNUMBER(D41)),NOT(ISNUMBER(E41)),D41&lt;=0,E41&lt;0),"НЕ ЗАВЕРШЕНО",D41*E41))</f>
      </c>
      <c r="G41" s="23" t="n"/>
      <c r="H41" s="46" t="n"/>
      <c r="I41" s="42" t="str">
        <f>IF(F41="","",IF(OR(NOT(ISNUMBER(F41)),AND(H41&lt;&gt;"",OR(NOT(ISNUMBER(H41)),H41&lt;=0))),"НЕ ЗАВЕРШЕНО",F41*IF(H41="",1,H41)))</f>
      </c>
      <c r="J41" s="23" t="n"/>
    </row>
    <row r="42" ht="23" customHeight="1">
      <c r="A42" s="18" t="n"/>
      <c r="B42" s="23" t="n"/>
      <c r="C42" s="23" t="n"/>
      <c r="D42" s="44" t="n"/>
      <c r="E42" s="45" t="n"/>
      <c r="F42" s="42" t="str">
        <f>IF(COUNTA(B42:E42,G42:H42)=0,"",IF(OR(B42="",NOT(ISNUMBER(D42)),NOT(ISNUMBER(E42)),D42&lt;=0,E42&lt;0),"НЕ ЗАВЕРШЕНО",D42*E42))</f>
      </c>
      <c r="G42" s="23" t="n"/>
      <c r="H42" s="46" t="n"/>
      <c r="I42" s="42" t="str">
        <f>IF(F42="","",IF(OR(NOT(ISNUMBER(F42)),AND(H42&lt;&gt;"",OR(NOT(ISNUMBER(H42)),H42&lt;=0))),"НЕ ЗАВЕРШЕНО",F42*IF(H42="",1,H42)))</f>
      </c>
      <c r="J42" s="23" t="n"/>
    </row>
    <row r="43" ht="23" customHeight="1">
      <c r="A43" s="18" t="n"/>
      <c r="B43" s="23" t="n"/>
      <c r="C43" s="23" t="n"/>
      <c r="D43" s="44" t="n"/>
      <c r="E43" s="45" t="n"/>
      <c r="F43" s="42" t="str">
        <f>IF(COUNTA(B43:E43,G43:H43)=0,"",IF(OR(B43="",NOT(ISNUMBER(D43)),NOT(ISNUMBER(E43)),D43&lt;=0,E43&lt;0),"НЕ ЗАВЕРШЕНО",D43*E43))</f>
      </c>
      <c r="G43" s="23" t="n"/>
      <c r="H43" s="46" t="n"/>
      <c r="I43" s="42" t="str">
        <f>IF(F43="","",IF(OR(NOT(ISNUMBER(F43)),AND(H43&lt;&gt;"",OR(NOT(ISNUMBER(H43)),H43&lt;=0))),"НЕ ЗАВЕРШЕНО",F43*IF(H43="",1,H43)))</f>
      </c>
      <c r="J43" s="23" t="n"/>
    </row>
    <row r="44" ht="23" customHeight="1">
      <c r="A44" s="18" t="n"/>
      <c r="B44" s="23" t="n"/>
      <c r="C44" s="23" t="n"/>
      <c r="D44" s="44" t="n"/>
      <c r="E44" s="45" t="n"/>
      <c r="F44" s="42" t="str">
        <f>IF(COUNTA(B44:E44,G44:H44)=0,"",IF(OR(B44="",NOT(ISNUMBER(D44)),NOT(ISNUMBER(E44)),D44&lt;=0,E44&lt;0),"НЕ ЗАВЕРШЕНО",D44*E44))</f>
      </c>
      <c r="G44" s="23" t="n"/>
      <c r="H44" s="46" t="n"/>
      <c r="I44" s="42" t="str">
        <f>IF(F44="","",IF(OR(NOT(ISNUMBER(F44)),AND(H44&lt;&gt;"",OR(NOT(ISNUMBER(H44)),H44&lt;=0))),"НЕ ЗАВЕРШЕНО",F44*IF(H44="",1,H44)))</f>
      </c>
      <c r="J44" s="23" t="n"/>
    </row>
    <row r="45" ht="23" customHeight="1">
      <c r="A45" s="18" t="n"/>
      <c r="B45" s="23" t="n"/>
      <c r="C45" s="23" t="n"/>
      <c r="D45" s="44" t="n"/>
      <c r="E45" s="45" t="n"/>
      <c r="F45" s="42" t="str">
        <f>IF(COUNTA(B45:E45,G45:H45)=0,"",IF(OR(B45="",NOT(ISNUMBER(D45)),NOT(ISNUMBER(E45)),D45&lt;=0,E45&lt;0),"НЕ ЗАВЕРШЕНО",D45*E45))</f>
      </c>
      <c r="G45" s="23" t="n"/>
      <c r="H45" s="46" t="n"/>
      <c r="I45" s="42" t="str">
        <f>IF(F45="","",IF(OR(NOT(ISNUMBER(F45)),AND(H45&lt;&gt;"",OR(NOT(ISNUMBER(H45)),H45&lt;=0))),"НЕ ЗАВЕРШЕНО",F45*IF(H45="",1,H45)))</f>
      </c>
      <c r="J45" s="23" t="n"/>
    </row>
    <row r="46" ht="23" customHeight="1">
      <c r="A46" s="18" t="n"/>
      <c r="B46" s="23" t="n"/>
      <c r="C46" s="23" t="n"/>
      <c r="D46" s="44" t="n"/>
      <c r="E46" s="45" t="n"/>
      <c r="F46" s="42" t="str">
        <f>IF(COUNTA(B46:E46,G46:H46)=0,"",IF(OR(B46="",NOT(ISNUMBER(D46)),NOT(ISNUMBER(E46)),D46&lt;=0,E46&lt;0),"НЕ ЗАВЕРШЕНО",D46*E46))</f>
      </c>
      <c r="G46" s="23" t="n"/>
      <c r="H46" s="46" t="n"/>
      <c r="I46" s="42" t="str">
        <f>IF(F46="","",IF(OR(NOT(ISNUMBER(F46)),AND(H46&lt;&gt;"",OR(NOT(ISNUMBER(H46)),H46&lt;=0))),"НЕ ЗАВЕРШЕНО",F46*IF(H46="",1,H46)))</f>
      </c>
      <c r="J46" s="23" t="n"/>
    </row>
    <row r="47" ht="23" customHeight="1">
      <c r="A47" s="18" t="n"/>
      <c r="B47" s="23" t="n"/>
      <c r="C47" s="23" t="n"/>
      <c r="D47" s="44" t="n"/>
      <c r="E47" s="45" t="n"/>
      <c r="F47" s="42" t="str">
        <f>IF(COUNTA(B47:E47,G47:H47)=0,"",IF(OR(B47="",NOT(ISNUMBER(D47)),NOT(ISNUMBER(E47)),D47&lt;=0,E47&lt;0),"НЕ ЗАВЕРШЕНО",D47*E47))</f>
      </c>
      <c r="G47" s="23" t="n"/>
      <c r="H47" s="46" t="n"/>
      <c r="I47" s="42" t="str">
        <f>IF(F47="","",IF(OR(NOT(ISNUMBER(F47)),AND(H47&lt;&gt;"",OR(NOT(ISNUMBER(H47)),H47&lt;=0))),"НЕ ЗАВЕРШЕНО",F47*IF(H47="",1,H47)))</f>
      </c>
      <c r="J47" s="23" t="n"/>
    </row>
    <row r="48" ht="23" customHeight="1">
      <c r="A48" s="18" t="n"/>
      <c r="B48" s="23" t="n"/>
      <c r="C48" s="23" t="n"/>
      <c r="D48" s="44" t="n"/>
      <c r="E48" s="45" t="n"/>
      <c r="F48" s="42" t="str">
        <f>IF(COUNTA(B48:E48,G48:H48)=0,"",IF(OR(B48="",NOT(ISNUMBER(D48)),NOT(ISNUMBER(E48)),D48&lt;=0,E48&lt;0),"НЕ ЗАВЕРШЕНО",D48*E48))</f>
      </c>
      <c r="G48" s="23" t="n"/>
      <c r="H48" s="46" t="n"/>
      <c r="I48" s="42" t="str">
        <f>IF(F48="","",IF(OR(NOT(ISNUMBER(F48)),AND(H48&lt;&gt;"",OR(NOT(ISNUMBER(H48)),H48&lt;=0))),"НЕ ЗАВЕРШЕНО",F48*IF(H48="",1,H48)))</f>
      </c>
      <c r="J48" s="23" t="n"/>
    </row>
    <row r="49" ht="23" customHeight="1">
      <c r="A49" s="18" t="n"/>
      <c r="B49" s="23" t="n"/>
      <c r="C49" s="23" t="n"/>
      <c r="D49" s="44" t="n"/>
      <c r="E49" s="45" t="n"/>
      <c r="F49" s="42" t="str">
        <f>IF(COUNTA(B49:E49,G49:H49)=0,"",IF(OR(B49="",NOT(ISNUMBER(D49)),NOT(ISNUMBER(E49)),D49&lt;=0,E49&lt;0),"НЕ ЗАВЕРШЕНО",D49*E49))</f>
      </c>
      <c r="G49" s="23" t="n"/>
      <c r="H49" s="46" t="n"/>
      <c r="I49" s="42" t="str">
        <f>IF(F49="","",IF(OR(NOT(ISNUMBER(F49)),AND(H49&lt;&gt;"",OR(NOT(ISNUMBER(H49)),H49&lt;=0))),"НЕ ЗАВЕРШЕНО",F49*IF(H49="",1,H49)))</f>
      </c>
      <c r="J49" s="23" t="n"/>
    </row>
    <row r="50" ht="23" customHeight="1">
      <c r="A50" s="18" t="n"/>
      <c r="B50" s="23" t="n"/>
      <c r="C50" s="23" t="n"/>
      <c r="D50" s="44" t="n"/>
      <c r="E50" s="45" t="n"/>
      <c r="F50" s="42" t="str">
        <f>IF(COUNTA(B50:E50,G50:H50)=0,"",IF(OR(B50="",NOT(ISNUMBER(D50)),NOT(ISNUMBER(E50)),D50&lt;=0,E50&lt;0),"НЕ ЗАВЕРШЕНО",D50*E50))</f>
      </c>
      <c r="G50" s="23" t="n"/>
      <c r="H50" s="46" t="n"/>
      <c r="I50" s="42" t="str">
        <f>IF(F50="","",IF(OR(NOT(ISNUMBER(F50)),AND(H50&lt;&gt;"",OR(NOT(ISNUMBER(H50)),H50&lt;=0))),"НЕ ЗАВЕРШЕНО",F50*IF(H50="",1,H50)))</f>
      </c>
      <c r="J50" s="23" t="n"/>
    </row>
    <row r="51" ht="23" customHeight="1">
      <c r="A51" s="18" t="n"/>
      <c r="B51" s="23" t="n"/>
      <c r="C51" s="23" t="n"/>
      <c r="D51" s="44" t="n"/>
      <c r="E51" s="45" t="n"/>
      <c r="F51" s="42" t="str">
        <f>IF(COUNTA(B51:E51,G51:H51)=0,"",IF(OR(B51="",NOT(ISNUMBER(D51)),NOT(ISNUMBER(E51)),D51&lt;=0,E51&lt;0),"НЕ ЗАВЕРШЕНО",D51*E51))</f>
      </c>
      <c r="G51" s="23" t="n"/>
      <c r="H51" s="46" t="n"/>
      <c r="I51" s="42" t="str">
        <f>IF(F51="","",IF(OR(NOT(ISNUMBER(F51)),AND(H51&lt;&gt;"",OR(NOT(ISNUMBER(H51)),H51&lt;=0))),"НЕ ЗАВЕРШЕНО",F51*IF(H51="",1,H51)))</f>
      </c>
      <c r="J51" s="23" t="n"/>
    </row>
    <row r="52" ht="23" customHeight="1">
      <c r="A52" s="18" t="n"/>
      <c r="B52" s="23" t="n"/>
      <c r="C52" s="23" t="n"/>
      <c r="D52" s="44" t="n"/>
      <c r="E52" s="45" t="n"/>
      <c r="F52" s="42" t="str">
        <f>IF(COUNTA(B52:E52,G52:H52)=0,"",IF(OR(B52="",NOT(ISNUMBER(D52)),NOT(ISNUMBER(E52)),D52&lt;=0,E52&lt;0),"НЕ ЗАВЕРШЕНО",D52*E52))</f>
      </c>
      <c r="G52" s="23" t="n"/>
      <c r="H52" s="46" t="n"/>
      <c r="I52" s="42" t="str">
        <f>IF(F52="","",IF(OR(NOT(ISNUMBER(F52)),AND(H52&lt;&gt;"",OR(NOT(ISNUMBER(H52)),H52&lt;=0))),"НЕ ЗАВЕРШЕНО",F52*IF(H52="",1,H52)))</f>
      </c>
      <c r="J52" s="23" t="n"/>
    </row>
    <row r="53" ht="23" customHeight="1">
      <c r="A53" s="18" t="n"/>
      <c r="B53" s="23" t="n"/>
      <c r="C53" s="23" t="n"/>
      <c r="D53" s="44" t="n"/>
      <c r="E53" s="45" t="n"/>
      <c r="F53" s="42" t="str">
        <f>IF(COUNTA(B53:E53,G53:H53)=0,"",IF(OR(B53="",NOT(ISNUMBER(D53)),NOT(ISNUMBER(E53)),D53&lt;=0,E53&lt;0),"НЕ ЗАВЕРШЕНО",D53*E53))</f>
      </c>
      <c r="G53" s="23" t="n"/>
      <c r="H53" s="46" t="n"/>
      <c r="I53" s="42" t="str">
        <f>IF(F53="","",IF(OR(NOT(ISNUMBER(F53)),AND(H53&lt;&gt;"",OR(NOT(ISNUMBER(H53)),H53&lt;=0))),"НЕ ЗАВЕРШЕНО",F53*IF(H53="",1,H53)))</f>
      </c>
      <c r="J53" s="23" t="n"/>
    </row>
    <row r="54" ht="23" customHeight="1">
      <c r="A54" s="18" t="n"/>
      <c r="B54" s="23" t="n"/>
      <c r="C54" s="23" t="n"/>
      <c r="D54" s="44" t="n"/>
      <c r="E54" s="45" t="n"/>
      <c r="F54" s="42" t="str">
        <f>IF(COUNTA(B54:E54,G54:H54)=0,"",IF(OR(B54="",NOT(ISNUMBER(D54)),NOT(ISNUMBER(E54)),D54&lt;=0,E54&lt;0),"НЕ ЗАВЕРШЕНО",D54*E54))</f>
      </c>
      <c r="G54" s="23" t="n"/>
      <c r="H54" s="46" t="n"/>
      <c r="I54" s="42" t="str">
        <f>IF(F54="","",IF(OR(NOT(ISNUMBER(F54)),AND(H54&lt;&gt;"",OR(NOT(ISNUMBER(H54)),H54&lt;=0))),"НЕ ЗАВЕРШЕНО",F54*IF(H54="",1,H54)))</f>
      </c>
      <c r="J54" s="23" t="n"/>
    </row>
    <row r="55" ht="23" customHeight="1">
      <c r="A55" s="18" t="n"/>
      <c r="B55" s="23" t="n"/>
      <c r="C55" s="23" t="n"/>
      <c r="D55" s="44" t="n"/>
      <c r="E55" s="45" t="n"/>
      <c r="F55" s="42" t="str">
        <f>IF(COUNTA(B55:E55,G55:H55)=0,"",IF(OR(B55="",NOT(ISNUMBER(D55)),NOT(ISNUMBER(E55)),D55&lt;=0,E55&lt;0),"НЕ ЗАВЕРШЕНО",D55*E55))</f>
      </c>
      <c r="G55" s="23" t="n"/>
      <c r="H55" s="46" t="n"/>
      <c r="I55" s="42" t="str">
        <f>IF(F55="","",IF(OR(NOT(ISNUMBER(F55)),AND(H55&lt;&gt;"",OR(NOT(ISNUMBER(H55)),H55&lt;=0))),"НЕ ЗАВЕРШЕНО",F55*IF(H55="",1,H55)))</f>
      </c>
      <c r="J55" s="23" t="n"/>
    </row>
    <row r="56" ht="23" customHeight="1">
      <c r="A56" s="18" t="n"/>
      <c r="B56" s="23" t="n"/>
      <c r="C56" s="23" t="n"/>
      <c r="D56" s="44" t="n"/>
      <c r="E56" s="45" t="n"/>
      <c r="F56" s="42" t="str">
        <f>IF(COUNTA(B56:E56,G56:H56)=0,"",IF(OR(B56="",NOT(ISNUMBER(D56)),NOT(ISNUMBER(E56)),D56&lt;=0,E56&lt;0),"НЕ ЗАВЕРШЕНО",D56*E56))</f>
      </c>
      <c r="G56" s="23" t="n"/>
      <c r="H56" s="46" t="n"/>
      <c r="I56" s="42" t="str">
        <f>IF(F56="","",IF(OR(NOT(ISNUMBER(F56)),AND(H56&lt;&gt;"",OR(NOT(ISNUMBER(H56)),H56&lt;=0))),"НЕ ЗАВЕРШЕНО",F56*IF(H56="",1,H56)))</f>
      </c>
      <c r="J56" s="23" t="n"/>
    </row>
    <row r="57" ht="23" customHeight="1">
      <c r="A57" s="18" t="n"/>
      <c r="B57" s="23" t="n"/>
      <c r="C57" s="23" t="n"/>
      <c r="D57" s="44" t="n"/>
      <c r="E57" s="45" t="n"/>
      <c r="F57" s="42" t="str">
        <f>IF(COUNTA(B57:E57,G57:H57)=0,"",IF(OR(B57="",NOT(ISNUMBER(D57)),NOT(ISNUMBER(E57)),D57&lt;=0,E57&lt;0),"НЕ ЗАВЕРШЕНО",D57*E57))</f>
      </c>
      <c r="G57" s="23" t="n"/>
      <c r="H57" s="46" t="n"/>
      <c r="I57" s="42" t="str">
        <f>IF(F57="","",IF(OR(NOT(ISNUMBER(F57)),AND(H57&lt;&gt;"",OR(NOT(ISNUMBER(H57)),H57&lt;=0))),"НЕ ЗАВЕРШЕНО",F57*IF(H57="",1,H57)))</f>
      </c>
      <c r="J57" s="23" t="n"/>
    </row>
    <row r="58" ht="23" customHeight="1">
      <c r="A58" s="18" t="n"/>
      <c r="B58" s="23" t="n"/>
      <c r="C58" s="23" t="n"/>
      <c r="D58" s="44" t="n"/>
      <c r="E58" s="45" t="n"/>
      <c r="F58" s="42" t="str">
        <f>IF(COUNTA(B58:E58,G58:H58)=0,"",IF(OR(B58="",NOT(ISNUMBER(D58)),NOT(ISNUMBER(E58)),D58&lt;=0,E58&lt;0),"НЕ ЗАВЕРШЕНО",D58*E58))</f>
      </c>
      <c r="G58" s="23" t="n"/>
      <c r="H58" s="46" t="n"/>
      <c r="I58" s="42" t="str">
        <f>IF(F58="","",IF(OR(NOT(ISNUMBER(F58)),AND(H58&lt;&gt;"",OR(NOT(ISNUMBER(H58)),H58&lt;=0))),"НЕ ЗАВЕРШЕНО",F58*IF(H58="",1,H58)))</f>
      </c>
      <c r="J58" s="23" t="n"/>
    </row>
    <row r="59" ht="23" customHeight="1">
      <c r="A59" s="18" t="n"/>
      <c r="B59" s="23" t="n"/>
      <c r="C59" s="23" t="n"/>
      <c r="D59" s="44" t="n"/>
      <c r="E59" s="45" t="n"/>
      <c r="F59" s="42" t="str">
        <f>IF(COUNTA(B59:E59,G59:H59)=0,"",IF(OR(B59="",NOT(ISNUMBER(D59)),NOT(ISNUMBER(E59)),D59&lt;=0,E59&lt;0),"НЕ ЗАВЕРШЕНО",D59*E59))</f>
      </c>
      <c r="G59" s="23" t="n"/>
      <c r="H59" s="46" t="n"/>
      <c r="I59" s="42" t="str">
        <f>IF(F59="","",IF(OR(NOT(ISNUMBER(F59)),AND(H59&lt;&gt;"",OR(NOT(ISNUMBER(H59)),H59&lt;=0))),"НЕ ЗАВЕРШЕНО",F59*IF(H59="",1,H59)))</f>
      </c>
      <c r="J59" s="23" t="n"/>
    </row>
    <row r="60" ht="23" customHeight="1">
      <c r="A60" s="18" t="n"/>
      <c r="B60" s="23" t="n"/>
      <c r="C60" s="23" t="n"/>
      <c r="D60" s="44" t="n"/>
      <c r="E60" s="45" t="n"/>
      <c r="F60" s="42" t="str">
        <f>IF(COUNTA(B60:E60,G60:H60)=0,"",IF(OR(B60="",NOT(ISNUMBER(D60)),NOT(ISNUMBER(E60)),D60&lt;=0,E60&lt;0),"НЕ ЗАВЕРШЕНО",D60*E60))</f>
      </c>
      <c r="G60" s="23" t="n"/>
      <c r="H60" s="46" t="n"/>
      <c r="I60" s="42" t="str">
        <f>IF(F60="","",IF(OR(NOT(ISNUMBER(F60)),AND(H60&lt;&gt;"",OR(NOT(ISNUMBER(H60)),H60&lt;=0))),"НЕ ЗАВЕРШЕНО",F60*IF(H60="",1,H60)))</f>
      </c>
      <c r="J60" s="23" t="n"/>
    </row>
    <row r="61" ht="23" customHeight="1">
      <c r="A61" s="18" t="n"/>
      <c r="B61" s="23" t="n"/>
      <c r="C61" s="23" t="n"/>
      <c r="D61" s="44" t="n"/>
      <c r="E61" s="45" t="n"/>
      <c r="F61" s="42" t="str">
        <f>IF(COUNTA(B61:E61,G61:H61)=0,"",IF(OR(B61="",NOT(ISNUMBER(D61)),NOT(ISNUMBER(E61)),D61&lt;=0,E61&lt;0),"НЕ ЗАВЕРШЕНО",D61*E61))</f>
      </c>
      <c r="G61" s="23" t="n"/>
      <c r="H61" s="46" t="n"/>
      <c r="I61" s="42" t="str">
        <f>IF(F61="","",IF(OR(NOT(ISNUMBER(F61)),AND(H61&lt;&gt;"",OR(NOT(ISNUMBER(H61)),H61&lt;=0))),"НЕ ЗАВЕРШЕНО",F61*IF(H61="",1,H61)))</f>
      </c>
      <c r="J61" s="23" t="n"/>
    </row>
    <row r="62" ht="23" customHeight="1">
      <c r="A62" s="18" t="n"/>
      <c r="B62" s="23" t="n"/>
      <c r="C62" s="23" t="n"/>
      <c r="D62" s="44" t="n"/>
      <c r="E62" s="45" t="n"/>
      <c r="F62" s="42" t="str">
        <f>IF(COUNTA(B62:E62,G62:H62)=0,"",IF(OR(B62="",NOT(ISNUMBER(D62)),NOT(ISNUMBER(E62)),D62&lt;=0,E62&lt;0),"НЕ ЗАВЕРШЕНО",D62*E62))</f>
      </c>
      <c r="G62" s="23" t="n"/>
      <c r="H62" s="46" t="n"/>
      <c r="I62" s="42" t="str">
        <f>IF(F62="","",IF(OR(NOT(ISNUMBER(F62)),AND(H62&lt;&gt;"",OR(NOT(ISNUMBER(H62)),H62&lt;=0))),"НЕ ЗАВЕРШЕНО",F62*IF(H62="",1,H62)))</f>
      </c>
      <c r="J62" s="23" t="n"/>
    </row>
    <row r="63" ht="23" customHeight="1">
      <c r="A63" s="18" t="n"/>
      <c r="B63" s="23" t="n"/>
      <c r="C63" s="23" t="n"/>
      <c r="D63" s="44" t="n"/>
      <c r="E63" s="45" t="n"/>
      <c r="F63" s="42" t="str">
        <f>IF(COUNTA(B63:E63,G63:H63)=0,"",IF(OR(B63="",NOT(ISNUMBER(D63)),NOT(ISNUMBER(E63)),D63&lt;=0,E63&lt;0),"НЕ ЗАВЕРШЕНО",D63*E63))</f>
      </c>
      <c r="G63" s="23" t="n"/>
      <c r="H63" s="46" t="n"/>
      <c r="I63" s="42" t="str">
        <f>IF(F63="","",IF(OR(NOT(ISNUMBER(F63)),AND(H63&lt;&gt;"",OR(NOT(ISNUMBER(H63)),H63&lt;=0))),"НЕ ЗАВЕРШЕНО",F63*IF(H63="",1,H63)))</f>
      </c>
      <c r="J63" s="23" t="n"/>
    </row>
    <row r="64" ht="23" customHeight="1">
      <c r="A64" s="18" t="n"/>
      <c r="B64" s="23" t="n"/>
      <c r="C64" s="23" t="n"/>
      <c r="D64" s="44" t="n"/>
      <c r="E64" s="45" t="n"/>
      <c r="F64" s="42" t="str">
        <f>IF(COUNTA(B64:E64,G64:H64)=0,"",IF(OR(B64="",NOT(ISNUMBER(D64)),NOT(ISNUMBER(E64)),D64&lt;=0,E64&lt;0),"НЕ ЗАВЕРШЕНО",D64*E64))</f>
      </c>
      <c r="G64" s="23" t="n"/>
      <c r="H64" s="46" t="n"/>
      <c r="I64" s="42" t="str">
        <f>IF(F64="","",IF(OR(NOT(ISNUMBER(F64)),AND(H64&lt;&gt;"",OR(NOT(ISNUMBER(H64)),H64&lt;=0))),"НЕ ЗАВЕРШЕНО",F64*IF(H64="",1,H64)))</f>
      </c>
      <c r="J64" s="23" t="n"/>
    </row>
    <row r="65" ht="23" customHeight="1">
      <c r="A65" s="18" t="n"/>
      <c r="B65" s="23" t="n"/>
      <c r="C65" s="23" t="n"/>
      <c r="D65" s="44" t="n"/>
      <c r="E65" s="45" t="n"/>
      <c r="F65" s="42" t="str">
        <f>IF(COUNTA(B65:E65,G65:H65)=0,"",IF(OR(B65="",NOT(ISNUMBER(D65)),NOT(ISNUMBER(E65)),D65&lt;=0,E65&lt;0),"НЕ ЗАВЕРШЕНО",D65*E65))</f>
      </c>
      <c r="G65" s="23" t="n"/>
      <c r="H65" s="46" t="n"/>
      <c r="I65" s="42" t="str">
        <f>IF(F65="","",IF(OR(NOT(ISNUMBER(F65)),AND(H65&lt;&gt;"",OR(NOT(ISNUMBER(H65)),H65&lt;=0))),"НЕ ЗАВЕРШЕНО",F65*IF(H65="",1,H65)))</f>
      </c>
      <c r="J65" s="23" t="n"/>
    </row>
    <row r="66" ht="23" customHeight="1">
      <c r="A66" s="18" t="n"/>
      <c r="B66" s="23" t="n"/>
      <c r="C66" s="23" t="n"/>
      <c r="D66" s="44" t="n"/>
      <c r="E66" s="45" t="n"/>
      <c r="F66" s="42" t="str">
        <f>IF(COUNTA(B66:E66,G66:H66)=0,"",IF(OR(B66="",NOT(ISNUMBER(D66)),NOT(ISNUMBER(E66)),D66&lt;=0,E66&lt;0),"НЕ ЗАВЕРШЕНО",D66*E66))</f>
      </c>
      <c r="G66" s="23" t="n"/>
      <c r="H66" s="46" t="n"/>
      <c r="I66" s="42" t="str">
        <f>IF(F66="","",IF(OR(NOT(ISNUMBER(F66)),AND(H66&lt;&gt;"",OR(NOT(ISNUMBER(H66)),H66&lt;=0))),"НЕ ЗАВЕРШЕНО",F66*IF(H66="",1,H66)))</f>
      </c>
      <c r="J66" s="23" t="n"/>
    </row>
    <row r="67" ht="23" customHeight="1">
      <c r="A67" s="18" t="n"/>
      <c r="B67" s="23" t="n"/>
      <c r="C67" s="23" t="n"/>
      <c r="D67" s="44" t="n"/>
      <c r="E67" s="45" t="n"/>
      <c r="F67" s="42" t="str">
        <f>IF(COUNTA(B67:E67,G67:H67)=0,"",IF(OR(B67="",NOT(ISNUMBER(D67)),NOT(ISNUMBER(E67)),D67&lt;=0,E67&lt;0),"НЕ ЗАВЕРШЕНО",D67*E67))</f>
      </c>
      <c r="G67" s="23" t="n"/>
      <c r="H67" s="46" t="n"/>
      <c r="I67" s="42" t="str">
        <f>IF(F67="","",IF(OR(NOT(ISNUMBER(F67)),AND(H67&lt;&gt;"",OR(NOT(ISNUMBER(H67)),H67&lt;=0))),"НЕ ЗАВЕРШЕНО",F67*IF(H67="",1,H67)))</f>
      </c>
      <c r="J67" s="23" t="n"/>
    </row>
    <row r="68" ht="23" customHeight="1">
      <c r="A68" s="18" t="n"/>
      <c r="B68" s="23" t="n"/>
      <c r="C68" s="23" t="n"/>
      <c r="D68" s="44" t="n"/>
      <c r="E68" s="45" t="n"/>
      <c r="F68" s="42" t="str">
        <f>IF(COUNTA(B68:E68,G68:H68)=0,"",IF(OR(B68="",NOT(ISNUMBER(D68)),NOT(ISNUMBER(E68)),D68&lt;=0,E68&lt;0),"НЕ ЗАВЕРШЕНО",D68*E68))</f>
      </c>
      <c r="G68" s="23" t="n"/>
      <c r="H68" s="46" t="n"/>
      <c r="I68" s="42" t="str">
        <f>IF(F68="","",IF(OR(NOT(ISNUMBER(F68)),AND(H68&lt;&gt;"",OR(NOT(ISNUMBER(H68)),H68&lt;=0))),"НЕ ЗАВЕРШЕНО",F68*IF(H68="",1,H68)))</f>
      </c>
      <c r="J68" s="23" t="n"/>
    </row>
    <row r="69" ht="23" customHeight="1">
      <c r="A69" s="18" t="n"/>
      <c r="B69" s="23" t="n"/>
      <c r="C69" s="23" t="n"/>
      <c r="D69" s="44" t="n"/>
      <c r="E69" s="45" t="n"/>
      <c r="F69" s="42" t="str">
        <f>IF(COUNTA(B69:E69,G69:H69)=0,"",IF(OR(B69="",NOT(ISNUMBER(D69)),NOT(ISNUMBER(E69)),D69&lt;=0,E69&lt;0),"НЕ ЗАВЕРШЕНО",D69*E69))</f>
      </c>
      <c r="G69" s="23" t="n"/>
      <c r="H69" s="46" t="n"/>
      <c r="I69" s="42" t="str">
        <f>IF(F69="","",IF(OR(NOT(ISNUMBER(F69)),AND(H69&lt;&gt;"",OR(NOT(ISNUMBER(H69)),H69&lt;=0))),"НЕ ЗАВЕРШЕНО",F69*IF(H69="",1,H69)))</f>
      </c>
      <c r="J69" s="23" t="n"/>
    </row>
    <row r="70" ht="23" customHeight="1">
      <c r="A70" s="18" t="n"/>
      <c r="B70" s="23" t="n"/>
      <c r="C70" s="23" t="n"/>
      <c r="D70" s="44" t="n"/>
      <c r="E70" s="45" t="n"/>
      <c r="F70" s="42" t="str">
        <f>IF(COUNTA(B70:E70,G70:H70)=0,"",IF(OR(B70="",NOT(ISNUMBER(D70)),NOT(ISNUMBER(E70)),D70&lt;=0,E70&lt;0),"НЕ ЗАВЕРШЕНО",D70*E70))</f>
      </c>
      <c r="G70" s="23" t="n"/>
      <c r="H70" s="46" t="n"/>
      <c r="I70" s="42" t="str">
        <f>IF(F70="","",IF(OR(NOT(ISNUMBER(F70)),AND(H70&lt;&gt;"",OR(NOT(ISNUMBER(H70)),H70&lt;=0))),"НЕ ЗАВЕРШЕНО",F70*IF(H70="",1,H70)))</f>
      </c>
      <c r="J70" s="23" t="n"/>
    </row>
    <row r="71" ht="23" customHeight="1">
      <c r="A71" s="18" t="n"/>
      <c r="B71" s="23" t="n"/>
      <c r="C71" s="23" t="n"/>
      <c r="D71" s="44" t="n"/>
      <c r="E71" s="45" t="n"/>
      <c r="F71" s="42" t="str">
        <f>IF(COUNTA(B71:E71,G71:H71)=0,"",IF(OR(B71="",NOT(ISNUMBER(D71)),NOT(ISNUMBER(E71)),D71&lt;=0,E71&lt;0),"НЕ ЗАВЕРШЕНО",D71*E71))</f>
      </c>
      <c r="G71" s="23" t="n"/>
      <c r="H71" s="46" t="n"/>
      <c r="I71" s="42" t="str">
        <f>IF(F71="","",IF(OR(NOT(ISNUMBER(F71)),AND(H71&lt;&gt;"",OR(NOT(ISNUMBER(H71)),H71&lt;=0))),"НЕ ЗАВЕРШЕНО",F71*IF(H71="",1,H71)))</f>
      </c>
      <c r="J71" s="23" t="n"/>
    </row>
    <row r="72" ht="23" customHeight="1">
      <c r="A72" s="18" t="n"/>
      <c r="B72" s="23" t="n"/>
      <c r="C72" s="23" t="n"/>
      <c r="D72" s="44" t="n"/>
      <c r="E72" s="45" t="n"/>
      <c r="F72" s="42" t="str">
        <f>IF(COUNTA(B72:E72,G72:H72)=0,"",IF(OR(B72="",NOT(ISNUMBER(D72)),NOT(ISNUMBER(E72)),D72&lt;=0,E72&lt;0),"НЕ ЗАВЕРШЕНО",D72*E72))</f>
      </c>
      <c r="G72" s="23" t="n"/>
      <c r="H72" s="46" t="n"/>
      <c r="I72" s="42" t="str">
        <f>IF(F72="","",IF(OR(NOT(ISNUMBER(F72)),AND(H72&lt;&gt;"",OR(NOT(ISNUMBER(H72)),H72&lt;=0))),"НЕ ЗАВЕРШЕНО",F72*IF(H72="",1,H72)))</f>
      </c>
      <c r="J72" s="23" t="n"/>
    </row>
    <row r="73" ht="23" customHeight="1">
      <c r="A73" s="18" t="n"/>
      <c r="B73" s="23" t="n"/>
      <c r="C73" s="23" t="n"/>
      <c r="D73" s="44" t="n"/>
      <c r="E73" s="45" t="n"/>
      <c r="F73" s="42" t="str">
        <f>IF(COUNTA(B73:E73,G73:H73)=0,"",IF(OR(B73="",NOT(ISNUMBER(D73)),NOT(ISNUMBER(E73)),D73&lt;=0,E73&lt;0),"НЕ ЗАВЕРШЕНО",D73*E73))</f>
      </c>
      <c r="G73" s="23" t="n"/>
      <c r="H73" s="46" t="n"/>
      <c r="I73" s="42" t="str">
        <f>IF(F73="","",IF(OR(NOT(ISNUMBER(F73)),AND(H73&lt;&gt;"",OR(NOT(ISNUMBER(H73)),H73&lt;=0))),"НЕ ЗАВЕРШЕНО",F73*IF(H73="",1,H73)))</f>
      </c>
      <c r="J73" s="23" t="n"/>
    </row>
    <row r="74" ht="23" customHeight="1">
      <c r="A74" s="18" t="n"/>
      <c r="B74" s="23" t="n"/>
      <c r="C74" s="23" t="n"/>
      <c r="D74" s="44" t="n"/>
      <c r="E74" s="45" t="n"/>
      <c r="F74" s="42" t="str">
        <f>IF(COUNTA(B74:E74,G74:H74)=0,"",IF(OR(B74="",NOT(ISNUMBER(D74)),NOT(ISNUMBER(E74)),D74&lt;=0,E74&lt;0),"НЕ ЗАВЕРШЕНО",D74*E74))</f>
      </c>
      <c r="G74" s="23" t="n"/>
      <c r="H74" s="46" t="n"/>
      <c r="I74" s="42" t="str">
        <f>IF(F74="","",IF(OR(NOT(ISNUMBER(F74)),AND(H74&lt;&gt;"",OR(NOT(ISNUMBER(H74)),H74&lt;=0))),"НЕ ЗАВЕРШЕНО",F74*IF(H74="",1,H74)))</f>
      </c>
      <c r="J74" s="23" t="n"/>
    </row>
    <row r="75" ht="23" customHeight="1">
      <c r="A75" s="18" t="n"/>
      <c r="B75" s="23" t="n"/>
      <c r="C75" s="23" t="n"/>
      <c r="D75" s="44" t="n"/>
      <c r="E75" s="45" t="n"/>
      <c r="F75" s="42" t="str">
        <f>IF(COUNTA(B75:E75,G75:H75)=0,"",IF(OR(B75="",NOT(ISNUMBER(D75)),NOT(ISNUMBER(E75)),D75&lt;=0,E75&lt;0),"НЕ ЗАВЕРШЕНО",D75*E75))</f>
      </c>
      <c r="G75" s="23" t="n"/>
      <c r="H75" s="46" t="n"/>
      <c r="I75" s="42" t="str">
        <f>IF(F75="","",IF(OR(NOT(ISNUMBER(F75)),AND(H75&lt;&gt;"",OR(NOT(ISNUMBER(H75)),H75&lt;=0))),"НЕ ЗАВЕРШЕНО",F75*IF(H75="",1,H75)))</f>
      </c>
      <c r="J75" s="23" t="n"/>
    </row>
    <row r="76" ht="23" customHeight="1">
      <c r="A76" s="18" t="n"/>
      <c r="B76" s="23" t="n"/>
      <c r="C76" s="23" t="n"/>
      <c r="D76" s="44" t="n"/>
      <c r="E76" s="45" t="n"/>
      <c r="F76" s="42" t="str">
        <f>IF(COUNTA(B76:E76,G76:H76)=0,"",IF(OR(B76="",NOT(ISNUMBER(D76)),NOT(ISNUMBER(E76)),D76&lt;=0,E76&lt;0),"НЕ ЗАВЕРШЕНО",D76*E76))</f>
      </c>
      <c r="G76" s="23" t="n"/>
      <c r="H76" s="46" t="n"/>
      <c r="I76" s="42" t="str">
        <f>IF(F76="","",IF(OR(NOT(ISNUMBER(F76)),AND(H76&lt;&gt;"",OR(NOT(ISNUMBER(H76)),H76&lt;=0))),"НЕ ЗАВЕРШЕНО",F76*IF(H76="",1,H76)))</f>
      </c>
      <c r="J76" s="23" t="n"/>
    </row>
    <row r="77" ht="23" customHeight="1">
      <c r="A77" s="18" t="n"/>
      <c r="B77" s="23" t="n"/>
      <c r="C77" s="23" t="n"/>
      <c r="D77" s="44" t="n"/>
      <c r="E77" s="45" t="n"/>
      <c r="F77" s="42" t="str">
        <f>IF(COUNTA(B77:E77,G77:H77)=0,"",IF(OR(B77="",NOT(ISNUMBER(D77)),NOT(ISNUMBER(E77)),D77&lt;=0,E77&lt;0),"НЕ ЗАВЕРШЕНО",D77*E77))</f>
      </c>
      <c r="G77" s="23" t="n"/>
      <c r="H77" s="46" t="n"/>
      <c r="I77" s="42" t="str">
        <f>IF(F77="","",IF(OR(NOT(ISNUMBER(F77)),AND(H77&lt;&gt;"",OR(NOT(ISNUMBER(H77)),H77&lt;=0))),"НЕ ЗАВЕРШЕНО",F77*IF(H77="",1,H77)))</f>
      </c>
      <c r="J77" s="23" t="n"/>
    </row>
    <row r="78" ht="23" customHeight="1">
      <c r="A78" s="18" t="n"/>
      <c r="B78" s="23" t="n"/>
      <c r="C78" s="23" t="n"/>
      <c r="D78" s="44" t="n"/>
      <c r="E78" s="45" t="n"/>
      <c r="F78" s="42" t="str">
        <f>IF(COUNTA(B78:E78,G78:H78)=0,"",IF(OR(B78="",NOT(ISNUMBER(D78)),NOT(ISNUMBER(E78)),D78&lt;=0,E78&lt;0),"НЕ ЗАВЕРШЕНО",D78*E78))</f>
      </c>
      <c r="G78" s="23" t="n"/>
      <c r="H78" s="46" t="n"/>
      <c r="I78" s="42" t="str">
        <f>IF(F78="","",IF(OR(NOT(ISNUMBER(F78)),AND(H78&lt;&gt;"",OR(NOT(ISNUMBER(H78)),H78&lt;=0))),"НЕ ЗАВЕРШЕНО",F78*IF(H78="",1,H78)))</f>
      </c>
      <c r="J78" s="23" t="n"/>
    </row>
    <row r="79" ht="23" customHeight="1">
      <c r="A79" s="18" t="n"/>
      <c r="B79" s="23" t="n"/>
      <c r="C79" s="23" t="n"/>
      <c r="D79" s="44" t="n"/>
      <c r="E79" s="45" t="n"/>
      <c r="F79" s="42" t="str">
        <f>IF(COUNTA(B79:E79,G79:H79)=0,"",IF(OR(B79="",NOT(ISNUMBER(D79)),NOT(ISNUMBER(E79)),D79&lt;=0,E79&lt;0),"НЕ ЗАВЕРШЕНО",D79*E79))</f>
      </c>
      <c r="G79" s="23" t="n"/>
      <c r="H79" s="46" t="n"/>
      <c r="I79" s="42" t="str">
        <f>IF(F79="","",IF(OR(NOT(ISNUMBER(F79)),AND(H79&lt;&gt;"",OR(NOT(ISNUMBER(H79)),H79&lt;=0))),"НЕ ЗАВЕРШЕНО",F79*IF(H79="",1,H79)))</f>
      </c>
      <c r="J79" s="23" t="n"/>
    </row>
    <row r="80" ht="23" customHeight="1">
      <c r="A80" s="18" t="n"/>
      <c r="B80" s="23" t="n"/>
      <c r="C80" s="23" t="n"/>
      <c r="D80" s="44" t="n"/>
      <c r="E80" s="45" t="n"/>
      <c r="F80" s="42" t="str">
        <f>IF(COUNTA(B80:E80,G80:H80)=0,"",IF(OR(B80="",NOT(ISNUMBER(D80)),NOT(ISNUMBER(E80)),D80&lt;=0,E80&lt;0),"НЕ ЗАВЕРШЕНО",D80*E80))</f>
      </c>
      <c r="G80" s="23" t="n"/>
      <c r="H80" s="46" t="n"/>
      <c r="I80" s="42" t="str">
        <f>IF(F80="","",IF(OR(NOT(ISNUMBER(F80)),AND(H80&lt;&gt;"",OR(NOT(ISNUMBER(H80)),H80&lt;=0))),"НЕ ЗАВЕРШЕНО",F80*IF(H80="",1,H80)))</f>
      </c>
      <c r="J80" s="23" t="n"/>
    </row>
    <row r="81" ht="23" customHeight="1">
      <c r="A81" s="18" t="n"/>
      <c r="B81" s="23" t="n"/>
      <c r="C81" s="23" t="n"/>
      <c r="D81" s="44" t="n"/>
      <c r="E81" s="45" t="n"/>
      <c r="F81" s="42" t="str">
        <f>IF(COUNTA(B81:E81,G81:H81)=0,"",IF(OR(B81="",NOT(ISNUMBER(D81)),NOT(ISNUMBER(E81)),D81&lt;=0,E81&lt;0),"НЕ ЗАВЕРШЕНО",D81*E81))</f>
      </c>
      <c r="G81" s="23" t="n"/>
      <c r="H81" s="46" t="n"/>
      <c r="I81" s="42" t="str">
        <f>IF(F81="","",IF(OR(NOT(ISNUMBER(F81)),AND(H81&lt;&gt;"",OR(NOT(ISNUMBER(H81)),H81&lt;=0))),"НЕ ЗАВЕРШЕНО",F81*IF(H81="",1,H81)))</f>
      </c>
      <c r="J81" s="23" t="n"/>
    </row>
    <row r="82" ht="23" customHeight="1">
      <c r="A82" s="18" t="n"/>
      <c r="B82" s="23" t="n"/>
      <c r="C82" s="23" t="n"/>
      <c r="D82" s="44" t="n"/>
      <c r="E82" s="45" t="n"/>
      <c r="F82" s="42" t="str">
        <f>IF(COUNTA(B82:E82,G82:H82)=0,"",IF(OR(B82="",NOT(ISNUMBER(D82)),NOT(ISNUMBER(E82)),D82&lt;=0,E82&lt;0),"НЕ ЗАВЕРШЕНО",D82*E82))</f>
      </c>
      <c r="G82" s="23" t="n"/>
      <c r="H82" s="46" t="n"/>
      <c r="I82" s="42" t="str">
        <f>IF(F82="","",IF(OR(NOT(ISNUMBER(F82)),AND(H82&lt;&gt;"",OR(NOT(ISNUMBER(H82)),H82&lt;=0))),"НЕ ЗАВЕРШЕНО",F82*IF(H82="",1,H82)))</f>
      </c>
      <c r="J82" s="23" t="n"/>
    </row>
    <row r="83" ht="23" customHeight="1">
      <c r="A83" s="18" t="n"/>
      <c r="B83" s="23" t="n"/>
      <c r="C83" s="23" t="n"/>
      <c r="D83" s="44" t="n"/>
      <c r="E83" s="45" t="n"/>
      <c r="F83" s="42" t="str">
        <f>IF(COUNTA(B83:E83,G83:H83)=0,"",IF(OR(B83="",NOT(ISNUMBER(D83)),NOT(ISNUMBER(E83)),D83&lt;=0,E83&lt;0),"НЕ ЗАВЕРШЕНО",D83*E83))</f>
      </c>
      <c r="G83" s="23" t="n"/>
      <c r="H83" s="46" t="n"/>
      <c r="I83" s="42" t="str">
        <f>IF(F83="","",IF(OR(NOT(ISNUMBER(F83)),AND(H83&lt;&gt;"",OR(NOT(ISNUMBER(H83)),H83&lt;=0))),"НЕ ЗАВЕРШЕНО",F83*IF(H83="",1,H83)))</f>
      </c>
      <c r="J83" s="23" t="n"/>
    </row>
    <row r="84" ht="23" customHeight="1">
      <c r="A84" s="18" t="n"/>
      <c r="B84" s="23" t="n"/>
      <c r="C84" s="23" t="n"/>
      <c r="D84" s="44" t="n"/>
      <c r="E84" s="45" t="n"/>
      <c r="F84" s="42" t="str">
        <f>IF(COUNTA(B84:E84,G84:H84)=0,"",IF(OR(B84="",NOT(ISNUMBER(D84)),NOT(ISNUMBER(E84)),D84&lt;=0,E84&lt;0),"НЕ ЗАВЕРШЕНО",D84*E84))</f>
      </c>
      <c r="G84" s="23" t="n"/>
      <c r="H84" s="46" t="n"/>
      <c r="I84" s="42" t="str">
        <f>IF(F84="","",IF(OR(NOT(ISNUMBER(F84)),AND(H84&lt;&gt;"",OR(NOT(ISNUMBER(H84)),H84&lt;=0))),"НЕ ЗАВЕРШЕНО",F84*IF(H84="",1,H84)))</f>
      </c>
      <c r="J84" s="23" t="n"/>
    </row>
    <row r="85" ht="23" customHeight="1">
      <c r="A85" s="18" t="n"/>
      <c r="B85" s="23" t="n"/>
      <c r="C85" s="23" t="n"/>
      <c r="D85" s="44" t="n"/>
      <c r="E85" s="45" t="n"/>
      <c r="F85" s="42" t="str">
        <f>IF(COUNTA(B85:E85,G85:H85)=0,"",IF(OR(B85="",NOT(ISNUMBER(D85)),NOT(ISNUMBER(E85)),D85&lt;=0,E85&lt;0),"НЕ ЗАВЕРШЕНО",D85*E85))</f>
      </c>
      <c r="G85" s="23" t="n"/>
      <c r="H85" s="46" t="n"/>
      <c r="I85" s="42" t="str">
        <f>IF(F85="","",IF(OR(NOT(ISNUMBER(F85)),AND(H85&lt;&gt;"",OR(NOT(ISNUMBER(H85)),H85&lt;=0))),"НЕ ЗАВЕРШЕНО",F85*IF(H85="",1,H85)))</f>
      </c>
      <c r="J85" s="23" t="n"/>
    </row>
    <row r="86" ht="23" customHeight="1">
      <c r="A86" s="18" t="n"/>
      <c r="B86" s="23" t="n"/>
      <c r="C86" s="23" t="n"/>
      <c r="D86" s="44" t="n"/>
      <c r="E86" s="45" t="n"/>
      <c r="F86" s="42" t="str">
        <f>IF(COUNTA(B86:E86,G86:H86)=0,"",IF(OR(B86="",NOT(ISNUMBER(D86)),NOT(ISNUMBER(E86)),D86&lt;=0,E86&lt;0),"НЕ ЗАВЕРШЕНО",D86*E86))</f>
      </c>
      <c r="G86" s="23" t="n"/>
      <c r="H86" s="46" t="n"/>
      <c r="I86" s="42" t="str">
        <f>IF(F86="","",IF(OR(NOT(ISNUMBER(F86)),AND(H86&lt;&gt;"",OR(NOT(ISNUMBER(H86)),H86&lt;=0))),"НЕ ЗАВЕРШЕНО",F86*IF(H86="",1,H86)))</f>
      </c>
      <c r="J86" s="23" t="n"/>
    </row>
    <row r="87" ht="23" customHeight="1">
      <c r="A87" s="18" t="n"/>
      <c r="B87" s="23" t="n"/>
      <c r="C87" s="23" t="n"/>
      <c r="D87" s="44" t="n"/>
      <c r="E87" s="45" t="n"/>
      <c r="F87" s="42" t="str">
        <f>IF(COUNTA(B87:E87,G87:H87)=0,"",IF(OR(B87="",NOT(ISNUMBER(D87)),NOT(ISNUMBER(E87)),D87&lt;=0,E87&lt;0),"НЕ ЗАВЕРШЕНО",D87*E87))</f>
      </c>
      <c r="G87" s="23" t="n"/>
      <c r="H87" s="46" t="n"/>
      <c r="I87" s="42" t="str">
        <f>IF(F87="","",IF(OR(NOT(ISNUMBER(F87)),AND(H87&lt;&gt;"",OR(NOT(ISNUMBER(H87)),H87&lt;=0))),"НЕ ЗАВЕРШЕНО",F87*IF(H87="",1,H87)))</f>
      </c>
      <c r="J87" s="23" t="n"/>
    </row>
    <row r="88" ht="23" customHeight="1">
      <c r="A88" s="18" t="n"/>
      <c r="B88" s="23" t="n"/>
      <c r="C88" s="23" t="n"/>
      <c r="D88" s="44" t="n"/>
      <c r="E88" s="45" t="n"/>
      <c r="F88" s="42" t="str">
        <f>IF(COUNTA(B88:E88,G88:H88)=0,"",IF(OR(B88="",NOT(ISNUMBER(D88)),NOT(ISNUMBER(E88)),D88&lt;=0,E88&lt;0),"НЕ ЗАВЕРШЕНО",D88*E88))</f>
      </c>
      <c r="G88" s="23" t="n"/>
      <c r="H88" s="46" t="n"/>
      <c r="I88" s="42" t="str">
        <f>IF(F88="","",IF(OR(NOT(ISNUMBER(F88)),AND(H88&lt;&gt;"",OR(NOT(ISNUMBER(H88)),H88&lt;=0))),"НЕ ЗАВЕРШЕНО",F88*IF(H88="",1,H88)))</f>
      </c>
      <c r="J88" s="23" t="n"/>
    </row>
    <row r="89" ht="23" customHeight="1">
      <c r="A89" s="18" t="n"/>
      <c r="B89" s="23" t="n"/>
      <c r="C89" s="23" t="n"/>
      <c r="D89" s="44" t="n"/>
      <c r="E89" s="45" t="n"/>
      <c r="F89" s="42" t="str">
        <f>IF(COUNTA(B89:E89,G89:H89)=0,"",IF(OR(B89="",NOT(ISNUMBER(D89)),NOT(ISNUMBER(E89)),D89&lt;=0,E89&lt;0),"НЕ ЗАВЕРШЕНО",D89*E89))</f>
      </c>
      <c r="G89" s="23" t="n"/>
      <c r="H89" s="46" t="n"/>
      <c r="I89" s="42" t="str">
        <f>IF(F89="","",IF(OR(NOT(ISNUMBER(F89)),AND(H89&lt;&gt;"",OR(NOT(ISNUMBER(H89)),H89&lt;=0))),"НЕ ЗАВЕРШЕНО",F89*IF(H89="",1,H89)))</f>
      </c>
      <c r="J89" s="23" t="n"/>
    </row>
    <row r="90" ht="23" customHeight="1">
      <c r="A90" s="18" t="n"/>
      <c r="B90" s="23" t="n"/>
      <c r="C90" s="23" t="n"/>
      <c r="D90" s="44" t="n"/>
      <c r="E90" s="45" t="n"/>
      <c r="F90" s="42" t="str">
        <f>IF(COUNTA(B90:E90,G90:H90)=0,"",IF(OR(B90="",NOT(ISNUMBER(D90)),NOT(ISNUMBER(E90)),D90&lt;=0,E90&lt;0),"НЕ ЗАВЕРШЕНО",D90*E90))</f>
      </c>
      <c r="G90" s="23" t="n"/>
      <c r="H90" s="46" t="n"/>
      <c r="I90" s="42" t="str">
        <f>IF(F90="","",IF(OR(NOT(ISNUMBER(F90)),AND(H90&lt;&gt;"",OR(NOT(ISNUMBER(H90)),H90&lt;=0))),"НЕ ЗАВЕРШЕНО",F90*IF(H90="",1,H90)))</f>
      </c>
      <c r="J90" s="23" t="n"/>
    </row>
    <row r="91" ht="23" customHeight="1">
      <c r="A91" s="18" t="n"/>
      <c r="B91" s="23" t="n"/>
      <c r="C91" s="23" t="n"/>
      <c r="D91" s="44" t="n"/>
      <c r="E91" s="45" t="n"/>
      <c r="F91" s="42" t="str">
        <f>IF(COUNTA(B91:E91,G91:H91)=0,"",IF(OR(B91="",NOT(ISNUMBER(D91)),NOT(ISNUMBER(E91)),D91&lt;=0,E91&lt;0),"НЕ ЗАВЕРШЕНО",D91*E91))</f>
      </c>
      <c r="G91" s="23" t="n"/>
      <c r="H91" s="46" t="n"/>
      <c r="I91" s="42" t="str">
        <f>IF(F91="","",IF(OR(NOT(ISNUMBER(F91)),AND(H91&lt;&gt;"",OR(NOT(ISNUMBER(H91)),H91&lt;=0))),"НЕ ЗАВЕРШЕНО",F91*IF(H91="",1,H91)))</f>
      </c>
      <c r="J91" s="23" t="n"/>
    </row>
    <row r="92" ht="23" customHeight="1">
      <c r="A92" s="18" t="n"/>
      <c r="B92" s="23" t="n"/>
      <c r="C92" s="23" t="n"/>
      <c r="D92" s="44" t="n"/>
      <c r="E92" s="45" t="n"/>
      <c r="F92" s="42" t="str">
        <f>IF(COUNTA(B92:E92,G92:H92)=0,"",IF(OR(B92="",NOT(ISNUMBER(D92)),NOT(ISNUMBER(E92)),D92&lt;=0,E92&lt;0),"НЕ ЗАВЕРШЕНО",D92*E92))</f>
      </c>
      <c r="G92" s="23" t="n"/>
      <c r="H92" s="46" t="n"/>
      <c r="I92" s="42" t="str">
        <f>IF(F92="","",IF(OR(NOT(ISNUMBER(F92)),AND(H92&lt;&gt;"",OR(NOT(ISNUMBER(H92)),H92&lt;=0))),"НЕ ЗАВЕРШЕНО",F92*IF(H92="",1,H92)))</f>
      </c>
      <c r="J92" s="23" t="n"/>
    </row>
    <row r="93" ht="23" customHeight="1">
      <c r="A93" s="18" t="n"/>
      <c r="B93" s="23" t="n"/>
      <c r="C93" s="23" t="n"/>
      <c r="D93" s="44" t="n"/>
      <c r="E93" s="45" t="n"/>
      <c r="F93" s="42" t="str">
        <f>IF(COUNTA(B93:E93,G93:H93)=0,"",IF(OR(B93="",NOT(ISNUMBER(D93)),NOT(ISNUMBER(E93)),D93&lt;=0,E93&lt;0),"НЕ ЗАВЕРШЕНО",D93*E93))</f>
      </c>
      <c r="G93" s="23" t="n"/>
      <c r="H93" s="46" t="n"/>
      <c r="I93" s="42" t="str">
        <f>IF(F93="","",IF(OR(NOT(ISNUMBER(F93)),AND(H93&lt;&gt;"",OR(NOT(ISNUMBER(H93)),H93&lt;=0))),"НЕ ЗАВЕРШЕНО",F93*IF(H93="",1,H93)))</f>
      </c>
      <c r="J93" s="23" t="n"/>
    </row>
    <row r="94" ht="23" customHeight="1">
      <c r="A94" s="18" t="n"/>
      <c r="B94" s="23" t="n"/>
      <c r="C94" s="23" t="n"/>
      <c r="D94" s="44" t="n"/>
      <c r="E94" s="45" t="n"/>
      <c r="F94" s="42" t="str">
        <f>IF(COUNTA(B94:E94,G94:H94)=0,"",IF(OR(B94="",NOT(ISNUMBER(D94)),NOT(ISNUMBER(E94)),D94&lt;=0,E94&lt;0),"НЕ ЗАВЕРШЕНО",D94*E94))</f>
      </c>
      <c r="G94" s="23" t="n"/>
      <c r="H94" s="46" t="n"/>
      <c r="I94" s="42" t="str">
        <f>IF(F94="","",IF(OR(NOT(ISNUMBER(F94)),AND(H94&lt;&gt;"",OR(NOT(ISNUMBER(H94)),H94&lt;=0))),"НЕ ЗАВЕРШЕНО",F94*IF(H94="",1,H94)))</f>
      </c>
      <c r="J94" s="23" t="n"/>
    </row>
    <row r="95" ht="23" customHeight="1">
      <c r="A95" s="18" t="n"/>
      <c r="B95" s="23" t="n"/>
      <c r="C95" s="23" t="n"/>
      <c r="D95" s="44" t="n"/>
      <c r="E95" s="45" t="n"/>
      <c r="F95" s="42" t="str">
        <f>IF(COUNTA(B95:E95,G95:H95)=0,"",IF(OR(B95="",NOT(ISNUMBER(D95)),NOT(ISNUMBER(E95)),D95&lt;=0,E95&lt;0),"НЕ ЗАВЕРШЕНО",D95*E95))</f>
      </c>
      <c r="G95" s="23" t="n"/>
      <c r="H95" s="46" t="n"/>
      <c r="I95" s="42" t="str">
        <f>IF(F95="","",IF(OR(NOT(ISNUMBER(F95)),AND(H95&lt;&gt;"",OR(NOT(ISNUMBER(H95)),H95&lt;=0))),"НЕ ЗАВЕРШЕНО",F95*IF(H95="",1,H95)))</f>
      </c>
      <c r="J95" s="23" t="n"/>
    </row>
    <row r="96" ht="23" customHeight="1">
      <c r="A96" s="18" t="n"/>
      <c r="B96" s="23" t="n"/>
      <c r="C96" s="23" t="n"/>
      <c r="D96" s="44" t="n"/>
      <c r="E96" s="45" t="n"/>
      <c r="F96" s="42" t="str">
        <f>IF(COUNTA(B96:E96,G96:H96)=0,"",IF(OR(B96="",NOT(ISNUMBER(D96)),NOT(ISNUMBER(E96)),D96&lt;=0,E96&lt;0),"НЕ ЗАВЕРШЕНО",D96*E96))</f>
      </c>
      <c r="G96" s="23" t="n"/>
      <c r="H96" s="46" t="n"/>
      <c r="I96" s="42" t="str">
        <f>IF(F96="","",IF(OR(NOT(ISNUMBER(F96)),AND(H96&lt;&gt;"",OR(NOT(ISNUMBER(H96)),H96&lt;=0))),"НЕ ЗАВЕРШЕНО",F96*IF(H96="",1,H96)))</f>
      </c>
      <c r="J96" s="23" t="n"/>
    </row>
    <row r="97" ht="23" customHeight="1">
      <c r="A97" s="18" t="n"/>
      <c r="B97" s="23" t="n"/>
      <c r="C97" s="23" t="n"/>
      <c r="D97" s="44" t="n"/>
      <c r="E97" s="45" t="n"/>
      <c r="F97" s="42" t="str">
        <f>IF(COUNTA(B97:E97,G97:H97)=0,"",IF(OR(B97="",NOT(ISNUMBER(D97)),NOT(ISNUMBER(E97)),D97&lt;=0,E97&lt;0),"НЕ ЗАВЕРШЕНО",D97*E97))</f>
      </c>
      <c r="G97" s="23" t="n"/>
      <c r="H97" s="46" t="n"/>
      <c r="I97" s="42" t="str">
        <f>IF(F97="","",IF(OR(NOT(ISNUMBER(F97)),AND(H97&lt;&gt;"",OR(NOT(ISNUMBER(H97)),H97&lt;=0))),"НЕ ЗАВЕРШЕНО",F97*IF(H97="",1,H97)))</f>
      </c>
      <c r="J97" s="23" t="n"/>
    </row>
    <row r="98" ht="23" customHeight="1">
      <c r="A98" s="18" t="n"/>
      <c r="B98" s="23" t="n"/>
      <c r="C98" s="23" t="n"/>
      <c r="D98" s="44" t="n"/>
      <c r="E98" s="45" t="n"/>
      <c r="F98" s="42" t="str">
        <f>IF(COUNTA(B98:E98,G98:H98)=0,"",IF(OR(B98="",NOT(ISNUMBER(D98)),NOT(ISNUMBER(E98)),D98&lt;=0,E98&lt;0),"НЕ ЗАВЕРШЕНО",D98*E98))</f>
      </c>
      <c r="G98" s="23" t="n"/>
      <c r="H98" s="46" t="n"/>
      <c r="I98" s="42" t="str">
        <f>IF(F98="","",IF(OR(NOT(ISNUMBER(F98)),AND(H98&lt;&gt;"",OR(NOT(ISNUMBER(H98)),H98&lt;=0))),"НЕ ЗАВЕРШЕНО",F98*IF(H98="",1,H98)))</f>
      </c>
      <c r="J98" s="23" t="n"/>
    </row>
    <row r="99" ht="23" customHeight="1">
      <c r="A99" s="18" t="n"/>
      <c r="B99" s="23" t="n"/>
      <c r="C99" s="23" t="n"/>
      <c r="D99" s="44" t="n"/>
      <c r="E99" s="45" t="n"/>
      <c r="F99" s="42" t="str">
        <f>IF(COUNTA(B99:E99,G99:H99)=0,"",IF(OR(B99="",NOT(ISNUMBER(D99)),NOT(ISNUMBER(E99)),D99&lt;=0,E99&lt;0),"НЕ ЗАВЕРШЕНО",D99*E99))</f>
      </c>
      <c r="G99" s="23" t="n"/>
      <c r="H99" s="46" t="n"/>
      <c r="I99" s="42" t="str">
        <f>IF(F99="","",IF(OR(NOT(ISNUMBER(F99)),AND(H99&lt;&gt;"",OR(NOT(ISNUMBER(H99)),H99&lt;=0))),"НЕ ЗАВЕРШЕНО",F99*IF(H99="",1,H99)))</f>
      </c>
      <c r="J99" s="23" t="n"/>
    </row>
    <row r="100" ht="23" customHeight="1">
      <c r="A100" s="18" t="n"/>
      <c r="B100" s="23" t="n"/>
      <c r="C100" s="23" t="n"/>
      <c r="D100" s="44" t="n"/>
      <c r="E100" s="45" t="n"/>
      <c r="F100" s="42" t="str">
        <f>IF(COUNTA(B100:E100,G100:H100)=0,"",IF(OR(B100="",NOT(ISNUMBER(D100)),NOT(ISNUMBER(E100)),D100&lt;=0,E100&lt;0),"НЕ ЗАВЕРШЕНО",D100*E100))</f>
      </c>
      <c r="G100" s="23" t="n"/>
      <c r="H100" s="46" t="n"/>
      <c r="I100" s="42" t="str">
        <f>IF(F100="","",IF(OR(NOT(ISNUMBER(F100)),AND(H100&lt;&gt;"",OR(NOT(ISNUMBER(H100)),H100&lt;=0))),"НЕ ЗАВЕРШЕНО",F100*IF(H100="",1,H100)))</f>
      </c>
      <c r="J100" s="23" t="n"/>
    </row>
    <row r="101" ht="23" customHeight="1">
      <c r="A101" s="18" t="n"/>
      <c r="B101" s="23" t="n"/>
      <c r="C101" s="23" t="n"/>
      <c r="D101" s="44" t="n"/>
      <c r="E101" s="45" t="n"/>
      <c r="F101" s="42" t="str">
        <f>IF(COUNTA(B101:E101,G101:H101)=0,"",IF(OR(B101="",NOT(ISNUMBER(D101)),NOT(ISNUMBER(E101)),D101&lt;=0,E101&lt;0),"НЕ ЗАВЕРШЕНО",D101*E101))</f>
      </c>
      <c r="G101" s="23" t="n"/>
      <c r="H101" s="46" t="n"/>
      <c r="I101" s="42" t="str">
        <f>IF(F101="","",IF(OR(NOT(ISNUMBER(F101)),AND(H101&lt;&gt;"",OR(NOT(ISNUMBER(H101)),H101&lt;=0))),"НЕ ЗАВЕРШЕНО",F101*IF(H101="",1,H101)))</f>
      </c>
      <c r="J101" s="23" t="n"/>
    </row>
    <row r="102" ht="23" customHeight="1">
      <c r="A102" s="18" t="n"/>
      <c r="B102" s="23" t="n"/>
      <c r="C102" s="23" t="n"/>
      <c r="D102" s="44" t="n"/>
      <c r="E102" s="45" t="n"/>
      <c r="F102" s="42" t="str">
        <f>IF(COUNTA(B102:E102,G102:H102)=0,"",IF(OR(B102="",NOT(ISNUMBER(D102)),NOT(ISNUMBER(E102)),D102&lt;=0,E102&lt;0),"НЕ ЗАВЕРШЕНО",D102*E102))</f>
      </c>
      <c r="G102" s="23" t="n"/>
      <c r="H102" s="46" t="n"/>
      <c r="I102" s="42" t="str">
        <f>IF(F102="","",IF(OR(NOT(ISNUMBER(F102)),AND(H102&lt;&gt;"",OR(NOT(ISNUMBER(H102)),H102&lt;=0))),"НЕ ЗАВЕРШЕНО",F102*IF(H102="",1,H102)))</f>
      </c>
      <c r="J102" s="23" t="n"/>
    </row>
    <row r="103" ht="23" customHeight="1">
      <c r="A103" s="19" t="n"/>
      <c r="B103" s="24" t="n"/>
      <c r="C103" s="24" t="n"/>
      <c r="D103" s="47" t="n"/>
      <c r="E103" s="48" t="n"/>
      <c r="F103" s="42" t="str">
        <f>IF(COUNTA(B103:E103,G103:H103)=0,"",IF(OR(B103="",NOT(ISNUMBER(D103)),NOT(ISNUMBER(E103)),D103&lt;=0,E103&lt;0),"НЕ ЗАВЕРШЕНО",D103*E103))</f>
      </c>
      <c r="G103" s="24" t="n"/>
      <c r="H103" s="49" t="n"/>
      <c r="I103" s="42" t="str">
        <f>IF(F103="","",IF(OR(NOT(ISNUMBER(F103)),AND(H103&lt;&gt;"",OR(NOT(ISNUMBER(H103)),H103&lt;=0))),"НЕ ЗАВЕРШЕНО",F103*IF(H103="",1,H103)))</f>
      </c>
      <c r="J103" s="24" t="n"/>
    </row>
    <row r="104" ht="23" customHeight="1">
      <c r="A104" s="16" t="str">
        <f>IF(COUNTA(B4:E103,G4:H103)=0,"НЕТ ДАННЫХ",IF(COUNTIF(I4:I103,"НЕ ЗАВЕРШЕНО")&gt;0,"Предварительно; неполных: "&amp;COUNTIF(I4:I103,"НЕ ЗАВЕРШЕНО"),"Позиции заполнены"))</f>
        <v>НЕТ ДАННЫХ</v>
      </c>
      <c r="B104" s="16" t="n"/>
      <c r="C104" s="16" t="n"/>
      <c r="D104" s="16" t="n"/>
      <c r="E104" s="50" t="n"/>
      <c r="F104" s="51">
        <f>SUM(F4:F103)</f>
        <v/>
      </c>
      <c r="G104" s="37" t="n"/>
      <c r="H104" s="38" t="inlineStr">
        <is>
          <t>Итого</t>
        </is>
      </c>
      <c r="I104" s="52">
        <f>SUM(I4:I103)</f>
        <v/>
      </c>
      <c r="J104" s="16" t="n"/>
    </row>
    <row r="106" ht="18" customHeight="1">
      <c r="A106" s="17" t="inlineStr">
        <is>
          <t xml:space="preserve">Подрядчик</t>
        </is>
      </c>
      <c r="F106" s="17" t="inlineStr">
        <is>
          <t xml:space="preserve">Заказчик</t>
        </is>
      </c>
    </row>
    <row r="107" ht="60" customHeight="1">
      <c r="A107" s="17" t="inlineStr">
        <is>
          <t xml:space="preserve">{{ДОЛЖНОСТЬ_ФИО_ПОЛНОМОЧИЯ}}
Подпись __________________
Дата __________________</t>
        </is>
      </c>
      <c r="F107" s="17" t="inlineStr">
        <is>
          <t xml:space="preserve">{{ДОЛЖНОСТЬ_ФИО_ПОЛНОМОЧИЯ}}
Подпись __________________
Дата __________________</t>
        </is>
      </c>
    </row>
  </sheetData>
  <mergeCells count="6">
    <mergeCell ref="A1:J1"/>
    <mergeCell ref="A2:J2"/>
    <mergeCell ref="A106:E106"/>
    <mergeCell ref="F106:J106"/>
    <mergeCell ref="A107:E107"/>
    <mergeCell ref="F107:J107"/>
  </mergeCells>
  <pageMargins left="0.7" right="0.7" top="0.75" bottom="0.75" header="0.3" footer="0.3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1" t="inlineStr">
        <is>
          <t>Расчёт стоимости дополнительных работ</t>
        </is>
      </c>
    </row>
    <row r="3" ht="135" customHeight="1">
      <c r="A3" s="6" t="inlineStr">
        <is>
          <t xml:space="preserve">По каждой позиции укажите работу или ресурс, единицу измерения, количество, цену и источник цены с номером и датой документа. Коэффициент 1,15 увеличивает стоимость на 15%; пустая ячейка коэффициента учитывается как 1. Проверьте суммы, договорные реквизиты и подписи. Приложите согласованный расчёт к соглашению 11.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pageSetUpPr fitToPage="1"/>
  </sheetPr>
  <dimension ref="A1:K108"/>
  <sheetViews>
    <sheetView workbookViewId="0" showGridLines="0"/>
  </sheetViews>
  <sheetFormatPr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4" customWidth="1" min="8" max="8"/>
    <col width="24" customWidth="1" min="9" max="9"/>
    <col width="14" customWidth="1" min="10" max="10"/>
    <col min="11" max="11" width="8" hidden="1" customWidth="1"/>
  </cols>
  <sheetData>
    <row r="1">
      <c r="A1" s="9" t="inlineStr">
        <is>
          <t>Расчёт стоимости дополнительных работ</t>
        </is>
      </c>
    </row>
    <row r="2" ht="54" customHeight="1">
      <c r="A2" s="53" t="inlineStr">
        <is>
          <t xml:space="preserve">Расчёт № {{НОМЕР}} от {{ДАТА}} к договору № {{НОМЕР_ДОГОВОРА}} от {{ДАТА_ДОГОВОРА}}.
Объект: {{ОБЪЕКТ}}. Подрядчик: {{ПОДРЯДЧИК}}. Заказчик: {{ЗАКАЗЧИК}}.</t>
        </is>
      </c>
    </row>
    <row r="3" ht="28" customHeight="1">
      <c r="A3" s="16">
        <f>"Статус: "&amp;'Реестр'!A104&amp;"  |  Количество позиций: "&amp;$K$3</f>
      </c>
      <c r="K3">
        <f>COUNT($K$5:$K$104)</f>
      </c>
    </row>
    <row r="4" ht="26" customHeight="1">
      <c r="A4" s="12" t="inlineStr">
        <is>
          <t>№</t>
        </is>
      </c>
      <c r="B4" s="12" t="inlineStr">
        <is>
          <t>Работа/ресурс</t>
        </is>
      </c>
      <c r="C4" s="12" t="inlineStr">
        <is>
          <t>Ед.</t>
        </is>
      </c>
      <c r="D4" s="12" t="inlineStr">
        <is>
          <t>Кол-во</t>
        </is>
      </c>
      <c r="E4" s="12" t="inlineStr">
        <is>
          <t>Цена</t>
        </is>
      </c>
      <c r="F4" s="12" t="inlineStr">
        <is>
          <t>Сумма</t>
        </is>
      </c>
      <c r="G4" s="12" t="inlineStr">
        <is>
          <t>Источник цены</t>
        </is>
      </c>
      <c r="H4" s="12" t="inlineStr">
        <is>
          <t>Коэффициент</t>
        </is>
      </c>
      <c r="I4" s="12" t="inlineStr">
        <is>
          <t>Итого с коэффициентом</t>
        </is>
      </c>
      <c r="J4" s="12" t="inlineStr">
        <is>
          <t>Комментарий</t>
        </is>
      </c>
    </row>
    <row r="5" ht="24" customHeight="1">
      <c r="A5" s="17">
        <f>IF(ISNUMBER($K5),$K5,"")</f>
      </c>
      <c r="B5" s="22">
        <f>IF(ISNUMBER($K5),IF(INDEX('Реестр'!$B$4:$B$103,$K5)="","",INDEX('Реестр'!$B$4:$B$103,$K5)),IF(ROW()=$K$3+5,"ИТОГО",IF(ROW()=$K$3+6,"ПОДРЯДЧИК",IF(ROW()=$K$3+7,"Должн./ФИО:",IF(ROW()=$K$3+8,"Подпись:","")))))</f>
      </c>
      <c r="C5" s="22">
        <f>IF(ISNUMBER($K5),IF(INDEX('Реестр'!$C$4:$C$103,$K5)="","",INDEX('Реестр'!$C$4:$C$103,$K5)),IF(ROW()=$K$3+7,"________________",IF(ROW()=$K$3+8,"________________","")))</f>
      </c>
      <c r="D5" s="40">
        <f>IF(ISNUMBER($K5),IF(INDEX('Реестр'!$D$4:$D$103,$K5)="","",INDEX('Реестр'!$D$4:$D$103,$K5)),IF(ROW()=$K$3+8,"Дата:",""))</f>
      </c>
      <c r="E5" s="41">
        <f>IF(ISNUMBER($K5),IF(INDEX('Реестр'!$E$4:$E$103,$K5)="","",INDEX('Реестр'!$E$4:$E$103,$K5)),IF(ROW()=$K$3+8,"____________",""))</f>
      </c>
      <c r="F5" s="42">
        <f>IF(ISNUMBER($K5),IF(INDEX('Реестр'!$F$4:$F$103,$K5)="","",INDEX('Реестр'!$F$4:$F$103,$K5)),IF(ROW()=$K$3+5,'Реестр'!F104,""))</f>
      </c>
      <c r="G5" s="22">
        <f>IF(ISNUMBER($K5),IF(INDEX('Реестр'!$G$4:$G$103,$K5)="","",INDEX('Реестр'!$G$4:$G$103,$K5)),IF(ROW()=$K$3+6,"ЗАКАЗЧИК",IF(ROW()=$K$3+7,"Должн./ФИО:",IF(ROW()=$K$3+8,"Подпись:",""))))</f>
      </c>
      <c r="H5" s="43">
        <f>IF(ISNUMBER($K5),IF(INDEX('Реестр'!$H$4:$H$103,$K5)="","",INDEX('Реестр'!$H$4:$H$103,$K5)),IF(ROW()=$K$3+7,"________________",IF(ROW()=$K$3+8,"________________","")))</f>
      </c>
      <c r="I5" s="42">
        <f>IF(ISNUMBER($K5),IF(INDEX('Реестр'!$I$4:$I$103,$K5)="","",INDEX('Реестр'!$I$4:$I$103,$K5)),IF(ROW()=$K$3+5,'Реестр'!I104,IF(ROW()=$K$3+8,"Дата:","")))</f>
      </c>
      <c r="J5" s="22">
        <f>IF(ISNUMBER($K5),IF(INDEX('Реестр'!$J$4:$J$103,$K5)="","",INDEX('Реестр'!$J$4:$J$103,$K5)),IF(ROW()=$K$3+8,"____________",""))</f>
      </c>
      <c r="K5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5)),"")</f>
      </c>
    </row>
    <row r="6" ht="24" customHeight="1">
      <c r="A6" s="18">
        <f>IF(ISNUMBER($K6),$K6,"")</f>
      </c>
      <c r="B6" s="23">
        <f>IF(ISNUMBER($K6),IF(INDEX('Реестр'!$B$4:$B$103,$K6)="","",INDEX('Реестр'!$B$4:$B$103,$K6)),IF(ROW()=$K$3+5,"ИТОГО",IF(ROW()=$K$3+6,"ПОДРЯДЧИК",IF(ROW()=$K$3+7,"Должн./ФИО:",IF(ROW()=$K$3+8,"Подпись:","")))))</f>
      </c>
      <c r="C6" s="23">
        <f>IF(ISNUMBER($K6),IF(INDEX('Реестр'!$C$4:$C$103,$K6)="","",INDEX('Реестр'!$C$4:$C$103,$K6)),IF(ROW()=$K$3+7,"________________",IF(ROW()=$K$3+8,"________________","")))</f>
      </c>
      <c r="D6" s="44">
        <f>IF(ISNUMBER($K6),IF(INDEX('Реестр'!$D$4:$D$103,$K6)="","",INDEX('Реестр'!$D$4:$D$103,$K6)),IF(ROW()=$K$3+8,"Дата:",""))</f>
      </c>
      <c r="E6" s="45">
        <f>IF(ISNUMBER($K6),IF(INDEX('Реестр'!$E$4:$E$103,$K6)="","",INDEX('Реестр'!$E$4:$E$103,$K6)),IF(ROW()=$K$3+8,"____________",""))</f>
      </c>
      <c r="F6" s="42">
        <f>IF(ISNUMBER($K6),IF(INDEX('Реестр'!$F$4:$F$103,$K6)="","",INDEX('Реестр'!$F$4:$F$103,$K6)),IF(ROW()=$K$3+5,'Реестр'!F104,""))</f>
      </c>
      <c r="G6" s="23">
        <f>IF(ISNUMBER($K6),IF(INDEX('Реестр'!$G$4:$G$103,$K6)="","",INDEX('Реестр'!$G$4:$G$103,$K6)),IF(ROW()=$K$3+6,"ЗАКАЗЧИК",IF(ROW()=$K$3+7,"Должн./ФИО:",IF(ROW()=$K$3+8,"Подпись:",""))))</f>
      </c>
      <c r="H6" s="46">
        <f>IF(ISNUMBER($K6),IF(INDEX('Реестр'!$H$4:$H$103,$K6)="","",INDEX('Реестр'!$H$4:$H$103,$K6)),IF(ROW()=$K$3+7,"________________",IF(ROW()=$K$3+8,"________________","")))</f>
      </c>
      <c r="I6" s="42">
        <f>IF(ISNUMBER($K6),IF(INDEX('Реестр'!$I$4:$I$103,$K6)="","",INDEX('Реестр'!$I$4:$I$103,$K6)),IF(ROW()=$K$3+5,'Реестр'!I104,IF(ROW()=$K$3+8,"Дата:","")))</f>
      </c>
      <c r="J6" s="23">
        <f>IF(ISNUMBER($K6),IF(INDEX('Реестр'!$J$4:$J$103,$K6)="","",INDEX('Реестр'!$J$4:$J$103,$K6)),IF(ROW()=$K$3+8,"____________",""))</f>
      </c>
      <c r="K6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6)),"")</f>
      </c>
    </row>
    <row r="7" ht="24" customHeight="1">
      <c r="A7" s="17">
        <f>IF(ISNUMBER($K7),$K7,"")</f>
      </c>
      <c r="B7" s="22">
        <f>IF(ISNUMBER($K7),IF(INDEX('Реестр'!$B$4:$B$103,$K7)="","",INDEX('Реестр'!$B$4:$B$103,$K7)),IF(ROW()=$K$3+5,"ИТОГО",IF(ROW()=$K$3+6,"ПОДРЯДЧИК",IF(ROW()=$K$3+7,"Должн./ФИО:",IF(ROW()=$K$3+8,"Подпись:","")))))</f>
      </c>
      <c r="C7" s="22">
        <f>IF(ISNUMBER($K7),IF(INDEX('Реестр'!$C$4:$C$103,$K7)="","",INDEX('Реестр'!$C$4:$C$103,$K7)),IF(ROW()=$K$3+7,"________________",IF(ROW()=$K$3+8,"________________","")))</f>
      </c>
      <c r="D7" s="40">
        <f>IF(ISNUMBER($K7),IF(INDEX('Реестр'!$D$4:$D$103,$K7)="","",INDEX('Реестр'!$D$4:$D$103,$K7)),IF(ROW()=$K$3+8,"Дата:",""))</f>
      </c>
      <c r="E7" s="41">
        <f>IF(ISNUMBER($K7),IF(INDEX('Реестр'!$E$4:$E$103,$K7)="","",INDEX('Реестр'!$E$4:$E$103,$K7)),IF(ROW()=$K$3+8,"____________",""))</f>
      </c>
      <c r="F7" s="42">
        <f>IF(ISNUMBER($K7),IF(INDEX('Реестр'!$F$4:$F$103,$K7)="","",INDEX('Реестр'!$F$4:$F$103,$K7)),IF(ROW()=$K$3+5,'Реестр'!F104,""))</f>
      </c>
      <c r="G7" s="22">
        <f>IF(ISNUMBER($K7),IF(INDEX('Реестр'!$G$4:$G$103,$K7)="","",INDEX('Реестр'!$G$4:$G$103,$K7)),IF(ROW()=$K$3+6,"ЗАКАЗЧИК",IF(ROW()=$K$3+7,"Должн./ФИО:",IF(ROW()=$K$3+8,"Подпись:",""))))</f>
      </c>
      <c r="H7" s="43">
        <f>IF(ISNUMBER($K7),IF(INDEX('Реестр'!$H$4:$H$103,$K7)="","",INDEX('Реестр'!$H$4:$H$103,$K7)),IF(ROW()=$K$3+7,"________________",IF(ROW()=$K$3+8,"________________","")))</f>
      </c>
      <c r="I7" s="42">
        <f>IF(ISNUMBER($K7),IF(INDEX('Реестр'!$I$4:$I$103,$K7)="","",INDEX('Реестр'!$I$4:$I$103,$K7)),IF(ROW()=$K$3+5,'Реестр'!I104,IF(ROW()=$K$3+8,"Дата:","")))</f>
      </c>
      <c r="J7" s="22">
        <f>IF(ISNUMBER($K7),IF(INDEX('Реестр'!$J$4:$J$103,$K7)="","",INDEX('Реестр'!$J$4:$J$103,$K7)),IF(ROW()=$K$3+8,"____________",""))</f>
      </c>
      <c r="K7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7)),"")</f>
      </c>
    </row>
    <row r="8" ht="24" customHeight="1">
      <c r="A8" s="18">
        <f>IF(ISNUMBER($K8),$K8,"")</f>
      </c>
      <c r="B8" s="23">
        <f>IF(ISNUMBER($K8),IF(INDEX('Реестр'!$B$4:$B$103,$K8)="","",INDEX('Реестр'!$B$4:$B$103,$K8)),IF(ROW()=$K$3+5,"ИТОГО",IF(ROW()=$K$3+6,"ПОДРЯДЧИК",IF(ROW()=$K$3+7,"Должн./ФИО:",IF(ROW()=$K$3+8,"Подпись:","")))))</f>
      </c>
      <c r="C8" s="23">
        <f>IF(ISNUMBER($K8),IF(INDEX('Реестр'!$C$4:$C$103,$K8)="","",INDEX('Реестр'!$C$4:$C$103,$K8)),IF(ROW()=$K$3+7,"________________",IF(ROW()=$K$3+8,"________________","")))</f>
      </c>
      <c r="D8" s="44">
        <f>IF(ISNUMBER($K8),IF(INDEX('Реестр'!$D$4:$D$103,$K8)="","",INDEX('Реестр'!$D$4:$D$103,$K8)),IF(ROW()=$K$3+8,"Дата:",""))</f>
      </c>
      <c r="E8" s="45">
        <f>IF(ISNUMBER($K8),IF(INDEX('Реестр'!$E$4:$E$103,$K8)="","",INDEX('Реестр'!$E$4:$E$103,$K8)),IF(ROW()=$K$3+8,"____________",""))</f>
      </c>
      <c r="F8" s="42">
        <f>IF(ISNUMBER($K8),IF(INDEX('Реестр'!$F$4:$F$103,$K8)="","",INDEX('Реестр'!$F$4:$F$103,$K8)),IF(ROW()=$K$3+5,'Реестр'!F104,""))</f>
      </c>
      <c r="G8" s="23">
        <f>IF(ISNUMBER($K8),IF(INDEX('Реестр'!$G$4:$G$103,$K8)="","",INDEX('Реестр'!$G$4:$G$103,$K8)),IF(ROW()=$K$3+6,"ЗАКАЗЧИК",IF(ROW()=$K$3+7,"Должн./ФИО:",IF(ROW()=$K$3+8,"Подпись:",""))))</f>
      </c>
      <c r="H8" s="46">
        <f>IF(ISNUMBER($K8),IF(INDEX('Реестр'!$H$4:$H$103,$K8)="","",INDEX('Реестр'!$H$4:$H$103,$K8)),IF(ROW()=$K$3+7,"________________",IF(ROW()=$K$3+8,"________________","")))</f>
      </c>
      <c r="I8" s="42">
        <f>IF(ISNUMBER($K8),IF(INDEX('Реестр'!$I$4:$I$103,$K8)="","",INDEX('Реестр'!$I$4:$I$103,$K8)),IF(ROW()=$K$3+5,'Реестр'!I104,IF(ROW()=$K$3+8,"Дата:","")))</f>
      </c>
      <c r="J8" s="23">
        <f>IF(ISNUMBER($K8),IF(INDEX('Реестр'!$J$4:$J$103,$K8)="","",INDEX('Реестр'!$J$4:$J$103,$K8)),IF(ROW()=$K$3+8,"____________",""))</f>
      </c>
      <c r="K8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8)),"")</f>
      </c>
    </row>
    <row r="9" ht="24" customHeight="1">
      <c r="A9" s="17">
        <f>IF(ISNUMBER($K9),$K9,"")</f>
      </c>
      <c r="B9" s="22">
        <f>IF(ISNUMBER($K9),IF(INDEX('Реестр'!$B$4:$B$103,$K9)="","",INDEX('Реестр'!$B$4:$B$103,$K9)),IF(ROW()=$K$3+5,"ИТОГО",IF(ROW()=$K$3+6,"ПОДРЯДЧИК",IF(ROW()=$K$3+7,"Должн./ФИО:",IF(ROW()=$K$3+8,"Подпись:","")))))</f>
      </c>
      <c r="C9" s="22">
        <f>IF(ISNUMBER($K9),IF(INDEX('Реестр'!$C$4:$C$103,$K9)="","",INDEX('Реестр'!$C$4:$C$103,$K9)),IF(ROW()=$K$3+7,"________________",IF(ROW()=$K$3+8,"________________","")))</f>
      </c>
      <c r="D9" s="40">
        <f>IF(ISNUMBER($K9),IF(INDEX('Реестр'!$D$4:$D$103,$K9)="","",INDEX('Реестр'!$D$4:$D$103,$K9)),IF(ROW()=$K$3+8,"Дата:",""))</f>
      </c>
      <c r="E9" s="41">
        <f>IF(ISNUMBER($K9),IF(INDEX('Реестр'!$E$4:$E$103,$K9)="","",INDEX('Реестр'!$E$4:$E$103,$K9)),IF(ROW()=$K$3+8,"____________",""))</f>
      </c>
      <c r="F9" s="42">
        <f>IF(ISNUMBER($K9),IF(INDEX('Реестр'!$F$4:$F$103,$K9)="","",INDEX('Реестр'!$F$4:$F$103,$K9)),IF(ROW()=$K$3+5,'Реестр'!F104,""))</f>
      </c>
      <c r="G9" s="22">
        <f>IF(ISNUMBER($K9),IF(INDEX('Реестр'!$G$4:$G$103,$K9)="","",INDEX('Реестр'!$G$4:$G$103,$K9)),IF(ROW()=$K$3+6,"ЗАКАЗЧИК",IF(ROW()=$K$3+7,"Должн./ФИО:",IF(ROW()=$K$3+8,"Подпись:",""))))</f>
      </c>
      <c r="H9" s="43">
        <f>IF(ISNUMBER($K9),IF(INDEX('Реестр'!$H$4:$H$103,$K9)="","",INDEX('Реестр'!$H$4:$H$103,$K9)),IF(ROW()=$K$3+7,"________________",IF(ROW()=$K$3+8,"________________","")))</f>
      </c>
      <c r="I9" s="42">
        <f>IF(ISNUMBER($K9),IF(INDEX('Реестр'!$I$4:$I$103,$K9)="","",INDEX('Реестр'!$I$4:$I$103,$K9)),IF(ROW()=$K$3+5,'Реестр'!I104,IF(ROW()=$K$3+8,"Дата:","")))</f>
      </c>
      <c r="J9" s="22">
        <f>IF(ISNUMBER($K9),IF(INDEX('Реестр'!$J$4:$J$103,$K9)="","",INDEX('Реестр'!$J$4:$J$103,$K9)),IF(ROW()=$K$3+8,"____________",""))</f>
      </c>
      <c r="K9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9)),"")</f>
      </c>
    </row>
    <row r="10" ht="24" customHeight="1">
      <c r="A10" s="18">
        <f>IF(ISNUMBER($K10),$K10,"")</f>
      </c>
      <c r="B10" s="23">
        <f>IF(ISNUMBER($K10),IF(INDEX('Реестр'!$B$4:$B$103,$K10)="","",INDEX('Реестр'!$B$4:$B$103,$K10)),IF(ROW()=$K$3+5,"ИТОГО",IF(ROW()=$K$3+6,"ПОДРЯДЧИК",IF(ROW()=$K$3+7,"Должн./ФИО:",IF(ROW()=$K$3+8,"Подпись:","")))))</f>
      </c>
      <c r="C10" s="23">
        <f>IF(ISNUMBER($K10),IF(INDEX('Реестр'!$C$4:$C$103,$K10)="","",INDEX('Реестр'!$C$4:$C$103,$K10)),IF(ROW()=$K$3+7,"________________",IF(ROW()=$K$3+8,"________________","")))</f>
      </c>
      <c r="D10" s="44">
        <f>IF(ISNUMBER($K10),IF(INDEX('Реестр'!$D$4:$D$103,$K10)="","",INDEX('Реестр'!$D$4:$D$103,$K10)),IF(ROW()=$K$3+8,"Дата:",""))</f>
      </c>
      <c r="E10" s="45">
        <f>IF(ISNUMBER($K10),IF(INDEX('Реестр'!$E$4:$E$103,$K10)="","",INDEX('Реестр'!$E$4:$E$103,$K10)),IF(ROW()=$K$3+8,"____________",""))</f>
      </c>
      <c r="F10" s="42">
        <f>IF(ISNUMBER($K10),IF(INDEX('Реестр'!$F$4:$F$103,$K10)="","",INDEX('Реестр'!$F$4:$F$103,$K10)),IF(ROW()=$K$3+5,'Реестр'!F104,""))</f>
      </c>
      <c r="G10" s="23">
        <f>IF(ISNUMBER($K10),IF(INDEX('Реестр'!$G$4:$G$103,$K10)="","",INDEX('Реестр'!$G$4:$G$103,$K10)),IF(ROW()=$K$3+6,"ЗАКАЗЧИК",IF(ROW()=$K$3+7,"Должн./ФИО:",IF(ROW()=$K$3+8,"Подпись:",""))))</f>
      </c>
      <c r="H10" s="46">
        <f>IF(ISNUMBER($K10),IF(INDEX('Реестр'!$H$4:$H$103,$K10)="","",INDEX('Реестр'!$H$4:$H$103,$K10)),IF(ROW()=$K$3+7,"________________",IF(ROW()=$K$3+8,"________________","")))</f>
      </c>
      <c r="I10" s="42">
        <f>IF(ISNUMBER($K10),IF(INDEX('Реестр'!$I$4:$I$103,$K10)="","",INDEX('Реестр'!$I$4:$I$103,$K10)),IF(ROW()=$K$3+5,'Реестр'!I104,IF(ROW()=$K$3+8,"Дата:","")))</f>
      </c>
      <c r="J10" s="23">
        <f>IF(ISNUMBER($K10),IF(INDEX('Реестр'!$J$4:$J$103,$K10)="","",INDEX('Реестр'!$J$4:$J$103,$K10)),IF(ROW()=$K$3+8,"____________",""))</f>
      </c>
      <c r="K10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10)),"")</f>
      </c>
    </row>
    <row r="11" ht="24" customHeight="1">
      <c r="A11" s="17">
        <f>IF(ISNUMBER($K11),$K11,"")</f>
      </c>
      <c r="B11" s="22">
        <f>IF(ISNUMBER($K11),IF(INDEX('Реестр'!$B$4:$B$103,$K11)="","",INDEX('Реестр'!$B$4:$B$103,$K11)),IF(ROW()=$K$3+5,"ИТОГО",IF(ROW()=$K$3+6,"ПОДРЯДЧИК",IF(ROW()=$K$3+7,"Должн./ФИО:",IF(ROW()=$K$3+8,"Подпись:","")))))</f>
      </c>
      <c r="C11" s="22">
        <f>IF(ISNUMBER($K11),IF(INDEX('Реестр'!$C$4:$C$103,$K11)="","",INDEX('Реестр'!$C$4:$C$103,$K11)),IF(ROW()=$K$3+7,"________________",IF(ROW()=$K$3+8,"________________","")))</f>
      </c>
      <c r="D11" s="40">
        <f>IF(ISNUMBER($K11),IF(INDEX('Реестр'!$D$4:$D$103,$K11)="","",INDEX('Реестр'!$D$4:$D$103,$K11)),IF(ROW()=$K$3+8,"Дата:",""))</f>
      </c>
      <c r="E11" s="41">
        <f>IF(ISNUMBER($K11),IF(INDEX('Реестр'!$E$4:$E$103,$K11)="","",INDEX('Реестр'!$E$4:$E$103,$K11)),IF(ROW()=$K$3+8,"____________",""))</f>
      </c>
      <c r="F11" s="42">
        <f>IF(ISNUMBER($K11),IF(INDEX('Реестр'!$F$4:$F$103,$K11)="","",INDEX('Реестр'!$F$4:$F$103,$K11)),IF(ROW()=$K$3+5,'Реестр'!F104,""))</f>
      </c>
      <c r="G11" s="22">
        <f>IF(ISNUMBER($K11),IF(INDEX('Реестр'!$G$4:$G$103,$K11)="","",INDEX('Реестр'!$G$4:$G$103,$K11)),IF(ROW()=$K$3+6,"ЗАКАЗЧИК",IF(ROW()=$K$3+7,"Должн./ФИО:",IF(ROW()=$K$3+8,"Подпись:",""))))</f>
      </c>
      <c r="H11" s="43">
        <f>IF(ISNUMBER($K11),IF(INDEX('Реестр'!$H$4:$H$103,$K11)="","",INDEX('Реестр'!$H$4:$H$103,$K11)),IF(ROW()=$K$3+7,"________________",IF(ROW()=$K$3+8,"________________","")))</f>
      </c>
      <c r="I11" s="42">
        <f>IF(ISNUMBER($K11),IF(INDEX('Реестр'!$I$4:$I$103,$K11)="","",INDEX('Реестр'!$I$4:$I$103,$K11)),IF(ROW()=$K$3+5,'Реестр'!I104,IF(ROW()=$K$3+8,"Дата:","")))</f>
      </c>
      <c r="J11" s="22">
        <f>IF(ISNUMBER($K11),IF(INDEX('Реестр'!$J$4:$J$103,$K11)="","",INDEX('Реестр'!$J$4:$J$103,$K11)),IF(ROW()=$K$3+8,"____________",""))</f>
      </c>
      <c r="K11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11)),"")</f>
      </c>
    </row>
    <row r="12" ht="24" customHeight="1">
      <c r="A12" s="18">
        <f>IF(ISNUMBER($K12),$K12,"")</f>
      </c>
      <c r="B12" s="23">
        <f>IF(ISNUMBER($K12),IF(INDEX('Реестр'!$B$4:$B$103,$K12)="","",INDEX('Реестр'!$B$4:$B$103,$K12)),IF(ROW()=$K$3+5,"ИТОГО",IF(ROW()=$K$3+6,"ПОДРЯДЧИК",IF(ROW()=$K$3+7,"Должн./ФИО:",IF(ROW()=$K$3+8,"Подпись:","")))))</f>
      </c>
      <c r="C12" s="23">
        <f>IF(ISNUMBER($K12),IF(INDEX('Реестр'!$C$4:$C$103,$K12)="","",INDEX('Реестр'!$C$4:$C$103,$K12)),IF(ROW()=$K$3+7,"________________",IF(ROW()=$K$3+8,"________________","")))</f>
      </c>
      <c r="D12" s="44">
        <f>IF(ISNUMBER($K12),IF(INDEX('Реестр'!$D$4:$D$103,$K12)="","",INDEX('Реестр'!$D$4:$D$103,$K12)),IF(ROW()=$K$3+8,"Дата:",""))</f>
      </c>
      <c r="E12" s="45">
        <f>IF(ISNUMBER($K12),IF(INDEX('Реестр'!$E$4:$E$103,$K12)="","",INDEX('Реестр'!$E$4:$E$103,$K12)),IF(ROW()=$K$3+8,"____________",""))</f>
      </c>
      <c r="F12" s="42">
        <f>IF(ISNUMBER($K12),IF(INDEX('Реестр'!$F$4:$F$103,$K12)="","",INDEX('Реестр'!$F$4:$F$103,$K12)),IF(ROW()=$K$3+5,'Реестр'!F104,""))</f>
      </c>
      <c r="G12" s="23">
        <f>IF(ISNUMBER($K12),IF(INDEX('Реестр'!$G$4:$G$103,$K12)="","",INDEX('Реестр'!$G$4:$G$103,$K12)),IF(ROW()=$K$3+6,"ЗАКАЗЧИК",IF(ROW()=$K$3+7,"Должн./ФИО:",IF(ROW()=$K$3+8,"Подпись:",""))))</f>
      </c>
      <c r="H12" s="46">
        <f>IF(ISNUMBER($K12),IF(INDEX('Реестр'!$H$4:$H$103,$K12)="","",INDEX('Реестр'!$H$4:$H$103,$K12)),IF(ROW()=$K$3+7,"________________",IF(ROW()=$K$3+8,"________________","")))</f>
      </c>
      <c r="I12" s="42">
        <f>IF(ISNUMBER($K12),IF(INDEX('Реестр'!$I$4:$I$103,$K12)="","",INDEX('Реестр'!$I$4:$I$103,$K12)),IF(ROW()=$K$3+5,'Реестр'!I104,IF(ROW()=$K$3+8,"Дата:","")))</f>
      </c>
      <c r="J12" s="23">
        <f>IF(ISNUMBER($K12),IF(INDEX('Реестр'!$J$4:$J$103,$K12)="","",INDEX('Реестр'!$J$4:$J$103,$K12)),IF(ROW()=$K$3+8,"____________",""))</f>
      </c>
      <c r="K12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12)),"")</f>
      </c>
    </row>
    <row r="13" ht="24" customHeight="1">
      <c r="A13" s="17">
        <f>IF(ISNUMBER($K13),$K13,"")</f>
      </c>
      <c r="B13" s="22">
        <f>IF(ISNUMBER($K13),IF(INDEX('Реестр'!$B$4:$B$103,$K13)="","",INDEX('Реестр'!$B$4:$B$103,$K13)),IF(ROW()=$K$3+5,"ИТОГО",IF(ROW()=$K$3+6,"ПОДРЯДЧИК",IF(ROW()=$K$3+7,"Должн./ФИО:",IF(ROW()=$K$3+8,"Подпись:","")))))</f>
      </c>
      <c r="C13" s="22">
        <f>IF(ISNUMBER($K13),IF(INDEX('Реестр'!$C$4:$C$103,$K13)="","",INDEX('Реестр'!$C$4:$C$103,$K13)),IF(ROW()=$K$3+7,"________________",IF(ROW()=$K$3+8,"________________","")))</f>
      </c>
      <c r="D13" s="40">
        <f>IF(ISNUMBER($K13),IF(INDEX('Реестр'!$D$4:$D$103,$K13)="","",INDEX('Реестр'!$D$4:$D$103,$K13)),IF(ROW()=$K$3+8,"Дата:",""))</f>
      </c>
      <c r="E13" s="41">
        <f>IF(ISNUMBER($K13),IF(INDEX('Реестр'!$E$4:$E$103,$K13)="","",INDEX('Реестр'!$E$4:$E$103,$K13)),IF(ROW()=$K$3+8,"____________",""))</f>
      </c>
      <c r="F13" s="42">
        <f>IF(ISNUMBER($K13),IF(INDEX('Реестр'!$F$4:$F$103,$K13)="","",INDEX('Реестр'!$F$4:$F$103,$K13)),IF(ROW()=$K$3+5,'Реестр'!F104,""))</f>
      </c>
      <c r="G13" s="22">
        <f>IF(ISNUMBER($K13),IF(INDEX('Реестр'!$G$4:$G$103,$K13)="","",INDEX('Реестр'!$G$4:$G$103,$K13)),IF(ROW()=$K$3+6,"ЗАКАЗЧИК",IF(ROW()=$K$3+7,"Должн./ФИО:",IF(ROW()=$K$3+8,"Подпись:",""))))</f>
      </c>
      <c r="H13" s="43">
        <f>IF(ISNUMBER($K13),IF(INDEX('Реестр'!$H$4:$H$103,$K13)="","",INDEX('Реестр'!$H$4:$H$103,$K13)),IF(ROW()=$K$3+7,"________________",IF(ROW()=$K$3+8,"________________","")))</f>
      </c>
      <c r="I13" s="42">
        <f>IF(ISNUMBER($K13),IF(INDEX('Реестр'!$I$4:$I$103,$K13)="","",INDEX('Реестр'!$I$4:$I$103,$K13)),IF(ROW()=$K$3+5,'Реестр'!I104,IF(ROW()=$K$3+8,"Дата:","")))</f>
      </c>
      <c r="J13" s="22">
        <f>IF(ISNUMBER($K13),IF(INDEX('Реестр'!$J$4:$J$103,$K13)="","",INDEX('Реестр'!$J$4:$J$103,$K13)),IF(ROW()=$K$3+8,"____________",""))</f>
      </c>
      <c r="K13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13)),"")</f>
      </c>
    </row>
    <row r="14" ht="24" customHeight="1">
      <c r="A14" s="18">
        <f>IF(ISNUMBER($K14),$K14,"")</f>
      </c>
      <c r="B14" s="23">
        <f>IF(ISNUMBER($K14),IF(INDEX('Реестр'!$B$4:$B$103,$K14)="","",INDEX('Реестр'!$B$4:$B$103,$K14)),IF(ROW()=$K$3+5,"ИТОГО",IF(ROW()=$K$3+6,"ПОДРЯДЧИК",IF(ROW()=$K$3+7,"Должн./ФИО:",IF(ROW()=$K$3+8,"Подпись:","")))))</f>
      </c>
      <c r="C14" s="23">
        <f>IF(ISNUMBER($K14),IF(INDEX('Реестр'!$C$4:$C$103,$K14)="","",INDEX('Реестр'!$C$4:$C$103,$K14)),IF(ROW()=$K$3+7,"________________",IF(ROW()=$K$3+8,"________________","")))</f>
      </c>
      <c r="D14" s="44">
        <f>IF(ISNUMBER($K14),IF(INDEX('Реестр'!$D$4:$D$103,$K14)="","",INDEX('Реестр'!$D$4:$D$103,$K14)),IF(ROW()=$K$3+8,"Дата:",""))</f>
      </c>
      <c r="E14" s="45">
        <f>IF(ISNUMBER($K14),IF(INDEX('Реестр'!$E$4:$E$103,$K14)="","",INDEX('Реестр'!$E$4:$E$103,$K14)),IF(ROW()=$K$3+8,"____________",""))</f>
      </c>
      <c r="F14" s="42">
        <f>IF(ISNUMBER($K14),IF(INDEX('Реестр'!$F$4:$F$103,$K14)="","",INDEX('Реестр'!$F$4:$F$103,$K14)),IF(ROW()=$K$3+5,'Реестр'!F104,""))</f>
      </c>
      <c r="G14" s="23">
        <f>IF(ISNUMBER($K14),IF(INDEX('Реестр'!$G$4:$G$103,$K14)="","",INDEX('Реестр'!$G$4:$G$103,$K14)),IF(ROW()=$K$3+6,"ЗАКАЗЧИК",IF(ROW()=$K$3+7,"Должн./ФИО:",IF(ROW()=$K$3+8,"Подпись:",""))))</f>
      </c>
      <c r="H14" s="46">
        <f>IF(ISNUMBER($K14),IF(INDEX('Реестр'!$H$4:$H$103,$K14)="","",INDEX('Реестр'!$H$4:$H$103,$K14)),IF(ROW()=$K$3+7,"________________",IF(ROW()=$K$3+8,"________________","")))</f>
      </c>
      <c r="I14" s="42">
        <f>IF(ISNUMBER($K14),IF(INDEX('Реестр'!$I$4:$I$103,$K14)="","",INDEX('Реестр'!$I$4:$I$103,$K14)),IF(ROW()=$K$3+5,'Реестр'!I104,IF(ROW()=$K$3+8,"Дата:","")))</f>
      </c>
      <c r="J14" s="23">
        <f>IF(ISNUMBER($K14),IF(INDEX('Реестр'!$J$4:$J$103,$K14)="","",INDEX('Реестр'!$J$4:$J$103,$K14)),IF(ROW()=$K$3+8,"____________",""))</f>
      </c>
      <c r="K14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14)),"")</f>
      </c>
    </row>
    <row r="15" ht="24" customHeight="1">
      <c r="A15" s="17">
        <f>IF(ISNUMBER($K15),$K15,"")</f>
      </c>
      <c r="B15" s="22">
        <f>IF(ISNUMBER($K15),IF(INDEX('Реестр'!$B$4:$B$103,$K15)="","",INDEX('Реестр'!$B$4:$B$103,$K15)),IF(ROW()=$K$3+5,"ИТОГО",IF(ROW()=$K$3+6,"ПОДРЯДЧИК",IF(ROW()=$K$3+7,"Должн./ФИО:",IF(ROW()=$K$3+8,"Подпись:","")))))</f>
      </c>
      <c r="C15" s="22">
        <f>IF(ISNUMBER($K15),IF(INDEX('Реестр'!$C$4:$C$103,$K15)="","",INDEX('Реестр'!$C$4:$C$103,$K15)),IF(ROW()=$K$3+7,"________________",IF(ROW()=$K$3+8,"________________","")))</f>
      </c>
      <c r="D15" s="40">
        <f>IF(ISNUMBER($K15),IF(INDEX('Реестр'!$D$4:$D$103,$K15)="","",INDEX('Реестр'!$D$4:$D$103,$K15)),IF(ROW()=$K$3+8,"Дата:",""))</f>
      </c>
      <c r="E15" s="41">
        <f>IF(ISNUMBER($K15),IF(INDEX('Реестр'!$E$4:$E$103,$K15)="","",INDEX('Реестр'!$E$4:$E$103,$K15)),IF(ROW()=$K$3+8,"____________",""))</f>
      </c>
      <c r="F15" s="42">
        <f>IF(ISNUMBER($K15),IF(INDEX('Реестр'!$F$4:$F$103,$K15)="","",INDEX('Реестр'!$F$4:$F$103,$K15)),IF(ROW()=$K$3+5,'Реестр'!F104,""))</f>
      </c>
      <c r="G15" s="22">
        <f>IF(ISNUMBER($K15),IF(INDEX('Реестр'!$G$4:$G$103,$K15)="","",INDEX('Реестр'!$G$4:$G$103,$K15)),IF(ROW()=$K$3+6,"ЗАКАЗЧИК",IF(ROW()=$K$3+7,"Должн./ФИО:",IF(ROW()=$K$3+8,"Подпись:",""))))</f>
      </c>
      <c r="H15" s="43">
        <f>IF(ISNUMBER($K15),IF(INDEX('Реестр'!$H$4:$H$103,$K15)="","",INDEX('Реестр'!$H$4:$H$103,$K15)),IF(ROW()=$K$3+7,"________________",IF(ROW()=$K$3+8,"________________","")))</f>
      </c>
      <c r="I15" s="42">
        <f>IF(ISNUMBER($K15),IF(INDEX('Реестр'!$I$4:$I$103,$K15)="","",INDEX('Реестр'!$I$4:$I$103,$K15)),IF(ROW()=$K$3+5,'Реестр'!I104,IF(ROW()=$K$3+8,"Дата:","")))</f>
      </c>
      <c r="J15" s="22">
        <f>IF(ISNUMBER($K15),IF(INDEX('Реестр'!$J$4:$J$103,$K15)="","",INDEX('Реестр'!$J$4:$J$103,$K15)),IF(ROW()=$K$3+8,"____________",""))</f>
      </c>
      <c r="K15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15)),"")</f>
      </c>
    </row>
    <row r="16" ht="24" customHeight="1">
      <c r="A16" s="18">
        <f>IF(ISNUMBER($K16),$K16,"")</f>
      </c>
      <c r="B16" s="23">
        <f>IF(ISNUMBER($K16),IF(INDEX('Реестр'!$B$4:$B$103,$K16)="","",INDEX('Реестр'!$B$4:$B$103,$K16)),IF(ROW()=$K$3+5,"ИТОГО",IF(ROW()=$K$3+6,"ПОДРЯДЧИК",IF(ROW()=$K$3+7,"Должн./ФИО:",IF(ROW()=$K$3+8,"Подпись:","")))))</f>
      </c>
      <c r="C16" s="23">
        <f>IF(ISNUMBER($K16),IF(INDEX('Реестр'!$C$4:$C$103,$K16)="","",INDEX('Реестр'!$C$4:$C$103,$K16)),IF(ROW()=$K$3+7,"________________",IF(ROW()=$K$3+8,"________________","")))</f>
      </c>
      <c r="D16" s="44">
        <f>IF(ISNUMBER($K16),IF(INDEX('Реестр'!$D$4:$D$103,$K16)="","",INDEX('Реестр'!$D$4:$D$103,$K16)),IF(ROW()=$K$3+8,"Дата:",""))</f>
      </c>
      <c r="E16" s="45">
        <f>IF(ISNUMBER($K16),IF(INDEX('Реестр'!$E$4:$E$103,$K16)="","",INDEX('Реестр'!$E$4:$E$103,$K16)),IF(ROW()=$K$3+8,"____________",""))</f>
      </c>
      <c r="F16" s="42">
        <f>IF(ISNUMBER($K16),IF(INDEX('Реестр'!$F$4:$F$103,$K16)="","",INDEX('Реестр'!$F$4:$F$103,$K16)),IF(ROW()=$K$3+5,'Реестр'!F104,""))</f>
      </c>
      <c r="G16" s="23">
        <f>IF(ISNUMBER($K16),IF(INDEX('Реестр'!$G$4:$G$103,$K16)="","",INDEX('Реестр'!$G$4:$G$103,$K16)),IF(ROW()=$K$3+6,"ЗАКАЗЧИК",IF(ROW()=$K$3+7,"Должн./ФИО:",IF(ROW()=$K$3+8,"Подпись:",""))))</f>
      </c>
      <c r="H16" s="46">
        <f>IF(ISNUMBER($K16),IF(INDEX('Реестр'!$H$4:$H$103,$K16)="","",INDEX('Реестр'!$H$4:$H$103,$K16)),IF(ROW()=$K$3+7,"________________",IF(ROW()=$K$3+8,"________________","")))</f>
      </c>
      <c r="I16" s="42">
        <f>IF(ISNUMBER($K16),IF(INDEX('Реестр'!$I$4:$I$103,$K16)="","",INDEX('Реестр'!$I$4:$I$103,$K16)),IF(ROW()=$K$3+5,'Реестр'!I104,IF(ROW()=$K$3+8,"Дата:","")))</f>
      </c>
      <c r="J16" s="23">
        <f>IF(ISNUMBER($K16),IF(INDEX('Реестр'!$J$4:$J$103,$K16)="","",INDEX('Реестр'!$J$4:$J$103,$K16)),IF(ROW()=$K$3+8,"____________",""))</f>
      </c>
      <c r="K16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16)),"")</f>
      </c>
    </row>
    <row r="17" ht="24" customHeight="1">
      <c r="A17" s="17">
        <f>IF(ISNUMBER($K17),$K17,"")</f>
      </c>
      <c r="B17" s="22">
        <f>IF(ISNUMBER($K17),IF(INDEX('Реестр'!$B$4:$B$103,$K17)="","",INDEX('Реестр'!$B$4:$B$103,$K17)),IF(ROW()=$K$3+5,"ИТОГО",IF(ROW()=$K$3+6,"ПОДРЯДЧИК",IF(ROW()=$K$3+7,"Должн./ФИО:",IF(ROW()=$K$3+8,"Подпись:","")))))</f>
      </c>
      <c r="C17" s="22">
        <f>IF(ISNUMBER($K17),IF(INDEX('Реестр'!$C$4:$C$103,$K17)="","",INDEX('Реестр'!$C$4:$C$103,$K17)),IF(ROW()=$K$3+7,"________________",IF(ROW()=$K$3+8,"________________","")))</f>
      </c>
      <c r="D17" s="40">
        <f>IF(ISNUMBER($K17),IF(INDEX('Реестр'!$D$4:$D$103,$K17)="","",INDEX('Реестр'!$D$4:$D$103,$K17)),IF(ROW()=$K$3+8,"Дата:",""))</f>
      </c>
      <c r="E17" s="41">
        <f>IF(ISNUMBER($K17),IF(INDEX('Реестр'!$E$4:$E$103,$K17)="","",INDEX('Реестр'!$E$4:$E$103,$K17)),IF(ROW()=$K$3+8,"____________",""))</f>
      </c>
      <c r="F17" s="42">
        <f>IF(ISNUMBER($K17),IF(INDEX('Реестр'!$F$4:$F$103,$K17)="","",INDEX('Реестр'!$F$4:$F$103,$K17)),IF(ROW()=$K$3+5,'Реестр'!F104,""))</f>
      </c>
      <c r="G17" s="22">
        <f>IF(ISNUMBER($K17),IF(INDEX('Реестр'!$G$4:$G$103,$K17)="","",INDEX('Реестр'!$G$4:$G$103,$K17)),IF(ROW()=$K$3+6,"ЗАКАЗЧИК",IF(ROW()=$K$3+7,"Должн./ФИО:",IF(ROW()=$K$3+8,"Подпись:",""))))</f>
      </c>
      <c r="H17" s="43">
        <f>IF(ISNUMBER($K17),IF(INDEX('Реестр'!$H$4:$H$103,$K17)="","",INDEX('Реестр'!$H$4:$H$103,$K17)),IF(ROW()=$K$3+7,"________________",IF(ROW()=$K$3+8,"________________","")))</f>
      </c>
      <c r="I17" s="42">
        <f>IF(ISNUMBER($K17),IF(INDEX('Реестр'!$I$4:$I$103,$K17)="","",INDEX('Реестр'!$I$4:$I$103,$K17)),IF(ROW()=$K$3+5,'Реестр'!I104,IF(ROW()=$K$3+8,"Дата:","")))</f>
      </c>
      <c r="J17" s="22">
        <f>IF(ISNUMBER($K17),IF(INDEX('Реестр'!$J$4:$J$103,$K17)="","",INDEX('Реестр'!$J$4:$J$103,$K17)),IF(ROW()=$K$3+8,"____________",""))</f>
      </c>
      <c r="K17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17)),"")</f>
      </c>
    </row>
    <row r="18" ht="24" customHeight="1">
      <c r="A18" s="18">
        <f>IF(ISNUMBER($K18),$K18,"")</f>
      </c>
      <c r="B18" s="23">
        <f>IF(ISNUMBER($K18),IF(INDEX('Реестр'!$B$4:$B$103,$K18)="","",INDEX('Реестр'!$B$4:$B$103,$K18)),IF(ROW()=$K$3+5,"ИТОГО",IF(ROW()=$K$3+6,"ПОДРЯДЧИК",IF(ROW()=$K$3+7,"Должн./ФИО:",IF(ROW()=$K$3+8,"Подпись:","")))))</f>
      </c>
      <c r="C18" s="23">
        <f>IF(ISNUMBER($K18),IF(INDEX('Реестр'!$C$4:$C$103,$K18)="","",INDEX('Реестр'!$C$4:$C$103,$K18)),IF(ROW()=$K$3+7,"________________",IF(ROW()=$K$3+8,"________________","")))</f>
      </c>
      <c r="D18" s="44">
        <f>IF(ISNUMBER($K18),IF(INDEX('Реестр'!$D$4:$D$103,$K18)="","",INDEX('Реестр'!$D$4:$D$103,$K18)),IF(ROW()=$K$3+8,"Дата:",""))</f>
      </c>
      <c r="E18" s="45">
        <f>IF(ISNUMBER($K18),IF(INDEX('Реестр'!$E$4:$E$103,$K18)="","",INDEX('Реестр'!$E$4:$E$103,$K18)),IF(ROW()=$K$3+8,"____________",""))</f>
      </c>
      <c r="F18" s="42">
        <f>IF(ISNUMBER($K18),IF(INDEX('Реестр'!$F$4:$F$103,$K18)="","",INDEX('Реестр'!$F$4:$F$103,$K18)),IF(ROW()=$K$3+5,'Реестр'!F104,""))</f>
      </c>
      <c r="G18" s="23">
        <f>IF(ISNUMBER($K18),IF(INDEX('Реестр'!$G$4:$G$103,$K18)="","",INDEX('Реестр'!$G$4:$G$103,$K18)),IF(ROW()=$K$3+6,"ЗАКАЗЧИК",IF(ROW()=$K$3+7,"Должн./ФИО:",IF(ROW()=$K$3+8,"Подпись:",""))))</f>
      </c>
      <c r="H18" s="46">
        <f>IF(ISNUMBER($K18),IF(INDEX('Реестр'!$H$4:$H$103,$K18)="","",INDEX('Реестр'!$H$4:$H$103,$K18)),IF(ROW()=$K$3+7,"________________",IF(ROW()=$K$3+8,"________________","")))</f>
      </c>
      <c r="I18" s="42">
        <f>IF(ISNUMBER($K18),IF(INDEX('Реестр'!$I$4:$I$103,$K18)="","",INDEX('Реестр'!$I$4:$I$103,$K18)),IF(ROW()=$K$3+5,'Реестр'!I104,IF(ROW()=$K$3+8,"Дата:","")))</f>
      </c>
      <c r="J18" s="23">
        <f>IF(ISNUMBER($K18),IF(INDEX('Реестр'!$J$4:$J$103,$K18)="","",INDEX('Реестр'!$J$4:$J$103,$K18)),IF(ROW()=$K$3+8,"____________",""))</f>
      </c>
      <c r="K18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18)),"")</f>
      </c>
    </row>
    <row r="19" ht="24" customHeight="1">
      <c r="A19" s="17">
        <f>IF(ISNUMBER($K19),$K19,"")</f>
      </c>
      <c r="B19" s="22">
        <f>IF(ISNUMBER($K19),IF(INDEX('Реестр'!$B$4:$B$103,$K19)="","",INDEX('Реестр'!$B$4:$B$103,$K19)),IF(ROW()=$K$3+5,"ИТОГО",IF(ROW()=$K$3+6,"ПОДРЯДЧИК",IF(ROW()=$K$3+7,"Должн./ФИО:",IF(ROW()=$K$3+8,"Подпись:","")))))</f>
      </c>
      <c r="C19" s="22">
        <f>IF(ISNUMBER($K19),IF(INDEX('Реестр'!$C$4:$C$103,$K19)="","",INDEX('Реестр'!$C$4:$C$103,$K19)),IF(ROW()=$K$3+7,"________________",IF(ROW()=$K$3+8,"________________","")))</f>
      </c>
      <c r="D19" s="40">
        <f>IF(ISNUMBER($K19),IF(INDEX('Реестр'!$D$4:$D$103,$K19)="","",INDEX('Реестр'!$D$4:$D$103,$K19)),IF(ROW()=$K$3+8,"Дата:",""))</f>
      </c>
      <c r="E19" s="41">
        <f>IF(ISNUMBER($K19),IF(INDEX('Реестр'!$E$4:$E$103,$K19)="","",INDEX('Реестр'!$E$4:$E$103,$K19)),IF(ROW()=$K$3+8,"____________",""))</f>
      </c>
      <c r="F19" s="42">
        <f>IF(ISNUMBER($K19),IF(INDEX('Реестр'!$F$4:$F$103,$K19)="","",INDEX('Реестр'!$F$4:$F$103,$K19)),IF(ROW()=$K$3+5,'Реестр'!F104,""))</f>
      </c>
      <c r="G19" s="22">
        <f>IF(ISNUMBER($K19),IF(INDEX('Реестр'!$G$4:$G$103,$K19)="","",INDEX('Реестр'!$G$4:$G$103,$K19)),IF(ROW()=$K$3+6,"ЗАКАЗЧИК",IF(ROW()=$K$3+7,"Должн./ФИО:",IF(ROW()=$K$3+8,"Подпись:",""))))</f>
      </c>
      <c r="H19" s="43">
        <f>IF(ISNUMBER($K19),IF(INDEX('Реестр'!$H$4:$H$103,$K19)="","",INDEX('Реестр'!$H$4:$H$103,$K19)),IF(ROW()=$K$3+7,"________________",IF(ROW()=$K$3+8,"________________","")))</f>
      </c>
      <c r="I19" s="42">
        <f>IF(ISNUMBER($K19),IF(INDEX('Реестр'!$I$4:$I$103,$K19)="","",INDEX('Реестр'!$I$4:$I$103,$K19)),IF(ROW()=$K$3+5,'Реестр'!I104,IF(ROW()=$K$3+8,"Дата:","")))</f>
      </c>
      <c r="J19" s="22">
        <f>IF(ISNUMBER($K19),IF(INDEX('Реестр'!$J$4:$J$103,$K19)="","",INDEX('Реестр'!$J$4:$J$103,$K19)),IF(ROW()=$K$3+8,"____________",""))</f>
      </c>
      <c r="K19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19)),"")</f>
      </c>
    </row>
    <row r="20" ht="24" customHeight="1">
      <c r="A20" s="18">
        <f>IF(ISNUMBER($K20),$K20,"")</f>
      </c>
      <c r="B20" s="23">
        <f>IF(ISNUMBER($K20),IF(INDEX('Реестр'!$B$4:$B$103,$K20)="","",INDEX('Реестр'!$B$4:$B$103,$K20)),IF(ROW()=$K$3+5,"ИТОГО",IF(ROW()=$K$3+6,"ПОДРЯДЧИК",IF(ROW()=$K$3+7,"Должн./ФИО:",IF(ROW()=$K$3+8,"Подпись:","")))))</f>
      </c>
      <c r="C20" s="23">
        <f>IF(ISNUMBER($K20),IF(INDEX('Реестр'!$C$4:$C$103,$K20)="","",INDEX('Реестр'!$C$4:$C$103,$K20)),IF(ROW()=$K$3+7,"________________",IF(ROW()=$K$3+8,"________________","")))</f>
      </c>
      <c r="D20" s="44">
        <f>IF(ISNUMBER($K20),IF(INDEX('Реестр'!$D$4:$D$103,$K20)="","",INDEX('Реестр'!$D$4:$D$103,$K20)),IF(ROW()=$K$3+8,"Дата:",""))</f>
      </c>
      <c r="E20" s="45">
        <f>IF(ISNUMBER($K20),IF(INDEX('Реестр'!$E$4:$E$103,$K20)="","",INDEX('Реестр'!$E$4:$E$103,$K20)),IF(ROW()=$K$3+8,"____________",""))</f>
      </c>
      <c r="F20" s="42">
        <f>IF(ISNUMBER($K20),IF(INDEX('Реестр'!$F$4:$F$103,$K20)="","",INDEX('Реестр'!$F$4:$F$103,$K20)),IF(ROW()=$K$3+5,'Реестр'!F104,""))</f>
      </c>
      <c r="G20" s="23">
        <f>IF(ISNUMBER($K20),IF(INDEX('Реестр'!$G$4:$G$103,$K20)="","",INDEX('Реестр'!$G$4:$G$103,$K20)),IF(ROW()=$K$3+6,"ЗАКАЗЧИК",IF(ROW()=$K$3+7,"Должн./ФИО:",IF(ROW()=$K$3+8,"Подпись:",""))))</f>
      </c>
      <c r="H20" s="46">
        <f>IF(ISNUMBER($K20),IF(INDEX('Реестр'!$H$4:$H$103,$K20)="","",INDEX('Реестр'!$H$4:$H$103,$K20)),IF(ROW()=$K$3+7,"________________",IF(ROW()=$K$3+8,"________________","")))</f>
      </c>
      <c r="I20" s="42">
        <f>IF(ISNUMBER($K20),IF(INDEX('Реестр'!$I$4:$I$103,$K20)="","",INDEX('Реестр'!$I$4:$I$103,$K20)),IF(ROW()=$K$3+5,'Реестр'!I104,IF(ROW()=$K$3+8,"Дата:","")))</f>
      </c>
      <c r="J20" s="23">
        <f>IF(ISNUMBER($K20),IF(INDEX('Реестр'!$J$4:$J$103,$K20)="","",INDEX('Реестр'!$J$4:$J$103,$K20)),IF(ROW()=$K$3+8,"____________",""))</f>
      </c>
      <c r="K20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20)),"")</f>
      </c>
    </row>
    <row r="21" ht="24" customHeight="1">
      <c r="A21" s="17">
        <f>IF(ISNUMBER($K21),$K21,"")</f>
      </c>
      <c r="B21" s="22">
        <f>IF(ISNUMBER($K21),IF(INDEX('Реестр'!$B$4:$B$103,$K21)="","",INDEX('Реестр'!$B$4:$B$103,$K21)),IF(ROW()=$K$3+5,"ИТОГО",IF(ROW()=$K$3+6,"ПОДРЯДЧИК",IF(ROW()=$K$3+7,"Должн./ФИО:",IF(ROW()=$K$3+8,"Подпись:","")))))</f>
      </c>
      <c r="C21" s="22">
        <f>IF(ISNUMBER($K21),IF(INDEX('Реестр'!$C$4:$C$103,$K21)="","",INDEX('Реестр'!$C$4:$C$103,$K21)),IF(ROW()=$K$3+7,"________________",IF(ROW()=$K$3+8,"________________","")))</f>
      </c>
      <c r="D21" s="40">
        <f>IF(ISNUMBER($K21),IF(INDEX('Реестр'!$D$4:$D$103,$K21)="","",INDEX('Реестр'!$D$4:$D$103,$K21)),IF(ROW()=$K$3+8,"Дата:",""))</f>
      </c>
      <c r="E21" s="41">
        <f>IF(ISNUMBER($K21),IF(INDEX('Реестр'!$E$4:$E$103,$K21)="","",INDEX('Реестр'!$E$4:$E$103,$K21)),IF(ROW()=$K$3+8,"____________",""))</f>
      </c>
      <c r="F21" s="42">
        <f>IF(ISNUMBER($K21),IF(INDEX('Реестр'!$F$4:$F$103,$K21)="","",INDEX('Реестр'!$F$4:$F$103,$K21)),IF(ROW()=$K$3+5,'Реестр'!F104,""))</f>
      </c>
      <c r="G21" s="22">
        <f>IF(ISNUMBER($K21),IF(INDEX('Реестр'!$G$4:$G$103,$K21)="","",INDEX('Реестр'!$G$4:$G$103,$K21)),IF(ROW()=$K$3+6,"ЗАКАЗЧИК",IF(ROW()=$K$3+7,"Должн./ФИО:",IF(ROW()=$K$3+8,"Подпись:",""))))</f>
      </c>
      <c r="H21" s="43">
        <f>IF(ISNUMBER($K21),IF(INDEX('Реестр'!$H$4:$H$103,$K21)="","",INDEX('Реестр'!$H$4:$H$103,$K21)),IF(ROW()=$K$3+7,"________________",IF(ROW()=$K$3+8,"________________","")))</f>
      </c>
      <c r="I21" s="42">
        <f>IF(ISNUMBER($K21),IF(INDEX('Реестр'!$I$4:$I$103,$K21)="","",INDEX('Реестр'!$I$4:$I$103,$K21)),IF(ROW()=$K$3+5,'Реестр'!I104,IF(ROW()=$K$3+8,"Дата:","")))</f>
      </c>
      <c r="J21" s="22">
        <f>IF(ISNUMBER($K21),IF(INDEX('Реестр'!$J$4:$J$103,$K21)="","",INDEX('Реестр'!$J$4:$J$103,$K21)),IF(ROW()=$K$3+8,"____________",""))</f>
      </c>
      <c r="K21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21)),"")</f>
      </c>
    </row>
    <row r="22" ht="24" customHeight="1">
      <c r="A22" s="18">
        <f>IF(ISNUMBER($K22),$K22,"")</f>
      </c>
      <c r="B22" s="23">
        <f>IF(ISNUMBER($K22),IF(INDEX('Реестр'!$B$4:$B$103,$K22)="","",INDEX('Реестр'!$B$4:$B$103,$K22)),IF(ROW()=$K$3+5,"ИТОГО",IF(ROW()=$K$3+6,"ПОДРЯДЧИК",IF(ROW()=$K$3+7,"Должн./ФИО:",IF(ROW()=$K$3+8,"Подпись:","")))))</f>
      </c>
      <c r="C22" s="23">
        <f>IF(ISNUMBER($K22),IF(INDEX('Реестр'!$C$4:$C$103,$K22)="","",INDEX('Реестр'!$C$4:$C$103,$K22)),IF(ROW()=$K$3+7,"________________",IF(ROW()=$K$3+8,"________________","")))</f>
      </c>
      <c r="D22" s="44">
        <f>IF(ISNUMBER($K22),IF(INDEX('Реестр'!$D$4:$D$103,$K22)="","",INDEX('Реестр'!$D$4:$D$103,$K22)),IF(ROW()=$K$3+8,"Дата:",""))</f>
      </c>
      <c r="E22" s="45">
        <f>IF(ISNUMBER($K22),IF(INDEX('Реестр'!$E$4:$E$103,$K22)="","",INDEX('Реестр'!$E$4:$E$103,$K22)),IF(ROW()=$K$3+8,"____________",""))</f>
      </c>
      <c r="F22" s="42">
        <f>IF(ISNUMBER($K22),IF(INDEX('Реестр'!$F$4:$F$103,$K22)="","",INDEX('Реестр'!$F$4:$F$103,$K22)),IF(ROW()=$K$3+5,'Реестр'!F104,""))</f>
      </c>
      <c r="G22" s="23">
        <f>IF(ISNUMBER($K22),IF(INDEX('Реестр'!$G$4:$G$103,$K22)="","",INDEX('Реестр'!$G$4:$G$103,$K22)),IF(ROW()=$K$3+6,"ЗАКАЗЧИК",IF(ROW()=$K$3+7,"Должн./ФИО:",IF(ROW()=$K$3+8,"Подпись:",""))))</f>
      </c>
      <c r="H22" s="46">
        <f>IF(ISNUMBER($K22),IF(INDEX('Реестр'!$H$4:$H$103,$K22)="","",INDEX('Реестр'!$H$4:$H$103,$K22)),IF(ROW()=$K$3+7,"________________",IF(ROW()=$K$3+8,"________________","")))</f>
      </c>
      <c r="I22" s="42">
        <f>IF(ISNUMBER($K22),IF(INDEX('Реестр'!$I$4:$I$103,$K22)="","",INDEX('Реестр'!$I$4:$I$103,$K22)),IF(ROW()=$K$3+5,'Реестр'!I104,IF(ROW()=$K$3+8,"Дата:","")))</f>
      </c>
      <c r="J22" s="23">
        <f>IF(ISNUMBER($K22),IF(INDEX('Реестр'!$J$4:$J$103,$K22)="","",INDEX('Реестр'!$J$4:$J$103,$K22)),IF(ROW()=$K$3+8,"____________",""))</f>
      </c>
      <c r="K22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22)),"")</f>
      </c>
    </row>
    <row r="23" ht="24" customHeight="1">
      <c r="A23" s="17">
        <f>IF(ISNUMBER($K23),$K23,"")</f>
      </c>
      <c r="B23" s="22">
        <f>IF(ISNUMBER($K23),IF(INDEX('Реестр'!$B$4:$B$103,$K23)="","",INDEX('Реестр'!$B$4:$B$103,$K23)),IF(ROW()=$K$3+5,"ИТОГО",IF(ROW()=$K$3+6,"ПОДРЯДЧИК",IF(ROW()=$K$3+7,"Должн./ФИО:",IF(ROW()=$K$3+8,"Подпись:","")))))</f>
      </c>
      <c r="C23" s="22">
        <f>IF(ISNUMBER($K23),IF(INDEX('Реестр'!$C$4:$C$103,$K23)="","",INDEX('Реестр'!$C$4:$C$103,$K23)),IF(ROW()=$K$3+7,"________________",IF(ROW()=$K$3+8,"________________","")))</f>
      </c>
      <c r="D23" s="40">
        <f>IF(ISNUMBER($K23),IF(INDEX('Реестр'!$D$4:$D$103,$K23)="","",INDEX('Реестр'!$D$4:$D$103,$K23)),IF(ROW()=$K$3+8,"Дата:",""))</f>
      </c>
      <c r="E23" s="41">
        <f>IF(ISNUMBER($K23),IF(INDEX('Реестр'!$E$4:$E$103,$K23)="","",INDEX('Реестр'!$E$4:$E$103,$K23)),IF(ROW()=$K$3+8,"____________",""))</f>
      </c>
      <c r="F23" s="42">
        <f>IF(ISNUMBER($K23),IF(INDEX('Реестр'!$F$4:$F$103,$K23)="","",INDEX('Реестр'!$F$4:$F$103,$K23)),IF(ROW()=$K$3+5,'Реестр'!F104,""))</f>
      </c>
      <c r="G23" s="22">
        <f>IF(ISNUMBER($K23),IF(INDEX('Реестр'!$G$4:$G$103,$K23)="","",INDEX('Реестр'!$G$4:$G$103,$K23)),IF(ROW()=$K$3+6,"ЗАКАЗЧИК",IF(ROW()=$K$3+7,"Должн./ФИО:",IF(ROW()=$K$3+8,"Подпись:",""))))</f>
      </c>
      <c r="H23" s="43">
        <f>IF(ISNUMBER($K23),IF(INDEX('Реестр'!$H$4:$H$103,$K23)="","",INDEX('Реестр'!$H$4:$H$103,$K23)),IF(ROW()=$K$3+7,"________________",IF(ROW()=$K$3+8,"________________","")))</f>
      </c>
      <c r="I23" s="42">
        <f>IF(ISNUMBER($K23),IF(INDEX('Реестр'!$I$4:$I$103,$K23)="","",INDEX('Реестр'!$I$4:$I$103,$K23)),IF(ROW()=$K$3+5,'Реестр'!I104,IF(ROW()=$K$3+8,"Дата:","")))</f>
      </c>
      <c r="J23" s="22">
        <f>IF(ISNUMBER($K23),IF(INDEX('Реестр'!$J$4:$J$103,$K23)="","",INDEX('Реестр'!$J$4:$J$103,$K23)),IF(ROW()=$K$3+8,"____________",""))</f>
      </c>
      <c r="K23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23)),"")</f>
      </c>
    </row>
    <row r="24" ht="24" customHeight="1">
      <c r="A24" s="18">
        <f>IF(ISNUMBER($K24),$K24,"")</f>
      </c>
      <c r="B24" s="23">
        <f>IF(ISNUMBER($K24),IF(INDEX('Реестр'!$B$4:$B$103,$K24)="","",INDEX('Реестр'!$B$4:$B$103,$K24)),IF(ROW()=$K$3+5,"ИТОГО",IF(ROW()=$K$3+6,"ПОДРЯДЧИК",IF(ROW()=$K$3+7,"Должн./ФИО:",IF(ROW()=$K$3+8,"Подпись:","")))))</f>
      </c>
      <c r="C24" s="23">
        <f>IF(ISNUMBER($K24),IF(INDEX('Реестр'!$C$4:$C$103,$K24)="","",INDEX('Реестр'!$C$4:$C$103,$K24)),IF(ROW()=$K$3+7,"________________",IF(ROW()=$K$3+8,"________________","")))</f>
      </c>
      <c r="D24" s="44">
        <f>IF(ISNUMBER($K24),IF(INDEX('Реестр'!$D$4:$D$103,$K24)="","",INDEX('Реестр'!$D$4:$D$103,$K24)),IF(ROW()=$K$3+8,"Дата:",""))</f>
      </c>
      <c r="E24" s="45">
        <f>IF(ISNUMBER($K24),IF(INDEX('Реестр'!$E$4:$E$103,$K24)="","",INDEX('Реестр'!$E$4:$E$103,$K24)),IF(ROW()=$K$3+8,"____________",""))</f>
      </c>
      <c r="F24" s="42">
        <f>IF(ISNUMBER($K24),IF(INDEX('Реестр'!$F$4:$F$103,$K24)="","",INDEX('Реестр'!$F$4:$F$103,$K24)),IF(ROW()=$K$3+5,'Реестр'!F104,""))</f>
      </c>
      <c r="G24" s="23">
        <f>IF(ISNUMBER($K24),IF(INDEX('Реестр'!$G$4:$G$103,$K24)="","",INDEX('Реестр'!$G$4:$G$103,$K24)),IF(ROW()=$K$3+6,"ЗАКАЗЧИК",IF(ROW()=$K$3+7,"Должн./ФИО:",IF(ROW()=$K$3+8,"Подпись:",""))))</f>
      </c>
      <c r="H24" s="46">
        <f>IF(ISNUMBER($K24),IF(INDEX('Реестр'!$H$4:$H$103,$K24)="","",INDEX('Реестр'!$H$4:$H$103,$K24)),IF(ROW()=$K$3+7,"________________",IF(ROW()=$K$3+8,"________________","")))</f>
      </c>
      <c r="I24" s="42">
        <f>IF(ISNUMBER($K24),IF(INDEX('Реестр'!$I$4:$I$103,$K24)="","",INDEX('Реестр'!$I$4:$I$103,$K24)),IF(ROW()=$K$3+5,'Реестр'!I104,IF(ROW()=$K$3+8,"Дата:","")))</f>
      </c>
      <c r="J24" s="23">
        <f>IF(ISNUMBER($K24),IF(INDEX('Реестр'!$J$4:$J$103,$K24)="","",INDEX('Реестр'!$J$4:$J$103,$K24)),IF(ROW()=$K$3+8,"____________",""))</f>
      </c>
      <c r="K24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24)),"")</f>
      </c>
    </row>
    <row r="25" ht="24" customHeight="1">
      <c r="A25" s="17">
        <f>IF(ISNUMBER($K25),$K25,"")</f>
      </c>
      <c r="B25" s="22">
        <f>IF(ISNUMBER($K25),IF(INDEX('Реестр'!$B$4:$B$103,$K25)="","",INDEX('Реестр'!$B$4:$B$103,$K25)),IF(ROW()=$K$3+5,"ИТОГО",IF(ROW()=$K$3+6,"ПОДРЯДЧИК",IF(ROW()=$K$3+7,"Должн./ФИО:",IF(ROW()=$K$3+8,"Подпись:","")))))</f>
      </c>
      <c r="C25" s="22">
        <f>IF(ISNUMBER($K25),IF(INDEX('Реестр'!$C$4:$C$103,$K25)="","",INDEX('Реестр'!$C$4:$C$103,$K25)),IF(ROW()=$K$3+7,"________________",IF(ROW()=$K$3+8,"________________","")))</f>
      </c>
      <c r="D25" s="40">
        <f>IF(ISNUMBER($K25),IF(INDEX('Реестр'!$D$4:$D$103,$K25)="","",INDEX('Реестр'!$D$4:$D$103,$K25)),IF(ROW()=$K$3+8,"Дата:",""))</f>
      </c>
      <c r="E25" s="41">
        <f>IF(ISNUMBER($K25),IF(INDEX('Реестр'!$E$4:$E$103,$K25)="","",INDEX('Реестр'!$E$4:$E$103,$K25)),IF(ROW()=$K$3+8,"____________",""))</f>
      </c>
      <c r="F25" s="42">
        <f>IF(ISNUMBER($K25),IF(INDEX('Реестр'!$F$4:$F$103,$K25)="","",INDEX('Реестр'!$F$4:$F$103,$K25)),IF(ROW()=$K$3+5,'Реестр'!F104,""))</f>
      </c>
      <c r="G25" s="22">
        <f>IF(ISNUMBER($K25),IF(INDEX('Реестр'!$G$4:$G$103,$K25)="","",INDEX('Реестр'!$G$4:$G$103,$K25)),IF(ROW()=$K$3+6,"ЗАКАЗЧИК",IF(ROW()=$K$3+7,"Должн./ФИО:",IF(ROW()=$K$3+8,"Подпись:",""))))</f>
      </c>
      <c r="H25" s="43">
        <f>IF(ISNUMBER($K25),IF(INDEX('Реестр'!$H$4:$H$103,$K25)="","",INDEX('Реестр'!$H$4:$H$103,$K25)),IF(ROW()=$K$3+7,"________________",IF(ROW()=$K$3+8,"________________","")))</f>
      </c>
      <c r="I25" s="42">
        <f>IF(ISNUMBER($K25),IF(INDEX('Реестр'!$I$4:$I$103,$K25)="","",INDEX('Реестр'!$I$4:$I$103,$K25)),IF(ROW()=$K$3+5,'Реестр'!I104,IF(ROW()=$K$3+8,"Дата:","")))</f>
      </c>
      <c r="J25" s="22">
        <f>IF(ISNUMBER($K25),IF(INDEX('Реестр'!$J$4:$J$103,$K25)="","",INDEX('Реестр'!$J$4:$J$103,$K25)),IF(ROW()=$K$3+8,"____________",""))</f>
      </c>
      <c r="K25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25)),"")</f>
      </c>
    </row>
    <row r="26" ht="24" customHeight="1">
      <c r="A26" s="18">
        <f>IF(ISNUMBER($K26),$K26,"")</f>
      </c>
      <c r="B26" s="23">
        <f>IF(ISNUMBER($K26),IF(INDEX('Реестр'!$B$4:$B$103,$K26)="","",INDEX('Реестр'!$B$4:$B$103,$K26)),IF(ROW()=$K$3+5,"ИТОГО",IF(ROW()=$K$3+6,"ПОДРЯДЧИК",IF(ROW()=$K$3+7,"Должн./ФИО:",IF(ROW()=$K$3+8,"Подпись:","")))))</f>
      </c>
      <c r="C26" s="23">
        <f>IF(ISNUMBER($K26),IF(INDEX('Реестр'!$C$4:$C$103,$K26)="","",INDEX('Реестр'!$C$4:$C$103,$K26)),IF(ROW()=$K$3+7,"________________",IF(ROW()=$K$3+8,"________________","")))</f>
      </c>
      <c r="D26" s="44">
        <f>IF(ISNUMBER($K26),IF(INDEX('Реестр'!$D$4:$D$103,$K26)="","",INDEX('Реестр'!$D$4:$D$103,$K26)),IF(ROW()=$K$3+8,"Дата:",""))</f>
      </c>
      <c r="E26" s="45">
        <f>IF(ISNUMBER($K26),IF(INDEX('Реестр'!$E$4:$E$103,$K26)="","",INDEX('Реестр'!$E$4:$E$103,$K26)),IF(ROW()=$K$3+8,"____________",""))</f>
      </c>
      <c r="F26" s="42">
        <f>IF(ISNUMBER($K26),IF(INDEX('Реестр'!$F$4:$F$103,$K26)="","",INDEX('Реестр'!$F$4:$F$103,$K26)),IF(ROW()=$K$3+5,'Реестр'!F104,""))</f>
      </c>
      <c r="G26" s="23">
        <f>IF(ISNUMBER($K26),IF(INDEX('Реестр'!$G$4:$G$103,$K26)="","",INDEX('Реестр'!$G$4:$G$103,$K26)),IF(ROW()=$K$3+6,"ЗАКАЗЧИК",IF(ROW()=$K$3+7,"Должн./ФИО:",IF(ROW()=$K$3+8,"Подпись:",""))))</f>
      </c>
      <c r="H26" s="46">
        <f>IF(ISNUMBER($K26),IF(INDEX('Реестр'!$H$4:$H$103,$K26)="","",INDEX('Реестр'!$H$4:$H$103,$K26)),IF(ROW()=$K$3+7,"________________",IF(ROW()=$K$3+8,"________________","")))</f>
      </c>
      <c r="I26" s="42">
        <f>IF(ISNUMBER($K26),IF(INDEX('Реестр'!$I$4:$I$103,$K26)="","",INDEX('Реестр'!$I$4:$I$103,$K26)),IF(ROW()=$K$3+5,'Реестр'!I104,IF(ROW()=$K$3+8,"Дата:","")))</f>
      </c>
      <c r="J26" s="23">
        <f>IF(ISNUMBER($K26),IF(INDEX('Реестр'!$J$4:$J$103,$K26)="","",INDEX('Реестр'!$J$4:$J$103,$K26)),IF(ROW()=$K$3+8,"____________",""))</f>
      </c>
      <c r="K26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26)),"")</f>
      </c>
    </row>
    <row r="27" ht="24" customHeight="1">
      <c r="A27" s="17">
        <f>IF(ISNUMBER($K27),$K27,"")</f>
      </c>
      <c r="B27" s="22">
        <f>IF(ISNUMBER($K27),IF(INDEX('Реестр'!$B$4:$B$103,$K27)="","",INDEX('Реестр'!$B$4:$B$103,$K27)),IF(ROW()=$K$3+5,"ИТОГО",IF(ROW()=$K$3+6,"ПОДРЯДЧИК",IF(ROW()=$K$3+7,"Должн./ФИО:",IF(ROW()=$K$3+8,"Подпись:","")))))</f>
      </c>
      <c r="C27" s="22">
        <f>IF(ISNUMBER($K27),IF(INDEX('Реестр'!$C$4:$C$103,$K27)="","",INDEX('Реестр'!$C$4:$C$103,$K27)),IF(ROW()=$K$3+7,"________________",IF(ROW()=$K$3+8,"________________","")))</f>
      </c>
      <c r="D27" s="40">
        <f>IF(ISNUMBER($K27),IF(INDEX('Реестр'!$D$4:$D$103,$K27)="","",INDEX('Реестр'!$D$4:$D$103,$K27)),IF(ROW()=$K$3+8,"Дата:",""))</f>
      </c>
      <c r="E27" s="41">
        <f>IF(ISNUMBER($K27),IF(INDEX('Реестр'!$E$4:$E$103,$K27)="","",INDEX('Реестр'!$E$4:$E$103,$K27)),IF(ROW()=$K$3+8,"____________",""))</f>
      </c>
      <c r="F27" s="42">
        <f>IF(ISNUMBER($K27),IF(INDEX('Реестр'!$F$4:$F$103,$K27)="","",INDEX('Реестр'!$F$4:$F$103,$K27)),IF(ROW()=$K$3+5,'Реестр'!F104,""))</f>
      </c>
      <c r="G27" s="22">
        <f>IF(ISNUMBER($K27),IF(INDEX('Реестр'!$G$4:$G$103,$K27)="","",INDEX('Реестр'!$G$4:$G$103,$K27)),IF(ROW()=$K$3+6,"ЗАКАЗЧИК",IF(ROW()=$K$3+7,"Должн./ФИО:",IF(ROW()=$K$3+8,"Подпись:",""))))</f>
      </c>
      <c r="H27" s="43">
        <f>IF(ISNUMBER($K27),IF(INDEX('Реестр'!$H$4:$H$103,$K27)="","",INDEX('Реестр'!$H$4:$H$103,$K27)),IF(ROW()=$K$3+7,"________________",IF(ROW()=$K$3+8,"________________","")))</f>
      </c>
      <c r="I27" s="42">
        <f>IF(ISNUMBER($K27),IF(INDEX('Реестр'!$I$4:$I$103,$K27)="","",INDEX('Реестр'!$I$4:$I$103,$K27)),IF(ROW()=$K$3+5,'Реестр'!I104,IF(ROW()=$K$3+8,"Дата:","")))</f>
      </c>
      <c r="J27" s="22">
        <f>IF(ISNUMBER($K27),IF(INDEX('Реестр'!$J$4:$J$103,$K27)="","",INDEX('Реестр'!$J$4:$J$103,$K27)),IF(ROW()=$K$3+8,"____________",""))</f>
      </c>
      <c r="K27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27)),"")</f>
      </c>
    </row>
    <row r="28" ht="24" customHeight="1">
      <c r="A28" s="18">
        <f>IF(ISNUMBER($K28),$K28,"")</f>
      </c>
      <c r="B28" s="23">
        <f>IF(ISNUMBER($K28),IF(INDEX('Реестр'!$B$4:$B$103,$K28)="","",INDEX('Реестр'!$B$4:$B$103,$K28)),IF(ROW()=$K$3+5,"ИТОГО",IF(ROW()=$K$3+6,"ПОДРЯДЧИК",IF(ROW()=$K$3+7,"Должн./ФИО:",IF(ROW()=$K$3+8,"Подпись:","")))))</f>
      </c>
      <c r="C28" s="23">
        <f>IF(ISNUMBER($K28),IF(INDEX('Реестр'!$C$4:$C$103,$K28)="","",INDEX('Реестр'!$C$4:$C$103,$K28)),IF(ROW()=$K$3+7,"________________",IF(ROW()=$K$3+8,"________________","")))</f>
      </c>
      <c r="D28" s="44">
        <f>IF(ISNUMBER($K28),IF(INDEX('Реестр'!$D$4:$D$103,$K28)="","",INDEX('Реестр'!$D$4:$D$103,$K28)),IF(ROW()=$K$3+8,"Дата:",""))</f>
      </c>
      <c r="E28" s="45">
        <f>IF(ISNUMBER($K28),IF(INDEX('Реестр'!$E$4:$E$103,$K28)="","",INDEX('Реестр'!$E$4:$E$103,$K28)),IF(ROW()=$K$3+8,"____________",""))</f>
      </c>
      <c r="F28" s="42">
        <f>IF(ISNUMBER($K28),IF(INDEX('Реестр'!$F$4:$F$103,$K28)="","",INDEX('Реестр'!$F$4:$F$103,$K28)),IF(ROW()=$K$3+5,'Реестр'!F104,""))</f>
      </c>
      <c r="G28" s="23">
        <f>IF(ISNUMBER($K28),IF(INDEX('Реестр'!$G$4:$G$103,$K28)="","",INDEX('Реестр'!$G$4:$G$103,$K28)),IF(ROW()=$K$3+6,"ЗАКАЗЧИК",IF(ROW()=$K$3+7,"Должн./ФИО:",IF(ROW()=$K$3+8,"Подпись:",""))))</f>
      </c>
      <c r="H28" s="46">
        <f>IF(ISNUMBER($K28),IF(INDEX('Реестр'!$H$4:$H$103,$K28)="","",INDEX('Реестр'!$H$4:$H$103,$K28)),IF(ROW()=$K$3+7,"________________",IF(ROW()=$K$3+8,"________________","")))</f>
      </c>
      <c r="I28" s="42">
        <f>IF(ISNUMBER($K28),IF(INDEX('Реестр'!$I$4:$I$103,$K28)="","",INDEX('Реестр'!$I$4:$I$103,$K28)),IF(ROW()=$K$3+5,'Реестр'!I104,IF(ROW()=$K$3+8,"Дата:","")))</f>
      </c>
      <c r="J28" s="23">
        <f>IF(ISNUMBER($K28),IF(INDEX('Реестр'!$J$4:$J$103,$K28)="","",INDEX('Реестр'!$J$4:$J$103,$K28)),IF(ROW()=$K$3+8,"____________",""))</f>
      </c>
      <c r="K28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28)),"")</f>
      </c>
    </row>
    <row r="29" ht="24" customHeight="1">
      <c r="A29" s="17">
        <f>IF(ISNUMBER($K29),$K29,"")</f>
      </c>
      <c r="B29" s="22">
        <f>IF(ISNUMBER($K29),IF(INDEX('Реестр'!$B$4:$B$103,$K29)="","",INDEX('Реестр'!$B$4:$B$103,$K29)),IF(ROW()=$K$3+5,"ИТОГО",IF(ROW()=$K$3+6,"ПОДРЯДЧИК",IF(ROW()=$K$3+7,"Должн./ФИО:",IF(ROW()=$K$3+8,"Подпись:","")))))</f>
      </c>
      <c r="C29" s="22">
        <f>IF(ISNUMBER($K29),IF(INDEX('Реестр'!$C$4:$C$103,$K29)="","",INDEX('Реестр'!$C$4:$C$103,$K29)),IF(ROW()=$K$3+7,"________________",IF(ROW()=$K$3+8,"________________","")))</f>
      </c>
      <c r="D29" s="40">
        <f>IF(ISNUMBER($K29),IF(INDEX('Реестр'!$D$4:$D$103,$K29)="","",INDEX('Реестр'!$D$4:$D$103,$K29)),IF(ROW()=$K$3+8,"Дата:",""))</f>
      </c>
      <c r="E29" s="41">
        <f>IF(ISNUMBER($K29),IF(INDEX('Реестр'!$E$4:$E$103,$K29)="","",INDEX('Реестр'!$E$4:$E$103,$K29)),IF(ROW()=$K$3+8,"____________",""))</f>
      </c>
      <c r="F29" s="42">
        <f>IF(ISNUMBER($K29),IF(INDEX('Реестр'!$F$4:$F$103,$K29)="","",INDEX('Реестр'!$F$4:$F$103,$K29)),IF(ROW()=$K$3+5,'Реестр'!F104,""))</f>
      </c>
      <c r="G29" s="22">
        <f>IF(ISNUMBER($K29),IF(INDEX('Реестр'!$G$4:$G$103,$K29)="","",INDEX('Реестр'!$G$4:$G$103,$K29)),IF(ROW()=$K$3+6,"ЗАКАЗЧИК",IF(ROW()=$K$3+7,"Должн./ФИО:",IF(ROW()=$K$3+8,"Подпись:",""))))</f>
      </c>
      <c r="H29" s="43">
        <f>IF(ISNUMBER($K29),IF(INDEX('Реестр'!$H$4:$H$103,$K29)="","",INDEX('Реестр'!$H$4:$H$103,$K29)),IF(ROW()=$K$3+7,"________________",IF(ROW()=$K$3+8,"________________","")))</f>
      </c>
      <c r="I29" s="42">
        <f>IF(ISNUMBER($K29),IF(INDEX('Реестр'!$I$4:$I$103,$K29)="","",INDEX('Реестр'!$I$4:$I$103,$K29)),IF(ROW()=$K$3+5,'Реестр'!I104,IF(ROW()=$K$3+8,"Дата:","")))</f>
      </c>
      <c r="J29" s="22">
        <f>IF(ISNUMBER($K29),IF(INDEX('Реестр'!$J$4:$J$103,$K29)="","",INDEX('Реестр'!$J$4:$J$103,$K29)),IF(ROW()=$K$3+8,"____________",""))</f>
      </c>
      <c r="K29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29)),"")</f>
      </c>
    </row>
    <row r="30" ht="24" customHeight="1">
      <c r="A30" s="18">
        <f>IF(ISNUMBER($K30),$K30,"")</f>
      </c>
      <c r="B30" s="23">
        <f>IF(ISNUMBER($K30),IF(INDEX('Реестр'!$B$4:$B$103,$K30)="","",INDEX('Реестр'!$B$4:$B$103,$K30)),IF(ROW()=$K$3+5,"ИТОГО",IF(ROW()=$K$3+6,"ПОДРЯДЧИК",IF(ROW()=$K$3+7,"Должн./ФИО:",IF(ROW()=$K$3+8,"Подпись:","")))))</f>
      </c>
      <c r="C30" s="23">
        <f>IF(ISNUMBER($K30),IF(INDEX('Реестр'!$C$4:$C$103,$K30)="","",INDEX('Реестр'!$C$4:$C$103,$K30)),IF(ROW()=$K$3+7,"________________",IF(ROW()=$K$3+8,"________________","")))</f>
      </c>
      <c r="D30" s="44">
        <f>IF(ISNUMBER($K30),IF(INDEX('Реестр'!$D$4:$D$103,$K30)="","",INDEX('Реестр'!$D$4:$D$103,$K30)),IF(ROW()=$K$3+8,"Дата:",""))</f>
      </c>
      <c r="E30" s="45">
        <f>IF(ISNUMBER($K30),IF(INDEX('Реестр'!$E$4:$E$103,$K30)="","",INDEX('Реестр'!$E$4:$E$103,$K30)),IF(ROW()=$K$3+8,"____________",""))</f>
      </c>
      <c r="F30" s="42">
        <f>IF(ISNUMBER($K30),IF(INDEX('Реестр'!$F$4:$F$103,$K30)="","",INDEX('Реестр'!$F$4:$F$103,$K30)),IF(ROW()=$K$3+5,'Реестр'!F104,""))</f>
      </c>
      <c r="G30" s="23">
        <f>IF(ISNUMBER($K30),IF(INDEX('Реестр'!$G$4:$G$103,$K30)="","",INDEX('Реестр'!$G$4:$G$103,$K30)),IF(ROW()=$K$3+6,"ЗАКАЗЧИК",IF(ROW()=$K$3+7,"Должн./ФИО:",IF(ROW()=$K$3+8,"Подпись:",""))))</f>
      </c>
      <c r="H30" s="46">
        <f>IF(ISNUMBER($K30),IF(INDEX('Реестр'!$H$4:$H$103,$K30)="","",INDEX('Реестр'!$H$4:$H$103,$K30)),IF(ROW()=$K$3+7,"________________",IF(ROW()=$K$3+8,"________________","")))</f>
      </c>
      <c r="I30" s="42">
        <f>IF(ISNUMBER($K30),IF(INDEX('Реестр'!$I$4:$I$103,$K30)="","",INDEX('Реестр'!$I$4:$I$103,$K30)),IF(ROW()=$K$3+5,'Реестр'!I104,IF(ROW()=$K$3+8,"Дата:","")))</f>
      </c>
      <c r="J30" s="23">
        <f>IF(ISNUMBER($K30),IF(INDEX('Реестр'!$J$4:$J$103,$K30)="","",INDEX('Реестр'!$J$4:$J$103,$K30)),IF(ROW()=$K$3+8,"____________",""))</f>
      </c>
      <c r="K30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30)),"")</f>
      </c>
    </row>
    <row r="31" ht="24" customHeight="1">
      <c r="A31" s="17">
        <f>IF(ISNUMBER($K31),$K31,"")</f>
      </c>
      <c r="B31" s="22">
        <f>IF(ISNUMBER($K31),IF(INDEX('Реестр'!$B$4:$B$103,$K31)="","",INDEX('Реестр'!$B$4:$B$103,$K31)),IF(ROW()=$K$3+5,"ИТОГО",IF(ROW()=$K$3+6,"ПОДРЯДЧИК",IF(ROW()=$K$3+7,"Должн./ФИО:",IF(ROW()=$K$3+8,"Подпись:","")))))</f>
      </c>
      <c r="C31" s="22">
        <f>IF(ISNUMBER($K31),IF(INDEX('Реестр'!$C$4:$C$103,$K31)="","",INDEX('Реестр'!$C$4:$C$103,$K31)),IF(ROW()=$K$3+7,"________________",IF(ROW()=$K$3+8,"________________","")))</f>
      </c>
      <c r="D31" s="40">
        <f>IF(ISNUMBER($K31),IF(INDEX('Реестр'!$D$4:$D$103,$K31)="","",INDEX('Реестр'!$D$4:$D$103,$K31)),IF(ROW()=$K$3+8,"Дата:",""))</f>
      </c>
      <c r="E31" s="41">
        <f>IF(ISNUMBER($K31),IF(INDEX('Реестр'!$E$4:$E$103,$K31)="","",INDEX('Реестр'!$E$4:$E$103,$K31)),IF(ROW()=$K$3+8,"____________",""))</f>
      </c>
      <c r="F31" s="42">
        <f>IF(ISNUMBER($K31),IF(INDEX('Реестр'!$F$4:$F$103,$K31)="","",INDEX('Реестр'!$F$4:$F$103,$K31)),IF(ROW()=$K$3+5,'Реестр'!F104,""))</f>
      </c>
      <c r="G31" s="22">
        <f>IF(ISNUMBER($K31),IF(INDEX('Реестр'!$G$4:$G$103,$K31)="","",INDEX('Реестр'!$G$4:$G$103,$K31)),IF(ROW()=$K$3+6,"ЗАКАЗЧИК",IF(ROW()=$K$3+7,"Должн./ФИО:",IF(ROW()=$K$3+8,"Подпись:",""))))</f>
      </c>
      <c r="H31" s="43">
        <f>IF(ISNUMBER($K31),IF(INDEX('Реестр'!$H$4:$H$103,$K31)="","",INDEX('Реестр'!$H$4:$H$103,$K31)),IF(ROW()=$K$3+7,"________________",IF(ROW()=$K$3+8,"________________","")))</f>
      </c>
      <c r="I31" s="42">
        <f>IF(ISNUMBER($K31),IF(INDEX('Реестр'!$I$4:$I$103,$K31)="","",INDEX('Реестр'!$I$4:$I$103,$K31)),IF(ROW()=$K$3+5,'Реестр'!I104,IF(ROW()=$K$3+8,"Дата:","")))</f>
      </c>
      <c r="J31" s="22">
        <f>IF(ISNUMBER($K31),IF(INDEX('Реестр'!$J$4:$J$103,$K31)="","",INDEX('Реестр'!$J$4:$J$103,$K31)),IF(ROW()=$K$3+8,"____________",""))</f>
      </c>
      <c r="K31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31)),"")</f>
      </c>
    </row>
    <row r="32" ht="24" customHeight="1">
      <c r="A32" s="18">
        <f>IF(ISNUMBER($K32),$K32,"")</f>
      </c>
      <c r="B32" s="23">
        <f>IF(ISNUMBER($K32),IF(INDEX('Реестр'!$B$4:$B$103,$K32)="","",INDEX('Реестр'!$B$4:$B$103,$K32)),IF(ROW()=$K$3+5,"ИТОГО",IF(ROW()=$K$3+6,"ПОДРЯДЧИК",IF(ROW()=$K$3+7,"Должн./ФИО:",IF(ROW()=$K$3+8,"Подпись:","")))))</f>
      </c>
      <c r="C32" s="23">
        <f>IF(ISNUMBER($K32),IF(INDEX('Реестр'!$C$4:$C$103,$K32)="","",INDEX('Реестр'!$C$4:$C$103,$K32)),IF(ROW()=$K$3+7,"________________",IF(ROW()=$K$3+8,"________________","")))</f>
      </c>
      <c r="D32" s="44">
        <f>IF(ISNUMBER($K32),IF(INDEX('Реестр'!$D$4:$D$103,$K32)="","",INDEX('Реестр'!$D$4:$D$103,$K32)),IF(ROW()=$K$3+8,"Дата:",""))</f>
      </c>
      <c r="E32" s="45">
        <f>IF(ISNUMBER($K32),IF(INDEX('Реестр'!$E$4:$E$103,$K32)="","",INDEX('Реестр'!$E$4:$E$103,$K32)),IF(ROW()=$K$3+8,"____________",""))</f>
      </c>
      <c r="F32" s="42">
        <f>IF(ISNUMBER($K32),IF(INDEX('Реестр'!$F$4:$F$103,$K32)="","",INDEX('Реестр'!$F$4:$F$103,$K32)),IF(ROW()=$K$3+5,'Реестр'!F104,""))</f>
      </c>
      <c r="G32" s="23">
        <f>IF(ISNUMBER($K32),IF(INDEX('Реестр'!$G$4:$G$103,$K32)="","",INDEX('Реестр'!$G$4:$G$103,$K32)),IF(ROW()=$K$3+6,"ЗАКАЗЧИК",IF(ROW()=$K$3+7,"Должн./ФИО:",IF(ROW()=$K$3+8,"Подпись:",""))))</f>
      </c>
      <c r="H32" s="46">
        <f>IF(ISNUMBER($K32),IF(INDEX('Реестр'!$H$4:$H$103,$K32)="","",INDEX('Реестр'!$H$4:$H$103,$K32)),IF(ROW()=$K$3+7,"________________",IF(ROW()=$K$3+8,"________________","")))</f>
      </c>
      <c r="I32" s="42">
        <f>IF(ISNUMBER($K32),IF(INDEX('Реестр'!$I$4:$I$103,$K32)="","",INDEX('Реестр'!$I$4:$I$103,$K32)),IF(ROW()=$K$3+5,'Реестр'!I104,IF(ROW()=$K$3+8,"Дата:","")))</f>
      </c>
      <c r="J32" s="23">
        <f>IF(ISNUMBER($K32),IF(INDEX('Реестр'!$J$4:$J$103,$K32)="","",INDEX('Реестр'!$J$4:$J$103,$K32)),IF(ROW()=$K$3+8,"____________",""))</f>
      </c>
      <c r="K32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32)),"")</f>
      </c>
    </row>
    <row r="33" ht="24" customHeight="1">
      <c r="A33" s="17">
        <f>IF(ISNUMBER($K33),$K33,"")</f>
      </c>
      <c r="B33" s="22">
        <f>IF(ISNUMBER($K33),IF(INDEX('Реестр'!$B$4:$B$103,$K33)="","",INDEX('Реестр'!$B$4:$B$103,$K33)),IF(ROW()=$K$3+5,"ИТОГО",IF(ROW()=$K$3+6,"ПОДРЯДЧИК",IF(ROW()=$K$3+7,"Должн./ФИО:",IF(ROW()=$K$3+8,"Подпись:","")))))</f>
      </c>
      <c r="C33" s="22">
        <f>IF(ISNUMBER($K33),IF(INDEX('Реестр'!$C$4:$C$103,$K33)="","",INDEX('Реестр'!$C$4:$C$103,$K33)),IF(ROW()=$K$3+7,"________________",IF(ROW()=$K$3+8,"________________","")))</f>
      </c>
      <c r="D33" s="40">
        <f>IF(ISNUMBER($K33),IF(INDEX('Реестр'!$D$4:$D$103,$K33)="","",INDEX('Реестр'!$D$4:$D$103,$K33)),IF(ROW()=$K$3+8,"Дата:",""))</f>
      </c>
      <c r="E33" s="41">
        <f>IF(ISNUMBER($K33),IF(INDEX('Реестр'!$E$4:$E$103,$K33)="","",INDEX('Реестр'!$E$4:$E$103,$K33)),IF(ROW()=$K$3+8,"____________",""))</f>
      </c>
      <c r="F33" s="42">
        <f>IF(ISNUMBER($K33),IF(INDEX('Реестр'!$F$4:$F$103,$K33)="","",INDEX('Реестр'!$F$4:$F$103,$K33)),IF(ROW()=$K$3+5,'Реестр'!F104,""))</f>
      </c>
      <c r="G33" s="22">
        <f>IF(ISNUMBER($K33),IF(INDEX('Реестр'!$G$4:$G$103,$K33)="","",INDEX('Реестр'!$G$4:$G$103,$K33)),IF(ROW()=$K$3+6,"ЗАКАЗЧИК",IF(ROW()=$K$3+7,"Должн./ФИО:",IF(ROW()=$K$3+8,"Подпись:",""))))</f>
      </c>
      <c r="H33" s="43">
        <f>IF(ISNUMBER($K33),IF(INDEX('Реестр'!$H$4:$H$103,$K33)="","",INDEX('Реестр'!$H$4:$H$103,$K33)),IF(ROW()=$K$3+7,"________________",IF(ROW()=$K$3+8,"________________","")))</f>
      </c>
      <c r="I33" s="42">
        <f>IF(ISNUMBER($K33),IF(INDEX('Реестр'!$I$4:$I$103,$K33)="","",INDEX('Реестр'!$I$4:$I$103,$K33)),IF(ROW()=$K$3+5,'Реестр'!I104,IF(ROW()=$K$3+8,"Дата:","")))</f>
      </c>
      <c r="J33" s="22">
        <f>IF(ISNUMBER($K33),IF(INDEX('Реестр'!$J$4:$J$103,$K33)="","",INDEX('Реестр'!$J$4:$J$103,$K33)),IF(ROW()=$K$3+8,"____________",""))</f>
      </c>
      <c r="K33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33)),"")</f>
      </c>
    </row>
    <row r="34" ht="24" customHeight="1">
      <c r="A34" s="18">
        <f>IF(ISNUMBER($K34),$K34,"")</f>
      </c>
      <c r="B34" s="23">
        <f>IF(ISNUMBER($K34),IF(INDEX('Реестр'!$B$4:$B$103,$K34)="","",INDEX('Реестр'!$B$4:$B$103,$K34)),IF(ROW()=$K$3+5,"ИТОГО",IF(ROW()=$K$3+6,"ПОДРЯДЧИК",IF(ROW()=$K$3+7,"Должн./ФИО:",IF(ROW()=$K$3+8,"Подпись:","")))))</f>
      </c>
      <c r="C34" s="23">
        <f>IF(ISNUMBER($K34),IF(INDEX('Реестр'!$C$4:$C$103,$K34)="","",INDEX('Реестр'!$C$4:$C$103,$K34)),IF(ROW()=$K$3+7,"________________",IF(ROW()=$K$3+8,"________________","")))</f>
      </c>
      <c r="D34" s="44">
        <f>IF(ISNUMBER($K34),IF(INDEX('Реестр'!$D$4:$D$103,$K34)="","",INDEX('Реестр'!$D$4:$D$103,$K34)),IF(ROW()=$K$3+8,"Дата:",""))</f>
      </c>
      <c r="E34" s="45">
        <f>IF(ISNUMBER($K34),IF(INDEX('Реестр'!$E$4:$E$103,$K34)="","",INDEX('Реестр'!$E$4:$E$103,$K34)),IF(ROW()=$K$3+8,"____________",""))</f>
      </c>
      <c r="F34" s="42">
        <f>IF(ISNUMBER($K34),IF(INDEX('Реестр'!$F$4:$F$103,$K34)="","",INDEX('Реестр'!$F$4:$F$103,$K34)),IF(ROW()=$K$3+5,'Реестр'!F104,""))</f>
      </c>
      <c r="G34" s="23">
        <f>IF(ISNUMBER($K34),IF(INDEX('Реестр'!$G$4:$G$103,$K34)="","",INDEX('Реестр'!$G$4:$G$103,$K34)),IF(ROW()=$K$3+6,"ЗАКАЗЧИК",IF(ROW()=$K$3+7,"Должн./ФИО:",IF(ROW()=$K$3+8,"Подпись:",""))))</f>
      </c>
      <c r="H34" s="46">
        <f>IF(ISNUMBER($K34),IF(INDEX('Реестр'!$H$4:$H$103,$K34)="","",INDEX('Реестр'!$H$4:$H$103,$K34)),IF(ROW()=$K$3+7,"________________",IF(ROW()=$K$3+8,"________________","")))</f>
      </c>
      <c r="I34" s="42">
        <f>IF(ISNUMBER($K34),IF(INDEX('Реестр'!$I$4:$I$103,$K34)="","",INDEX('Реестр'!$I$4:$I$103,$K34)),IF(ROW()=$K$3+5,'Реестр'!I104,IF(ROW()=$K$3+8,"Дата:","")))</f>
      </c>
      <c r="J34" s="23">
        <f>IF(ISNUMBER($K34),IF(INDEX('Реестр'!$J$4:$J$103,$K34)="","",INDEX('Реестр'!$J$4:$J$103,$K34)),IF(ROW()=$K$3+8,"____________",""))</f>
      </c>
      <c r="K34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34)),"")</f>
      </c>
    </row>
    <row r="35" ht="24" customHeight="1">
      <c r="A35" s="17">
        <f>IF(ISNUMBER($K35),$K35,"")</f>
      </c>
      <c r="B35" s="22">
        <f>IF(ISNUMBER($K35),IF(INDEX('Реестр'!$B$4:$B$103,$K35)="","",INDEX('Реестр'!$B$4:$B$103,$K35)),IF(ROW()=$K$3+5,"ИТОГО",IF(ROW()=$K$3+6,"ПОДРЯДЧИК",IF(ROW()=$K$3+7,"Должн./ФИО:",IF(ROW()=$K$3+8,"Подпись:","")))))</f>
      </c>
      <c r="C35" s="22">
        <f>IF(ISNUMBER($K35),IF(INDEX('Реестр'!$C$4:$C$103,$K35)="","",INDEX('Реестр'!$C$4:$C$103,$K35)),IF(ROW()=$K$3+7,"________________",IF(ROW()=$K$3+8,"________________","")))</f>
      </c>
      <c r="D35" s="40">
        <f>IF(ISNUMBER($K35),IF(INDEX('Реестр'!$D$4:$D$103,$K35)="","",INDEX('Реестр'!$D$4:$D$103,$K35)),IF(ROW()=$K$3+8,"Дата:",""))</f>
      </c>
      <c r="E35" s="41">
        <f>IF(ISNUMBER($K35),IF(INDEX('Реестр'!$E$4:$E$103,$K35)="","",INDEX('Реестр'!$E$4:$E$103,$K35)),IF(ROW()=$K$3+8,"____________",""))</f>
      </c>
      <c r="F35" s="42">
        <f>IF(ISNUMBER($K35),IF(INDEX('Реестр'!$F$4:$F$103,$K35)="","",INDEX('Реестр'!$F$4:$F$103,$K35)),IF(ROW()=$K$3+5,'Реестр'!F104,""))</f>
      </c>
      <c r="G35" s="22">
        <f>IF(ISNUMBER($K35),IF(INDEX('Реестр'!$G$4:$G$103,$K35)="","",INDEX('Реестр'!$G$4:$G$103,$K35)),IF(ROW()=$K$3+6,"ЗАКАЗЧИК",IF(ROW()=$K$3+7,"Должн./ФИО:",IF(ROW()=$K$3+8,"Подпись:",""))))</f>
      </c>
      <c r="H35" s="43">
        <f>IF(ISNUMBER($K35),IF(INDEX('Реестр'!$H$4:$H$103,$K35)="","",INDEX('Реестр'!$H$4:$H$103,$K35)),IF(ROW()=$K$3+7,"________________",IF(ROW()=$K$3+8,"________________","")))</f>
      </c>
      <c r="I35" s="42">
        <f>IF(ISNUMBER($K35),IF(INDEX('Реестр'!$I$4:$I$103,$K35)="","",INDEX('Реестр'!$I$4:$I$103,$K35)),IF(ROW()=$K$3+5,'Реестр'!I104,IF(ROW()=$K$3+8,"Дата:","")))</f>
      </c>
      <c r="J35" s="22">
        <f>IF(ISNUMBER($K35),IF(INDEX('Реестр'!$J$4:$J$103,$K35)="","",INDEX('Реестр'!$J$4:$J$103,$K35)),IF(ROW()=$K$3+8,"____________",""))</f>
      </c>
      <c r="K35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35)),"")</f>
      </c>
    </row>
    <row r="36" ht="24" customHeight="1">
      <c r="A36" s="18">
        <f>IF(ISNUMBER($K36),$K36,"")</f>
      </c>
      <c r="B36" s="23">
        <f>IF(ISNUMBER($K36),IF(INDEX('Реестр'!$B$4:$B$103,$K36)="","",INDEX('Реестр'!$B$4:$B$103,$K36)),IF(ROW()=$K$3+5,"ИТОГО",IF(ROW()=$K$3+6,"ПОДРЯДЧИК",IF(ROW()=$K$3+7,"Должн./ФИО:",IF(ROW()=$K$3+8,"Подпись:","")))))</f>
      </c>
      <c r="C36" s="23">
        <f>IF(ISNUMBER($K36),IF(INDEX('Реестр'!$C$4:$C$103,$K36)="","",INDEX('Реестр'!$C$4:$C$103,$K36)),IF(ROW()=$K$3+7,"________________",IF(ROW()=$K$3+8,"________________","")))</f>
      </c>
      <c r="D36" s="44">
        <f>IF(ISNUMBER($K36),IF(INDEX('Реестр'!$D$4:$D$103,$K36)="","",INDEX('Реестр'!$D$4:$D$103,$K36)),IF(ROW()=$K$3+8,"Дата:",""))</f>
      </c>
      <c r="E36" s="45">
        <f>IF(ISNUMBER($K36),IF(INDEX('Реестр'!$E$4:$E$103,$K36)="","",INDEX('Реестр'!$E$4:$E$103,$K36)),IF(ROW()=$K$3+8,"____________",""))</f>
      </c>
      <c r="F36" s="42">
        <f>IF(ISNUMBER($K36),IF(INDEX('Реестр'!$F$4:$F$103,$K36)="","",INDEX('Реестр'!$F$4:$F$103,$K36)),IF(ROW()=$K$3+5,'Реестр'!F104,""))</f>
      </c>
      <c r="G36" s="23">
        <f>IF(ISNUMBER($K36),IF(INDEX('Реестр'!$G$4:$G$103,$K36)="","",INDEX('Реестр'!$G$4:$G$103,$K36)),IF(ROW()=$K$3+6,"ЗАКАЗЧИК",IF(ROW()=$K$3+7,"Должн./ФИО:",IF(ROW()=$K$3+8,"Подпись:",""))))</f>
      </c>
      <c r="H36" s="46">
        <f>IF(ISNUMBER($K36),IF(INDEX('Реестр'!$H$4:$H$103,$K36)="","",INDEX('Реестр'!$H$4:$H$103,$K36)),IF(ROW()=$K$3+7,"________________",IF(ROW()=$K$3+8,"________________","")))</f>
      </c>
      <c r="I36" s="42">
        <f>IF(ISNUMBER($K36),IF(INDEX('Реестр'!$I$4:$I$103,$K36)="","",INDEX('Реестр'!$I$4:$I$103,$K36)),IF(ROW()=$K$3+5,'Реестр'!I104,IF(ROW()=$K$3+8,"Дата:","")))</f>
      </c>
      <c r="J36" s="23">
        <f>IF(ISNUMBER($K36),IF(INDEX('Реестр'!$J$4:$J$103,$K36)="","",INDEX('Реестр'!$J$4:$J$103,$K36)),IF(ROW()=$K$3+8,"____________",""))</f>
      </c>
      <c r="K36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36)),"")</f>
      </c>
    </row>
    <row r="37" ht="24" customHeight="1">
      <c r="A37" s="17">
        <f>IF(ISNUMBER($K37),$K37,"")</f>
      </c>
      <c r="B37" s="22">
        <f>IF(ISNUMBER($K37),IF(INDEX('Реестр'!$B$4:$B$103,$K37)="","",INDEX('Реестр'!$B$4:$B$103,$K37)),IF(ROW()=$K$3+5,"ИТОГО",IF(ROW()=$K$3+6,"ПОДРЯДЧИК",IF(ROW()=$K$3+7,"Должн./ФИО:",IF(ROW()=$K$3+8,"Подпись:","")))))</f>
      </c>
      <c r="C37" s="22">
        <f>IF(ISNUMBER($K37),IF(INDEX('Реестр'!$C$4:$C$103,$K37)="","",INDEX('Реестр'!$C$4:$C$103,$K37)),IF(ROW()=$K$3+7,"________________",IF(ROW()=$K$3+8,"________________","")))</f>
      </c>
      <c r="D37" s="40">
        <f>IF(ISNUMBER($K37),IF(INDEX('Реестр'!$D$4:$D$103,$K37)="","",INDEX('Реестр'!$D$4:$D$103,$K37)),IF(ROW()=$K$3+8,"Дата:",""))</f>
      </c>
      <c r="E37" s="41">
        <f>IF(ISNUMBER($K37),IF(INDEX('Реестр'!$E$4:$E$103,$K37)="","",INDEX('Реестр'!$E$4:$E$103,$K37)),IF(ROW()=$K$3+8,"____________",""))</f>
      </c>
      <c r="F37" s="42">
        <f>IF(ISNUMBER($K37),IF(INDEX('Реестр'!$F$4:$F$103,$K37)="","",INDEX('Реестр'!$F$4:$F$103,$K37)),IF(ROW()=$K$3+5,'Реестр'!F104,""))</f>
      </c>
      <c r="G37" s="22">
        <f>IF(ISNUMBER($K37),IF(INDEX('Реестр'!$G$4:$G$103,$K37)="","",INDEX('Реестр'!$G$4:$G$103,$K37)),IF(ROW()=$K$3+6,"ЗАКАЗЧИК",IF(ROW()=$K$3+7,"Должн./ФИО:",IF(ROW()=$K$3+8,"Подпись:",""))))</f>
      </c>
      <c r="H37" s="43">
        <f>IF(ISNUMBER($K37),IF(INDEX('Реестр'!$H$4:$H$103,$K37)="","",INDEX('Реестр'!$H$4:$H$103,$K37)),IF(ROW()=$K$3+7,"________________",IF(ROW()=$K$3+8,"________________","")))</f>
      </c>
      <c r="I37" s="42">
        <f>IF(ISNUMBER($K37),IF(INDEX('Реестр'!$I$4:$I$103,$K37)="","",INDEX('Реестр'!$I$4:$I$103,$K37)),IF(ROW()=$K$3+5,'Реестр'!I104,IF(ROW()=$K$3+8,"Дата:","")))</f>
      </c>
      <c r="J37" s="22">
        <f>IF(ISNUMBER($K37),IF(INDEX('Реестр'!$J$4:$J$103,$K37)="","",INDEX('Реестр'!$J$4:$J$103,$K37)),IF(ROW()=$K$3+8,"____________",""))</f>
      </c>
      <c r="K37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37)),"")</f>
      </c>
    </row>
    <row r="38" ht="24" customHeight="1">
      <c r="A38" s="18">
        <f>IF(ISNUMBER($K38),$K38,"")</f>
      </c>
      <c r="B38" s="23">
        <f>IF(ISNUMBER($K38),IF(INDEX('Реестр'!$B$4:$B$103,$K38)="","",INDEX('Реестр'!$B$4:$B$103,$K38)),IF(ROW()=$K$3+5,"ИТОГО",IF(ROW()=$K$3+6,"ПОДРЯДЧИК",IF(ROW()=$K$3+7,"Должн./ФИО:",IF(ROW()=$K$3+8,"Подпись:","")))))</f>
      </c>
      <c r="C38" s="23">
        <f>IF(ISNUMBER($K38),IF(INDEX('Реестр'!$C$4:$C$103,$K38)="","",INDEX('Реестр'!$C$4:$C$103,$K38)),IF(ROW()=$K$3+7,"________________",IF(ROW()=$K$3+8,"________________","")))</f>
      </c>
      <c r="D38" s="44">
        <f>IF(ISNUMBER($K38),IF(INDEX('Реестр'!$D$4:$D$103,$K38)="","",INDEX('Реестр'!$D$4:$D$103,$K38)),IF(ROW()=$K$3+8,"Дата:",""))</f>
      </c>
      <c r="E38" s="45">
        <f>IF(ISNUMBER($K38),IF(INDEX('Реестр'!$E$4:$E$103,$K38)="","",INDEX('Реестр'!$E$4:$E$103,$K38)),IF(ROW()=$K$3+8,"____________",""))</f>
      </c>
      <c r="F38" s="42">
        <f>IF(ISNUMBER($K38),IF(INDEX('Реестр'!$F$4:$F$103,$K38)="","",INDEX('Реестр'!$F$4:$F$103,$K38)),IF(ROW()=$K$3+5,'Реестр'!F104,""))</f>
      </c>
      <c r="G38" s="23">
        <f>IF(ISNUMBER($K38),IF(INDEX('Реестр'!$G$4:$G$103,$K38)="","",INDEX('Реестр'!$G$4:$G$103,$K38)),IF(ROW()=$K$3+6,"ЗАКАЗЧИК",IF(ROW()=$K$3+7,"Должн./ФИО:",IF(ROW()=$K$3+8,"Подпись:",""))))</f>
      </c>
      <c r="H38" s="46">
        <f>IF(ISNUMBER($K38),IF(INDEX('Реестр'!$H$4:$H$103,$K38)="","",INDEX('Реестр'!$H$4:$H$103,$K38)),IF(ROW()=$K$3+7,"________________",IF(ROW()=$K$3+8,"________________","")))</f>
      </c>
      <c r="I38" s="42">
        <f>IF(ISNUMBER($K38),IF(INDEX('Реестр'!$I$4:$I$103,$K38)="","",INDEX('Реестр'!$I$4:$I$103,$K38)),IF(ROW()=$K$3+5,'Реестр'!I104,IF(ROW()=$K$3+8,"Дата:","")))</f>
      </c>
      <c r="J38" s="23">
        <f>IF(ISNUMBER($K38),IF(INDEX('Реестр'!$J$4:$J$103,$K38)="","",INDEX('Реестр'!$J$4:$J$103,$K38)),IF(ROW()=$K$3+8,"____________",""))</f>
      </c>
      <c r="K38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38)),"")</f>
      </c>
    </row>
    <row r="39" ht="24" customHeight="1">
      <c r="A39" s="17">
        <f>IF(ISNUMBER($K39),$K39,"")</f>
      </c>
      <c r="B39" s="22">
        <f>IF(ISNUMBER($K39),IF(INDEX('Реестр'!$B$4:$B$103,$K39)="","",INDEX('Реестр'!$B$4:$B$103,$K39)),IF(ROW()=$K$3+5,"ИТОГО",IF(ROW()=$K$3+6,"ПОДРЯДЧИК",IF(ROW()=$K$3+7,"Должн./ФИО:",IF(ROW()=$K$3+8,"Подпись:","")))))</f>
      </c>
      <c r="C39" s="22">
        <f>IF(ISNUMBER($K39),IF(INDEX('Реестр'!$C$4:$C$103,$K39)="","",INDEX('Реестр'!$C$4:$C$103,$K39)),IF(ROW()=$K$3+7,"________________",IF(ROW()=$K$3+8,"________________","")))</f>
      </c>
      <c r="D39" s="40">
        <f>IF(ISNUMBER($K39),IF(INDEX('Реестр'!$D$4:$D$103,$K39)="","",INDEX('Реестр'!$D$4:$D$103,$K39)),IF(ROW()=$K$3+8,"Дата:",""))</f>
      </c>
      <c r="E39" s="41">
        <f>IF(ISNUMBER($K39),IF(INDEX('Реестр'!$E$4:$E$103,$K39)="","",INDEX('Реестр'!$E$4:$E$103,$K39)),IF(ROW()=$K$3+8,"____________",""))</f>
      </c>
      <c r="F39" s="42">
        <f>IF(ISNUMBER($K39),IF(INDEX('Реестр'!$F$4:$F$103,$K39)="","",INDEX('Реестр'!$F$4:$F$103,$K39)),IF(ROW()=$K$3+5,'Реестр'!F104,""))</f>
      </c>
      <c r="G39" s="22">
        <f>IF(ISNUMBER($K39),IF(INDEX('Реестр'!$G$4:$G$103,$K39)="","",INDEX('Реестр'!$G$4:$G$103,$K39)),IF(ROW()=$K$3+6,"ЗАКАЗЧИК",IF(ROW()=$K$3+7,"Должн./ФИО:",IF(ROW()=$K$3+8,"Подпись:",""))))</f>
      </c>
      <c r="H39" s="43">
        <f>IF(ISNUMBER($K39),IF(INDEX('Реестр'!$H$4:$H$103,$K39)="","",INDEX('Реестр'!$H$4:$H$103,$K39)),IF(ROW()=$K$3+7,"________________",IF(ROW()=$K$3+8,"________________","")))</f>
      </c>
      <c r="I39" s="42">
        <f>IF(ISNUMBER($K39),IF(INDEX('Реестр'!$I$4:$I$103,$K39)="","",INDEX('Реестр'!$I$4:$I$103,$K39)),IF(ROW()=$K$3+5,'Реестр'!I104,IF(ROW()=$K$3+8,"Дата:","")))</f>
      </c>
      <c r="J39" s="22">
        <f>IF(ISNUMBER($K39),IF(INDEX('Реестр'!$J$4:$J$103,$K39)="","",INDEX('Реестр'!$J$4:$J$103,$K39)),IF(ROW()=$K$3+8,"____________",""))</f>
      </c>
      <c r="K39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39)),"")</f>
      </c>
    </row>
    <row r="40" ht="24" customHeight="1">
      <c r="A40" s="18">
        <f>IF(ISNUMBER($K40),$K40,"")</f>
      </c>
      <c r="B40" s="23">
        <f>IF(ISNUMBER($K40),IF(INDEX('Реестр'!$B$4:$B$103,$K40)="","",INDEX('Реестр'!$B$4:$B$103,$K40)),IF(ROW()=$K$3+5,"ИТОГО",IF(ROW()=$K$3+6,"ПОДРЯДЧИК",IF(ROW()=$K$3+7,"Должн./ФИО:",IF(ROW()=$K$3+8,"Подпись:","")))))</f>
      </c>
      <c r="C40" s="23">
        <f>IF(ISNUMBER($K40),IF(INDEX('Реестр'!$C$4:$C$103,$K40)="","",INDEX('Реестр'!$C$4:$C$103,$K40)),IF(ROW()=$K$3+7,"________________",IF(ROW()=$K$3+8,"________________","")))</f>
      </c>
      <c r="D40" s="44">
        <f>IF(ISNUMBER($K40),IF(INDEX('Реестр'!$D$4:$D$103,$K40)="","",INDEX('Реестр'!$D$4:$D$103,$K40)),IF(ROW()=$K$3+8,"Дата:",""))</f>
      </c>
      <c r="E40" s="45">
        <f>IF(ISNUMBER($K40),IF(INDEX('Реестр'!$E$4:$E$103,$K40)="","",INDEX('Реестр'!$E$4:$E$103,$K40)),IF(ROW()=$K$3+8,"____________",""))</f>
      </c>
      <c r="F40" s="42">
        <f>IF(ISNUMBER($K40),IF(INDEX('Реестр'!$F$4:$F$103,$K40)="","",INDEX('Реестр'!$F$4:$F$103,$K40)),IF(ROW()=$K$3+5,'Реестр'!F104,""))</f>
      </c>
      <c r="G40" s="23">
        <f>IF(ISNUMBER($K40),IF(INDEX('Реестр'!$G$4:$G$103,$K40)="","",INDEX('Реестр'!$G$4:$G$103,$K40)),IF(ROW()=$K$3+6,"ЗАКАЗЧИК",IF(ROW()=$K$3+7,"Должн./ФИО:",IF(ROW()=$K$3+8,"Подпись:",""))))</f>
      </c>
      <c r="H40" s="46">
        <f>IF(ISNUMBER($K40),IF(INDEX('Реестр'!$H$4:$H$103,$K40)="","",INDEX('Реестр'!$H$4:$H$103,$K40)),IF(ROW()=$K$3+7,"________________",IF(ROW()=$K$3+8,"________________","")))</f>
      </c>
      <c r="I40" s="42">
        <f>IF(ISNUMBER($K40),IF(INDEX('Реестр'!$I$4:$I$103,$K40)="","",INDEX('Реестр'!$I$4:$I$103,$K40)),IF(ROW()=$K$3+5,'Реестр'!I104,IF(ROW()=$K$3+8,"Дата:","")))</f>
      </c>
      <c r="J40" s="23">
        <f>IF(ISNUMBER($K40),IF(INDEX('Реестр'!$J$4:$J$103,$K40)="","",INDEX('Реестр'!$J$4:$J$103,$K40)),IF(ROW()=$K$3+8,"____________",""))</f>
      </c>
      <c r="K40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40)),"")</f>
      </c>
    </row>
    <row r="41" ht="24" customHeight="1">
      <c r="A41" s="17">
        <f>IF(ISNUMBER($K41),$K41,"")</f>
      </c>
      <c r="B41" s="22">
        <f>IF(ISNUMBER($K41),IF(INDEX('Реестр'!$B$4:$B$103,$K41)="","",INDEX('Реестр'!$B$4:$B$103,$K41)),IF(ROW()=$K$3+5,"ИТОГО",IF(ROW()=$K$3+6,"ПОДРЯДЧИК",IF(ROW()=$K$3+7,"Должн./ФИО:",IF(ROW()=$K$3+8,"Подпись:","")))))</f>
      </c>
      <c r="C41" s="22">
        <f>IF(ISNUMBER($K41),IF(INDEX('Реестр'!$C$4:$C$103,$K41)="","",INDEX('Реестр'!$C$4:$C$103,$K41)),IF(ROW()=$K$3+7,"________________",IF(ROW()=$K$3+8,"________________","")))</f>
      </c>
      <c r="D41" s="40">
        <f>IF(ISNUMBER($K41),IF(INDEX('Реестр'!$D$4:$D$103,$K41)="","",INDEX('Реестр'!$D$4:$D$103,$K41)),IF(ROW()=$K$3+8,"Дата:",""))</f>
      </c>
      <c r="E41" s="41">
        <f>IF(ISNUMBER($K41),IF(INDEX('Реестр'!$E$4:$E$103,$K41)="","",INDEX('Реестр'!$E$4:$E$103,$K41)),IF(ROW()=$K$3+8,"____________",""))</f>
      </c>
      <c r="F41" s="42">
        <f>IF(ISNUMBER($K41),IF(INDEX('Реестр'!$F$4:$F$103,$K41)="","",INDEX('Реестр'!$F$4:$F$103,$K41)),IF(ROW()=$K$3+5,'Реестр'!F104,""))</f>
      </c>
      <c r="G41" s="22">
        <f>IF(ISNUMBER($K41),IF(INDEX('Реестр'!$G$4:$G$103,$K41)="","",INDEX('Реестр'!$G$4:$G$103,$K41)),IF(ROW()=$K$3+6,"ЗАКАЗЧИК",IF(ROW()=$K$3+7,"Должн./ФИО:",IF(ROW()=$K$3+8,"Подпись:",""))))</f>
      </c>
      <c r="H41" s="43">
        <f>IF(ISNUMBER($K41),IF(INDEX('Реестр'!$H$4:$H$103,$K41)="","",INDEX('Реестр'!$H$4:$H$103,$K41)),IF(ROW()=$K$3+7,"________________",IF(ROW()=$K$3+8,"________________","")))</f>
      </c>
      <c r="I41" s="42">
        <f>IF(ISNUMBER($K41),IF(INDEX('Реестр'!$I$4:$I$103,$K41)="","",INDEX('Реестр'!$I$4:$I$103,$K41)),IF(ROW()=$K$3+5,'Реестр'!I104,IF(ROW()=$K$3+8,"Дата:","")))</f>
      </c>
      <c r="J41" s="22">
        <f>IF(ISNUMBER($K41),IF(INDEX('Реестр'!$J$4:$J$103,$K41)="","",INDEX('Реестр'!$J$4:$J$103,$K41)),IF(ROW()=$K$3+8,"____________",""))</f>
      </c>
      <c r="K41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41)),"")</f>
      </c>
    </row>
    <row r="42" ht="24" customHeight="1">
      <c r="A42" s="18">
        <f>IF(ISNUMBER($K42),$K42,"")</f>
      </c>
      <c r="B42" s="23">
        <f>IF(ISNUMBER($K42),IF(INDEX('Реестр'!$B$4:$B$103,$K42)="","",INDEX('Реестр'!$B$4:$B$103,$K42)),IF(ROW()=$K$3+5,"ИТОГО",IF(ROW()=$K$3+6,"ПОДРЯДЧИК",IF(ROW()=$K$3+7,"Должн./ФИО:",IF(ROW()=$K$3+8,"Подпись:","")))))</f>
      </c>
      <c r="C42" s="23">
        <f>IF(ISNUMBER($K42),IF(INDEX('Реестр'!$C$4:$C$103,$K42)="","",INDEX('Реестр'!$C$4:$C$103,$K42)),IF(ROW()=$K$3+7,"________________",IF(ROW()=$K$3+8,"________________","")))</f>
      </c>
      <c r="D42" s="44">
        <f>IF(ISNUMBER($K42),IF(INDEX('Реестр'!$D$4:$D$103,$K42)="","",INDEX('Реестр'!$D$4:$D$103,$K42)),IF(ROW()=$K$3+8,"Дата:",""))</f>
      </c>
      <c r="E42" s="45">
        <f>IF(ISNUMBER($K42),IF(INDEX('Реестр'!$E$4:$E$103,$K42)="","",INDEX('Реестр'!$E$4:$E$103,$K42)),IF(ROW()=$K$3+8,"____________",""))</f>
      </c>
      <c r="F42" s="42">
        <f>IF(ISNUMBER($K42),IF(INDEX('Реестр'!$F$4:$F$103,$K42)="","",INDEX('Реестр'!$F$4:$F$103,$K42)),IF(ROW()=$K$3+5,'Реестр'!F104,""))</f>
      </c>
      <c r="G42" s="23">
        <f>IF(ISNUMBER($K42),IF(INDEX('Реестр'!$G$4:$G$103,$K42)="","",INDEX('Реестр'!$G$4:$G$103,$K42)),IF(ROW()=$K$3+6,"ЗАКАЗЧИК",IF(ROW()=$K$3+7,"Должн./ФИО:",IF(ROW()=$K$3+8,"Подпись:",""))))</f>
      </c>
      <c r="H42" s="46">
        <f>IF(ISNUMBER($K42),IF(INDEX('Реестр'!$H$4:$H$103,$K42)="","",INDEX('Реестр'!$H$4:$H$103,$K42)),IF(ROW()=$K$3+7,"________________",IF(ROW()=$K$3+8,"________________","")))</f>
      </c>
      <c r="I42" s="42">
        <f>IF(ISNUMBER($K42),IF(INDEX('Реестр'!$I$4:$I$103,$K42)="","",INDEX('Реестр'!$I$4:$I$103,$K42)),IF(ROW()=$K$3+5,'Реестр'!I104,IF(ROW()=$K$3+8,"Дата:","")))</f>
      </c>
      <c r="J42" s="23">
        <f>IF(ISNUMBER($K42),IF(INDEX('Реестр'!$J$4:$J$103,$K42)="","",INDEX('Реестр'!$J$4:$J$103,$K42)),IF(ROW()=$K$3+8,"____________",""))</f>
      </c>
      <c r="K42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42)),"")</f>
      </c>
    </row>
    <row r="43" ht="24" customHeight="1">
      <c r="A43" s="17">
        <f>IF(ISNUMBER($K43),$K43,"")</f>
      </c>
      <c r="B43" s="22">
        <f>IF(ISNUMBER($K43),IF(INDEX('Реестр'!$B$4:$B$103,$K43)="","",INDEX('Реестр'!$B$4:$B$103,$K43)),IF(ROW()=$K$3+5,"ИТОГО",IF(ROW()=$K$3+6,"ПОДРЯДЧИК",IF(ROW()=$K$3+7,"Должн./ФИО:",IF(ROW()=$K$3+8,"Подпись:","")))))</f>
      </c>
      <c r="C43" s="22">
        <f>IF(ISNUMBER($K43),IF(INDEX('Реестр'!$C$4:$C$103,$K43)="","",INDEX('Реестр'!$C$4:$C$103,$K43)),IF(ROW()=$K$3+7,"________________",IF(ROW()=$K$3+8,"________________","")))</f>
      </c>
      <c r="D43" s="40">
        <f>IF(ISNUMBER($K43),IF(INDEX('Реестр'!$D$4:$D$103,$K43)="","",INDEX('Реестр'!$D$4:$D$103,$K43)),IF(ROW()=$K$3+8,"Дата:",""))</f>
      </c>
      <c r="E43" s="41">
        <f>IF(ISNUMBER($K43),IF(INDEX('Реестр'!$E$4:$E$103,$K43)="","",INDEX('Реестр'!$E$4:$E$103,$K43)),IF(ROW()=$K$3+8,"____________",""))</f>
      </c>
      <c r="F43" s="42">
        <f>IF(ISNUMBER($K43),IF(INDEX('Реестр'!$F$4:$F$103,$K43)="","",INDEX('Реестр'!$F$4:$F$103,$K43)),IF(ROW()=$K$3+5,'Реестр'!F104,""))</f>
      </c>
      <c r="G43" s="22">
        <f>IF(ISNUMBER($K43),IF(INDEX('Реестр'!$G$4:$G$103,$K43)="","",INDEX('Реестр'!$G$4:$G$103,$K43)),IF(ROW()=$K$3+6,"ЗАКАЗЧИК",IF(ROW()=$K$3+7,"Должн./ФИО:",IF(ROW()=$K$3+8,"Подпись:",""))))</f>
      </c>
      <c r="H43" s="43">
        <f>IF(ISNUMBER($K43),IF(INDEX('Реестр'!$H$4:$H$103,$K43)="","",INDEX('Реестр'!$H$4:$H$103,$K43)),IF(ROW()=$K$3+7,"________________",IF(ROW()=$K$3+8,"________________","")))</f>
      </c>
      <c r="I43" s="42">
        <f>IF(ISNUMBER($K43),IF(INDEX('Реестр'!$I$4:$I$103,$K43)="","",INDEX('Реестр'!$I$4:$I$103,$K43)),IF(ROW()=$K$3+5,'Реестр'!I104,IF(ROW()=$K$3+8,"Дата:","")))</f>
      </c>
      <c r="J43" s="22">
        <f>IF(ISNUMBER($K43),IF(INDEX('Реестр'!$J$4:$J$103,$K43)="","",INDEX('Реестр'!$J$4:$J$103,$K43)),IF(ROW()=$K$3+8,"____________",""))</f>
      </c>
      <c r="K43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43)),"")</f>
      </c>
    </row>
    <row r="44" ht="24" customHeight="1">
      <c r="A44" s="18">
        <f>IF(ISNUMBER($K44),$K44,"")</f>
      </c>
      <c r="B44" s="23">
        <f>IF(ISNUMBER($K44),IF(INDEX('Реестр'!$B$4:$B$103,$K44)="","",INDEX('Реестр'!$B$4:$B$103,$K44)),IF(ROW()=$K$3+5,"ИТОГО",IF(ROW()=$K$3+6,"ПОДРЯДЧИК",IF(ROW()=$K$3+7,"Должн./ФИО:",IF(ROW()=$K$3+8,"Подпись:","")))))</f>
      </c>
      <c r="C44" s="23">
        <f>IF(ISNUMBER($K44),IF(INDEX('Реестр'!$C$4:$C$103,$K44)="","",INDEX('Реестр'!$C$4:$C$103,$K44)),IF(ROW()=$K$3+7,"________________",IF(ROW()=$K$3+8,"________________","")))</f>
      </c>
      <c r="D44" s="44">
        <f>IF(ISNUMBER($K44),IF(INDEX('Реестр'!$D$4:$D$103,$K44)="","",INDEX('Реестр'!$D$4:$D$103,$K44)),IF(ROW()=$K$3+8,"Дата:",""))</f>
      </c>
      <c r="E44" s="45">
        <f>IF(ISNUMBER($K44),IF(INDEX('Реестр'!$E$4:$E$103,$K44)="","",INDEX('Реестр'!$E$4:$E$103,$K44)),IF(ROW()=$K$3+8,"____________",""))</f>
      </c>
      <c r="F44" s="42">
        <f>IF(ISNUMBER($K44),IF(INDEX('Реестр'!$F$4:$F$103,$K44)="","",INDEX('Реестр'!$F$4:$F$103,$K44)),IF(ROW()=$K$3+5,'Реестр'!F104,""))</f>
      </c>
      <c r="G44" s="23">
        <f>IF(ISNUMBER($K44),IF(INDEX('Реестр'!$G$4:$G$103,$K44)="","",INDEX('Реестр'!$G$4:$G$103,$K44)),IF(ROW()=$K$3+6,"ЗАКАЗЧИК",IF(ROW()=$K$3+7,"Должн./ФИО:",IF(ROW()=$K$3+8,"Подпись:",""))))</f>
      </c>
      <c r="H44" s="46">
        <f>IF(ISNUMBER($K44),IF(INDEX('Реестр'!$H$4:$H$103,$K44)="","",INDEX('Реестр'!$H$4:$H$103,$K44)),IF(ROW()=$K$3+7,"________________",IF(ROW()=$K$3+8,"________________","")))</f>
      </c>
      <c r="I44" s="42">
        <f>IF(ISNUMBER($K44),IF(INDEX('Реестр'!$I$4:$I$103,$K44)="","",INDEX('Реестр'!$I$4:$I$103,$K44)),IF(ROW()=$K$3+5,'Реестр'!I104,IF(ROW()=$K$3+8,"Дата:","")))</f>
      </c>
      <c r="J44" s="23">
        <f>IF(ISNUMBER($K44),IF(INDEX('Реестр'!$J$4:$J$103,$K44)="","",INDEX('Реестр'!$J$4:$J$103,$K44)),IF(ROW()=$K$3+8,"____________",""))</f>
      </c>
      <c r="K44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44)),"")</f>
      </c>
    </row>
    <row r="45" ht="24" customHeight="1">
      <c r="A45" s="17">
        <f>IF(ISNUMBER($K45),$K45,"")</f>
      </c>
      <c r="B45" s="22">
        <f>IF(ISNUMBER($K45),IF(INDEX('Реестр'!$B$4:$B$103,$K45)="","",INDEX('Реестр'!$B$4:$B$103,$K45)),IF(ROW()=$K$3+5,"ИТОГО",IF(ROW()=$K$3+6,"ПОДРЯДЧИК",IF(ROW()=$K$3+7,"Должн./ФИО:",IF(ROW()=$K$3+8,"Подпись:","")))))</f>
      </c>
      <c r="C45" s="22">
        <f>IF(ISNUMBER($K45),IF(INDEX('Реестр'!$C$4:$C$103,$K45)="","",INDEX('Реестр'!$C$4:$C$103,$K45)),IF(ROW()=$K$3+7,"________________",IF(ROW()=$K$3+8,"________________","")))</f>
      </c>
      <c r="D45" s="40">
        <f>IF(ISNUMBER($K45),IF(INDEX('Реестр'!$D$4:$D$103,$K45)="","",INDEX('Реестр'!$D$4:$D$103,$K45)),IF(ROW()=$K$3+8,"Дата:",""))</f>
      </c>
      <c r="E45" s="41">
        <f>IF(ISNUMBER($K45),IF(INDEX('Реестр'!$E$4:$E$103,$K45)="","",INDEX('Реестр'!$E$4:$E$103,$K45)),IF(ROW()=$K$3+8,"____________",""))</f>
      </c>
      <c r="F45" s="42">
        <f>IF(ISNUMBER($K45),IF(INDEX('Реестр'!$F$4:$F$103,$K45)="","",INDEX('Реестр'!$F$4:$F$103,$K45)),IF(ROW()=$K$3+5,'Реестр'!F104,""))</f>
      </c>
      <c r="G45" s="22">
        <f>IF(ISNUMBER($K45),IF(INDEX('Реестр'!$G$4:$G$103,$K45)="","",INDEX('Реестр'!$G$4:$G$103,$K45)),IF(ROW()=$K$3+6,"ЗАКАЗЧИК",IF(ROW()=$K$3+7,"Должн./ФИО:",IF(ROW()=$K$3+8,"Подпись:",""))))</f>
      </c>
      <c r="H45" s="43">
        <f>IF(ISNUMBER($K45),IF(INDEX('Реестр'!$H$4:$H$103,$K45)="","",INDEX('Реестр'!$H$4:$H$103,$K45)),IF(ROW()=$K$3+7,"________________",IF(ROW()=$K$3+8,"________________","")))</f>
      </c>
      <c r="I45" s="42">
        <f>IF(ISNUMBER($K45),IF(INDEX('Реестр'!$I$4:$I$103,$K45)="","",INDEX('Реестр'!$I$4:$I$103,$K45)),IF(ROW()=$K$3+5,'Реестр'!I104,IF(ROW()=$K$3+8,"Дата:","")))</f>
      </c>
      <c r="J45" s="22">
        <f>IF(ISNUMBER($K45),IF(INDEX('Реестр'!$J$4:$J$103,$K45)="","",INDEX('Реестр'!$J$4:$J$103,$K45)),IF(ROW()=$K$3+8,"____________",""))</f>
      </c>
      <c r="K45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45)),"")</f>
      </c>
    </row>
    <row r="46" ht="24" customHeight="1">
      <c r="A46" s="18">
        <f>IF(ISNUMBER($K46),$K46,"")</f>
      </c>
      <c r="B46" s="23">
        <f>IF(ISNUMBER($K46),IF(INDEX('Реестр'!$B$4:$B$103,$K46)="","",INDEX('Реестр'!$B$4:$B$103,$K46)),IF(ROW()=$K$3+5,"ИТОГО",IF(ROW()=$K$3+6,"ПОДРЯДЧИК",IF(ROW()=$K$3+7,"Должн./ФИО:",IF(ROW()=$K$3+8,"Подпись:","")))))</f>
      </c>
      <c r="C46" s="23">
        <f>IF(ISNUMBER($K46),IF(INDEX('Реестр'!$C$4:$C$103,$K46)="","",INDEX('Реестр'!$C$4:$C$103,$K46)),IF(ROW()=$K$3+7,"________________",IF(ROW()=$K$3+8,"________________","")))</f>
      </c>
      <c r="D46" s="44">
        <f>IF(ISNUMBER($K46),IF(INDEX('Реестр'!$D$4:$D$103,$K46)="","",INDEX('Реестр'!$D$4:$D$103,$K46)),IF(ROW()=$K$3+8,"Дата:",""))</f>
      </c>
      <c r="E46" s="45">
        <f>IF(ISNUMBER($K46),IF(INDEX('Реестр'!$E$4:$E$103,$K46)="","",INDEX('Реестр'!$E$4:$E$103,$K46)),IF(ROW()=$K$3+8,"____________",""))</f>
      </c>
      <c r="F46" s="42">
        <f>IF(ISNUMBER($K46),IF(INDEX('Реестр'!$F$4:$F$103,$K46)="","",INDEX('Реестр'!$F$4:$F$103,$K46)),IF(ROW()=$K$3+5,'Реестр'!F104,""))</f>
      </c>
      <c r="G46" s="23">
        <f>IF(ISNUMBER($K46),IF(INDEX('Реестр'!$G$4:$G$103,$K46)="","",INDEX('Реестр'!$G$4:$G$103,$K46)),IF(ROW()=$K$3+6,"ЗАКАЗЧИК",IF(ROW()=$K$3+7,"Должн./ФИО:",IF(ROW()=$K$3+8,"Подпись:",""))))</f>
      </c>
      <c r="H46" s="46">
        <f>IF(ISNUMBER($K46),IF(INDEX('Реестр'!$H$4:$H$103,$K46)="","",INDEX('Реестр'!$H$4:$H$103,$K46)),IF(ROW()=$K$3+7,"________________",IF(ROW()=$K$3+8,"________________","")))</f>
      </c>
      <c r="I46" s="42">
        <f>IF(ISNUMBER($K46),IF(INDEX('Реестр'!$I$4:$I$103,$K46)="","",INDEX('Реестр'!$I$4:$I$103,$K46)),IF(ROW()=$K$3+5,'Реестр'!I104,IF(ROW()=$K$3+8,"Дата:","")))</f>
      </c>
      <c r="J46" s="23">
        <f>IF(ISNUMBER($K46),IF(INDEX('Реестр'!$J$4:$J$103,$K46)="","",INDEX('Реестр'!$J$4:$J$103,$K46)),IF(ROW()=$K$3+8,"____________",""))</f>
      </c>
      <c r="K46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46)),"")</f>
      </c>
    </row>
    <row r="47" ht="24" customHeight="1">
      <c r="A47" s="17">
        <f>IF(ISNUMBER($K47),$K47,"")</f>
      </c>
      <c r="B47" s="22">
        <f>IF(ISNUMBER($K47),IF(INDEX('Реестр'!$B$4:$B$103,$K47)="","",INDEX('Реестр'!$B$4:$B$103,$K47)),IF(ROW()=$K$3+5,"ИТОГО",IF(ROW()=$K$3+6,"ПОДРЯДЧИК",IF(ROW()=$K$3+7,"Должн./ФИО:",IF(ROW()=$K$3+8,"Подпись:","")))))</f>
      </c>
      <c r="C47" s="22">
        <f>IF(ISNUMBER($K47),IF(INDEX('Реестр'!$C$4:$C$103,$K47)="","",INDEX('Реестр'!$C$4:$C$103,$K47)),IF(ROW()=$K$3+7,"________________",IF(ROW()=$K$3+8,"________________","")))</f>
      </c>
      <c r="D47" s="40">
        <f>IF(ISNUMBER($K47),IF(INDEX('Реестр'!$D$4:$D$103,$K47)="","",INDEX('Реестр'!$D$4:$D$103,$K47)),IF(ROW()=$K$3+8,"Дата:",""))</f>
      </c>
      <c r="E47" s="41">
        <f>IF(ISNUMBER($K47),IF(INDEX('Реестр'!$E$4:$E$103,$K47)="","",INDEX('Реестр'!$E$4:$E$103,$K47)),IF(ROW()=$K$3+8,"____________",""))</f>
      </c>
      <c r="F47" s="42">
        <f>IF(ISNUMBER($K47),IF(INDEX('Реестр'!$F$4:$F$103,$K47)="","",INDEX('Реестр'!$F$4:$F$103,$K47)),IF(ROW()=$K$3+5,'Реестр'!F104,""))</f>
      </c>
      <c r="G47" s="22">
        <f>IF(ISNUMBER($K47),IF(INDEX('Реестр'!$G$4:$G$103,$K47)="","",INDEX('Реестр'!$G$4:$G$103,$K47)),IF(ROW()=$K$3+6,"ЗАКАЗЧИК",IF(ROW()=$K$3+7,"Должн./ФИО:",IF(ROW()=$K$3+8,"Подпись:",""))))</f>
      </c>
      <c r="H47" s="43">
        <f>IF(ISNUMBER($K47),IF(INDEX('Реестр'!$H$4:$H$103,$K47)="","",INDEX('Реестр'!$H$4:$H$103,$K47)),IF(ROW()=$K$3+7,"________________",IF(ROW()=$K$3+8,"________________","")))</f>
      </c>
      <c r="I47" s="42">
        <f>IF(ISNUMBER($K47),IF(INDEX('Реестр'!$I$4:$I$103,$K47)="","",INDEX('Реестр'!$I$4:$I$103,$K47)),IF(ROW()=$K$3+5,'Реестр'!I104,IF(ROW()=$K$3+8,"Дата:","")))</f>
      </c>
      <c r="J47" s="22">
        <f>IF(ISNUMBER($K47),IF(INDEX('Реестр'!$J$4:$J$103,$K47)="","",INDEX('Реестр'!$J$4:$J$103,$K47)),IF(ROW()=$K$3+8,"____________",""))</f>
      </c>
      <c r="K47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47)),"")</f>
      </c>
    </row>
    <row r="48" ht="24" customHeight="1">
      <c r="A48" s="18">
        <f>IF(ISNUMBER($K48),$K48,"")</f>
      </c>
      <c r="B48" s="23">
        <f>IF(ISNUMBER($K48),IF(INDEX('Реестр'!$B$4:$B$103,$K48)="","",INDEX('Реестр'!$B$4:$B$103,$K48)),IF(ROW()=$K$3+5,"ИТОГО",IF(ROW()=$K$3+6,"ПОДРЯДЧИК",IF(ROW()=$K$3+7,"Должн./ФИО:",IF(ROW()=$K$3+8,"Подпись:","")))))</f>
      </c>
      <c r="C48" s="23">
        <f>IF(ISNUMBER($K48),IF(INDEX('Реестр'!$C$4:$C$103,$K48)="","",INDEX('Реестр'!$C$4:$C$103,$K48)),IF(ROW()=$K$3+7,"________________",IF(ROW()=$K$3+8,"________________","")))</f>
      </c>
      <c r="D48" s="44">
        <f>IF(ISNUMBER($K48),IF(INDEX('Реестр'!$D$4:$D$103,$K48)="","",INDEX('Реестр'!$D$4:$D$103,$K48)),IF(ROW()=$K$3+8,"Дата:",""))</f>
      </c>
      <c r="E48" s="45">
        <f>IF(ISNUMBER($K48),IF(INDEX('Реестр'!$E$4:$E$103,$K48)="","",INDEX('Реестр'!$E$4:$E$103,$K48)),IF(ROW()=$K$3+8,"____________",""))</f>
      </c>
      <c r="F48" s="42">
        <f>IF(ISNUMBER($K48),IF(INDEX('Реестр'!$F$4:$F$103,$K48)="","",INDEX('Реестр'!$F$4:$F$103,$K48)),IF(ROW()=$K$3+5,'Реестр'!F104,""))</f>
      </c>
      <c r="G48" s="23">
        <f>IF(ISNUMBER($K48),IF(INDEX('Реестр'!$G$4:$G$103,$K48)="","",INDEX('Реестр'!$G$4:$G$103,$K48)),IF(ROW()=$K$3+6,"ЗАКАЗЧИК",IF(ROW()=$K$3+7,"Должн./ФИО:",IF(ROW()=$K$3+8,"Подпись:",""))))</f>
      </c>
      <c r="H48" s="46">
        <f>IF(ISNUMBER($K48),IF(INDEX('Реестр'!$H$4:$H$103,$K48)="","",INDEX('Реестр'!$H$4:$H$103,$K48)),IF(ROW()=$K$3+7,"________________",IF(ROW()=$K$3+8,"________________","")))</f>
      </c>
      <c r="I48" s="42">
        <f>IF(ISNUMBER($K48),IF(INDEX('Реестр'!$I$4:$I$103,$K48)="","",INDEX('Реестр'!$I$4:$I$103,$K48)),IF(ROW()=$K$3+5,'Реестр'!I104,IF(ROW()=$K$3+8,"Дата:","")))</f>
      </c>
      <c r="J48" s="23">
        <f>IF(ISNUMBER($K48),IF(INDEX('Реестр'!$J$4:$J$103,$K48)="","",INDEX('Реестр'!$J$4:$J$103,$K48)),IF(ROW()=$K$3+8,"____________",""))</f>
      </c>
      <c r="K48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48)),"")</f>
      </c>
    </row>
    <row r="49" ht="24" customHeight="1">
      <c r="A49" s="17">
        <f>IF(ISNUMBER($K49),$K49,"")</f>
      </c>
      <c r="B49" s="22">
        <f>IF(ISNUMBER($K49),IF(INDEX('Реестр'!$B$4:$B$103,$K49)="","",INDEX('Реестр'!$B$4:$B$103,$K49)),IF(ROW()=$K$3+5,"ИТОГО",IF(ROW()=$K$3+6,"ПОДРЯДЧИК",IF(ROW()=$K$3+7,"Должн./ФИО:",IF(ROW()=$K$3+8,"Подпись:","")))))</f>
      </c>
      <c r="C49" s="22">
        <f>IF(ISNUMBER($K49),IF(INDEX('Реестр'!$C$4:$C$103,$K49)="","",INDEX('Реестр'!$C$4:$C$103,$K49)),IF(ROW()=$K$3+7,"________________",IF(ROW()=$K$3+8,"________________","")))</f>
      </c>
      <c r="D49" s="40">
        <f>IF(ISNUMBER($K49),IF(INDEX('Реестр'!$D$4:$D$103,$K49)="","",INDEX('Реестр'!$D$4:$D$103,$K49)),IF(ROW()=$K$3+8,"Дата:",""))</f>
      </c>
      <c r="E49" s="41">
        <f>IF(ISNUMBER($K49),IF(INDEX('Реестр'!$E$4:$E$103,$K49)="","",INDEX('Реестр'!$E$4:$E$103,$K49)),IF(ROW()=$K$3+8,"____________",""))</f>
      </c>
      <c r="F49" s="42">
        <f>IF(ISNUMBER($K49),IF(INDEX('Реестр'!$F$4:$F$103,$K49)="","",INDEX('Реестр'!$F$4:$F$103,$K49)),IF(ROW()=$K$3+5,'Реестр'!F104,""))</f>
      </c>
      <c r="G49" s="22">
        <f>IF(ISNUMBER($K49),IF(INDEX('Реестр'!$G$4:$G$103,$K49)="","",INDEX('Реестр'!$G$4:$G$103,$K49)),IF(ROW()=$K$3+6,"ЗАКАЗЧИК",IF(ROW()=$K$3+7,"Должн./ФИО:",IF(ROW()=$K$3+8,"Подпись:",""))))</f>
      </c>
      <c r="H49" s="43">
        <f>IF(ISNUMBER($K49),IF(INDEX('Реестр'!$H$4:$H$103,$K49)="","",INDEX('Реестр'!$H$4:$H$103,$K49)),IF(ROW()=$K$3+7,"________________",IF(ROW()=$K$3+8,"________________","")))</f>
      </c>
      <c r="I49" s="42">
        <f>IF(ISNUMBER($K49),IF(INDEX('Реестр'!$I$4:$I$103,$K49)="","",INDEX('Реестр'!$I$4:$I$103,$K49)),IF(ROW()=$K$3+5,'Реестр'!I104,IF(ROW()=$K$3+8,"Дата:","")))</f>
      </c>
      <c r="J49" s="22">
        <f>IF(ISNUMBER($K49),IF(INDEX('Реестр'!$J$4:$J$103,$K49)="","",INDEX('Реестр'!$J$4:$J$103,$K49)),IF(ROW()=$K$3+8,"____________",""))</f>
      </c>
      <c r="K49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49)),"")</f>
      </c>
    </row>
    <row r="50" ht="24" customHeight="1">
      <c r="A50" s="18">
        <f>IF(ISNUMBER($K50),$K50,"")</f>
      </c>
      <c r="B50" s="23">
        <f>IF(ISNUMBER($K50),IF(INDEX('Реестр'!$B$4:$B$103,$K50)="","",INDEX('Реестр'!$B$4:$B$103,$K50)),IF(ROW()=$K$3+5,"ИТОГО",IF(ROW()=$K$3+6,"ПОДРЯДЧИК",IF(ROW()=$K$3+7,"Должн./ФИО:",IF(ROW()=$K$3+8,"Подпись:","")))))</f>
      </c>
      <c r="C50" s="23">
        <f>IF(ISNUMBER($K50),IF(INDEX('Реестр'!$C$4:$C$103,$K50)="","",INDEX('Реестр'!$C$4:$C$103,$K50)),IF(ROW()=$K$3+7,"________________",IF(ROW()=$K$3+8,"________________","")))</f>
      </c>
      <c r="D50" s="44">
        <f>IF(ISNUMBER($K50),IF(INDEX('Реестр'!$D$4:$D$103,$K50)="","",INDEX('Реестр'!$D$4:$D$103,$K50)),IF(ROW()=$K$3+8,"Дата:",""))</f>
      </c>
      <c r="E50" s="45">
        <f>IF(ISNUMBER($K50),IF(INDEX('Реестр'!$E$4:$E$103,$K50)="","",INDEX('Реестр'!$E$4:$E$103,$K50)),IF(ROW()=$K$3+8,"____________",""))</f>
      </c>
      <c r="F50" s="42">
        <f>IF(ISNUMBER($K50),IF(INDEX('Реестр'!$F$4:$F$103,$K50)="","",INDEX('Реестр'!$F$4:$F$103,$K50)),IF(ROW()=$K$3+5,'Реестр'!F104,""))</f>
      </c>
      <c r="G50" s="23">
        <f>IF(ISNUMBER($K50),IF(INDEX('Реестр'!$G$4:$G$103,$K50)="","",INDEX('Реестр'!$G$4:$G$103,$K50)),IF(ROW()=$K$3+6,"ЗАКАЗЧИК",IF(ROW()=$K$3+7,"Должн./ФИО:",IF(ROW()=$K$3+8,"Подпись:",""))))</f>
      </c>
      <c r="H50" s="46">
        <f>IF(ISNUMBER($K50),IF(INDEX('Реестр'!$H$4:$H$103,$K50)="","",INDEX('Реестр'!$H$4:$H$103,$K50)),IF(ROW()=$K$3+7,"________________",IF(ROW()=$K$3+8,"________________","")))</f>
      </c>
      <c r="I50" s="42">
        <f>IF(ISNUMBER($K50),IF(INDEX('Реестр'!$I$4:$I$103,$K50)="","",INDEX('Реестр'!$I$4:$I$103,$K50)),IF(ROW()=$K$3+5,'Реестр'!I104,IF(ROW()=$K$3+8,"Дата:","")))</f>
      </c>
      <c r="J50" s="23">
        <f>IF(ISNUMBER($K50),IF(INDEX('Реестр'!$J$4:$J$103,$K50)="","",INDEX('Реестр'!$J$4:$J$103,$K50)),IF(ROW()=$K$3+8,"____________",""))</f>
      </c>
      <c r="K50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50)),"")</f>
      </c>
    </row>
    <row r="51" ht="24" customHeight="1">
      <c r="A51" s="17">
        <f>IF(ISNUMBER($K51),$K51,"")</f>
      </c>
      <c r="B51" s="22">
        <f>IF(ISNUMBER($K51),IF(INDEX('Реестр'!$B$4:$B$103,$K51)="","",INDEX('Реестр'!$B$4:$B$103,$K51)),IF(ROW()=$K$3+5,"ИТОГО",IF(ROW()=$K$3+6,"ПОДРЯДЧИК",IF(ROW()=$K$3+7,"Должн./ФИО:",IF(ROW()=$K$3+8,"Подпись:","")))))</f>
      </c>
      <c r="C51" s="22">
        <f>IF(ISNUMBER($K51),IF(INDEX('Реестр'!$C$4:$C$103,$K51)="","",INDEX('Реестр'!$C$4:$C$103,$K51)),IF(ROW()=$K$3+7,"________________",IF(ROW()=$K$3+8,"________________","")))</f>
      </c>
      <c r="D51" s="40">
        <f>IF(ISNUMBER($K51),IF(INDEX('Реестр'!$D$4:$D$103,$K51)="","",INDEX('Реестр'!$D$4:$D$103,$K51)),IF(ROW()=$K$3+8,"Дата:",""))</f>
      </c>
      <c r="E51" s="41">
        <f>IF(ISNUMBER($K51),IF(INDEX('Реестр'!$E$4:$E$103,$K51)="","",INDEX('Реестр'!$E$4:$E$103,$K51)),IF(ROW()=$K$3+8,"____________",""))</f>
      </c>
      <c r="F51" s="42">
        <f>IF(ISNUMBER($K51),IF(INDEX('Реестр'!$F$4:$F$103,$K51)="","",INDEX('Реестр'!$F$4:$F$103,$K51)),IF(ROW()=$K$3+5,'Реестр'!F104,""))</f>
      </c>
      <c r="G51" s="22">
        <f>IF(ISNUMBER($K51),IF(INDEX('Реестр'!$G$4:$G$103,$K51)="","",INDEX('Реестр'!$G$4:$G$103,$K51)),IF(ROW()=$K$3+6,"ЗАКАЗЧИК",IF(ROW()=$K$3+7,"Должн./ФИО:",IF(ROW()=$K$3+8,"Подпись:",""))))</f>
      </c>
      <c r="H51" s="43">
        <f>IF(ISNUMBER($K51),IF(INDEX('Реестр'!$H$4:$H$103,$K51)="","",INDEX('Реестр'!$H$4:$H$103,$K51)),IF(ROW()=$K$3+7,"________________",IF(ROW()=$K$3+8,"________________","")))</f>
      </c>
      <c r="I51" s="42">
        <f>IF(ISNUMBER($K51),IF(INDEX('Реестр'!$I$4:$I$103,$K51)="","",INDEX('Реестр'!$I$4:$I$103,$K51)),IF(ROW()=$K$3+5,'Реестр'!I104,IF(ROW()=$K$3+8,"Дата:","")))</f>
      </c>
      <c r="J51" s="22">
        <f>IF(ISNUMBER($K51),IF(INDEX('Реестр'!$J$4:$J$103,$K51)="","",INDEX('Реестр'!$J$4:$J$103,$K51)),IF(ROW()=$K$3+8,"____________",""))</f>
      </c>
      <c r="K51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51)),"")</f>
      </c>
    </row>
    <row r="52" ht="24" customHeight="1">
      <c r="A52" s="18">
        <f>IF(ISNUMBER($K52),$K52,"")</f>
      </c>
      <c r="B52" s="23">
        <f>IF(ISNUMBER($K52),IF(INDEX('Реестр'!$B$4:$B$103,$K52)="","",INDEX('Реестр'!$B$4:$B$103,$K52)),IF(ROW()=$K$3+5,"ИТОГО",IF(ROW()=$K$3+6,"ПОДРЯДЧИК",IF(ROW()=$K$3+7,"Должн./ФИО:",IF(ROW()=$K$3+8,"Подпись:","")))))</f>
      </c>
      <c r="C52" s="23">
        <f>IF(ISNUMBER($K52),IF(INDEX('Реестр'!$C$4:$C$103,$K52)="","",INDEX('Реестр'!$C$4:$C$103,$K52)),IF(ROW()=$K$3+7,"________________",IF(ROW()=$K$3+8,"________________","")))</f>
      </c>
      <c r="D52" s="44">
        <f>IF(ISNUMBER($K52),IF(INDEX('Реестр'!$D$4:$D$103,$K52)="","",INDEX('Реестр'!$D$4:$D$103,$K52)),IF(ROW()=$K$3+8,"Дата:",""))</f>
      </c>
      <c r="E52" s="45">
        <f>IF(ISNUMBER($K52),IF(INDEX('Реестр'!$E$4:$E$103,$K52)="","",INDEX('Реестр'!$E$4:$E$103,$K52)),IF(ROW()=$K$3+8,"____________",""))</f>
      </c>
      <c r="F52" s="42">
        <f>IF(ISNUMBER($K52),IF(INDEX('Реестр'!$F$4:$F$103,$K52)="","",INDEX('Реестр'!$F$4:$F$103,$K52)),IF(ROW()=$K$3+5,'Реестр'!F104,""))</f>
      </c>
      <c r="G52" s="23">
        <f>IF(ISNUMBER($K52),IF(INDEX('Реестр'!$G$4:$G$103,$K52)="","",INDEX('Реестр'!$G$4:$G$103,$K52)),IF(ROW()=$K$3+6,"ЗАКАЗЧИК",IF(ROW()=$K$3+7,"Должн./ФИО:",IF(ROW()=$K$3+8,"Подпись:",""))))</f>
      </c>
      <c r="H52" s="46">
        <f>IF(ISNUMBER($K52),IF(INDEX('Реестр'!$H$4:$H$103,$K52)="","",INDEX('Реестр'!$H$4:$H$103,$K52)),IF(ROW()=$K$3+7,"________________",IF(ROW()=$K$3+8,"________________","")))</f>
      </c>
      <c r="I52" s="42">
        <f>IF(ISNUMBER($K52),IF(INDEX('Реестр'!$I$4:$I$103,$K52)="","",INDEX('Реестр'!$I$4:$I$103,$K52)),IF(ROW()=$K$3+5,'Реестр'!I104,IF(ROW()=$K$3+8,"Дата:","")))</f>
      </c>
      <c r="J52" s="23">
        <f>IF(ISNUMBER($K52),IF(INDEX('Реестр'!$J$4:$J$103,$K52)="","",INDEX('Реестр'!$J$4:$J$103,$K52)),IF(ROW()=$K$3+8,"____________",""))</f>
      </c>
      <c r="K52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52)),"")</f>
      </c>
    </row>
    <row r="53" ht="24" customHeight="1">
      <c r="A53" s="17">
        <f>IF(ISNUMBER($K53),$K53,"")</f>
      </c>
      <c r="B53" s="22">
        <f>IF(ISNUMBER($K53),IF(INDEX('Реестр'!$B$4:$B$103,$K53)="","",INDEX('Реестр'!$B$4:$B$103,$K53)),IF(ROW()=$K$3+5,"ИТОГО",IF(ROW()=$K$3+6,"ПОДРЯДЧИК",IF(ROW()=$K$3+7,"Должн./ФИО:",IF(ROW()=$K$3+8,"Подпись:","")))))</f>
      </c>
      <c r="C53" s="22">
        <f>IF(ISNUMBER($K53),IF(INDEX('Реестр'!$C$4:$C$103,$K53)="","",INDEX('Реестр'!$C$4:$C$103,$K53)),IF(ROW()=$K$3+7,"________________",IF(ROW()=$K$3+8,"________________","")))</f>
      </c>
      <c r="D53" s="40">
        <f>IF(ISNUMBER($K53),IF(INDEX('Реестр'!$D$4:$D$103,$K53)="","",INDEX('Реестр'!$D$4:$D$103,$K53)),IF(ROW()=$K$3+8,"Дата:",""))</f>
      </c>
      <c r="E53" s="41">
        <f>IF(ISNUMBER($K53),IF(INDEX('Реестр'!$E$4:$E$103,$K53)="","",INDEX('Реестр'!$E$4:$E$103,$K53)),IF(ROW()=$K$3+8,"____________",""))</f>
      </c>
      <c r="F53" s="42">
        <f>IF(ISNUMBER($K53),IF(INDEX('Реестр'!$F$4:$F$103,$K53)="","",INDEX('Реестр'!$F$4:$F$103,$K53)),IF(ROW()=$K$3+5,'Реестр'!F104,""))</f>
      </c>
      <c r="G53" s="22">
        <f>IF(ISNUMBER($K53),IF(INDEX('Реестр'!$G$4:$G$103,$K53)="","",INDEX('Реестр'!$G$4:$G$103,$K53)),IF(ROW()=$K$3+6,"ЗАКАЗЧИК",IF(ROW()=$K$3+7,"Должн./ФИО:",IF(ROW()=$K$3+8,"Подпись:",""))))</f>
      </c>
      <c r="H53" s="43">
        <f>IF(ISNUMBER($K53),IF(INDEX('Реестр'!$H$4:$H$103,$K53)="","",INDEX('Реестр'!$H$4:$H$103,$K53)),IF(ROW()=$K$3+7,"________________",IF(ROW()=$K$3+8,"________________","")))</f>
      </c>
      <c r="I53" s="42">
        <f>IF(ISNUMBER($K53),IF(INDEX('Реестр'!$I$4:$I$103,$K53)="","",INDEX('Реестр'!$I$4:$I$103,$K53)),IF(ROW()=$K$3+5,'Реестр'!I104,IF(ROW()=$K$3+8,"Дата:","")))</f>
      </c>
      <c r="J53" s="22">
        <f>IF(ISNUMBER($K53),IF(INDEX('Реестр'!$J$4:$J$103,$K53)="","",INDEX('Реестр'!$J$4:$J$103,$K53)),IF(ROW()=$K$3+8,"____________",""))</f>
      </c>
      <c r="K53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53)),"")</f>
      </c>
    </row>
    <row r="54" ht="24" customHeight="1">
      <c r="A54" s="18">
        <f>IF(ISNUMBER($K54),$K54,"")</f>
      </c>
      <c r="B54" s="23">
        <f>IF(ISNUMBER($K54),IF(INDEX('Реестр'!$B$4:$B$103,$K54)="","",INDEX('Реестр'!$B$4:$B$103,$K54)),IF(ROW()=$K$3+5,"ИТОГО",IF(ROW()=$K$3+6,"ПОДРЯДЧИК",IF(ROW()=$K$3+7,"Должн./ФИО:",IF(ROW()=$K$3+8,"Подпись:","")))))</f>
      </c>
      <c r="C54" s="23">
        <f>IF(ISNUMBER($K54),IF(INDEX('Реестр'!$C$4:$C$103,$K54)="","",INDEX('Реестр'!$C$4:$C$103,$K54)),IF(ROW()=$K$3+7,"________________",IF(ROW()=$K$3+8,"________________","")))</f>
      </c>
      <c r="D54" s="44">
        <f>IF(ISNUMBER($K54),IF(INDEX('Реестр'!$D$4:$D$103,$K54)="","",INDEX('Реестр'!$D$4:$D$103,$K54)),IF(ROW()=$K$3+8,"Дата:",""))</f>
      </c>
      <c r="E54" s="45">
        <f>IF(ISNUMBER($K54),IF(INDEX('Реестр'!$E$4:$E$103,$K54)="","",INDEX('Реестр'!$E$4:$E$103,$K54)),IF(ROW()=$K$3+8,"____________",""))</f>
      </c>
      <c r="F54" s="42">
        <f>IF(ISNUMBER($K54),IF(INDEX('Реестр'!$F$4:$F$103,$K54)="","",INDEX('Реестр'!$F$4:$F$103,$K54)),IF(ROW()=$K$3+5,'Реестр'!F104,""))</f>
      </c>
      <c r="G54" s="23">
        <f>IF(ISNUMBER($K54),IF(INDEX('Реестр'!$G$4:$G$103,$K54)="","",INDEX('Реестр'!$G$4:$G$103,$K54)),IF(ROW()=$K$3+6,"ЗАКАЗЧИК",IF(ROW()=$K$3+7,"Должн./ФИО:",IF(ROW()=$K$3+8,"Подпись:",""))))</f>
      </c>
      <c r="H54" s="46">
        <f>IF(ISNUMBER($K54),IF(INDEX('Реестр'!$H$4:$H$103,$K54)="","",INDEX('Реестр'!$H$4:$H$103,$K54)),IF(ROW()=$K$3+7,"________________",IF(ROW()=$K$3+8,"________________","")))</f>
      </c>
      <c r="I54" s="42">
        <f>IF(ISNUMBER($K54),IF(INDEX('Реестр'!$I$4:$I$103,$K54)="","",INDEX('Реестр'!$I$4:$I$103,$K54)),IF(ROW()=$K$3+5,'Реестр'!I104,IF(ROW()=$K$3+8,"Дата:","")))</f>
      </c>
      <c r="J54" s="23">
        <f>IF(ISNUMBER($K54),IF(INDEX('Реестр'!$J$4:$J$103,$K54)="","",INDEX('Реестр'!$J$4:$J$103,$K54)),IF(ROW()=$K$3+8,"____________",""))</f>
      </c>
      <c r="K54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54)),"")</f>
      </c>
    </row>
    <row r="55" ht="24" customHeight="1">
      <c r="A55" s="17">
        <f>IF(ISNUMBER($K55),$K55,"")</f>
      </c>
      <c r="B55" s="22">
        <f>IF(ISNUMBER($K55),IF(INDEX('Реестр'!$B$4:$B$103,$K55)="","",INDEX('Реестр'!$B$4:$B$103,$K55)),IF(ROW()=$K$3+5,"ИТОГО",IF(ROW()=$K$3+6,"ПОДРЯДЧИК",IF(ROW()=$K$3+7,"Должн./ФИО:",IF(ROW()=$K$3+8,"Подпись:","")))))</f>
      </c>
      <c r="C55" s="22">
        <f>IF(ISNUMBER($K55),IF(INDEX('Реестр'!$C$4:$C$103,$K55)="","",INDEX('Реестр'!$C$4:$C$103,$K55)),IF(ROW()=$K$3+7,"________________",IF(ROW()=$K$3+8,"________________","")))</f>
      </c>
      <c r="D55" s="40">
        <f>IF(ISNUMBER($K55),IF(INDEX('Реестр'!$D$4:$D$103,$K55)="","",INDEX('Реестр'!$D$4:$D$103,$K55)),IF(ROW()=$K$3+8,"Дата:",""))</f>
      </c>
      <c r="E55" s="41">
        <f>IF(ISNUMBER($K55),IF(INDEX('Реестр'!$E$4:$E$103,$K55)="","",INDEX('Реестр'!$E$4:$E$103,$K55)),IF(ROW()=$K$3+8,"____________",""))</f>
      </c>
      <c r="F55" s="42">
        <f>IF(ISNUMBER($K55),IF(INDEX('Реестр'!$F$4:$F$103,$K55)="","",INDEX('Реестр'!$F$4:$F$103,$K55)),IF(ROW()=$K$3+5,'Реестр'!F104,""))</f>
      </c>
      <c r="G55" s="22">
        <f>IF(ISNUMBER($K55),IF(INDEX('Реестр'!$G$4:$G$103,$K55)="","",INDEX('Реестр'!$G$4:$G$103,$K55)),IF(ROW()=$K$3+6,"ЗАКАЗЧИК",IF(ROW()=$K$3+7,"Должн./ФИО:",IF(ROW()=$K$3+8,"Подпись:",""))))</f>
      </c>
      <c r="H55" s="43">
        <f>IF(ISNUMBER($K55),IF(INDEX('Реестр'!$H$4:$H$103,$K55)="","",INDEX('Реестр'!$H$4:$H$103,$K55)),IF(ROW()=$K$3+7,"________________",IF(ROW()=$K$3+8,"________________","")))</f>
      </c>
      <c r="I55" s="42">
        <f>IF(ISNUMBER($K55),IF(INDEX('Реестр'!$I$4:$I$103,$K55)="","",INDEX('Реестр'!$I$4:$I$103,$K55)),IF(ROW()=$K$3+5,'Реестр'!I104,IF(ROW()=$K$3+8,"Дата:","")))</f>
      </c>
      <c r="J55" s="22">
        <f>IF(ISNUMBER($K55),IF(INDEX('Реестр'!$J$4:$J$103,$K55)="","",INDEX('Реестр'!$J$4:$J$103,$K55)),IF(ROW()=$K$3+8,"____________",""))</f>
      </c>
      <c r="K55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55)),"")</f>
      </c>
    </row>
    <row r="56" ht="24" customHeight="1">
      <c r="A56" s="18">
        <f>IF(ISNUMBER($K56),$K56,"")</f>
      </c>
      <c r="B56" s="23">
        <f>IF(ISNUMBER($K56),IF(INDEX('Реестр'!$B$4:$B$103,$K56)="","",INDEX('Реестр'!$B$4:$B$103,$K56)),IF(ROW()=$K$3+5,"ИТОГО",IF(ROW()=$K$3+6,"ПОДРЯДЧИК",IF(ROW()=$K$3+7,"Должн./ФИО:",IF(ROW()=$K$3+8,"Подпись:","")))))</f>
      </c>
      <c r="C56" s="23">
        <f>IF(ISNUMBER($K56),IF(INDEX('Реестр'!$C$4:$C$103,$K56)="","",INDEX('Реестр'!$C$4:$C$103,$K56)),IF(ROW()=$K$3+7,"________________",IF(ROW()=$K$3+8,"________________","")))</f>
      </c>
      <c r="D56" s="44">
        <f>IF(ISNUMBER($K56),IF(INDEX('Реестр'!$D$4:$D$103,$K56)="","",INDEX('Реестр'!$D$4:$D$103,$K56)),IF(ROW()=$K$3+8,"Дата:",""))</f>
      </c>
      <c r="E56" s="45">
        <f>IF(ISNUMBER($K56),IF(INDEX('Реестр'!$E$4:$E$103,$K56)="","",INDEX('Реестр'!$E$4:$E$103,$K56)),IF(ROW()=$K$3+8,"____________",""))</f>
      </c>
      <c r="F56" s="42">
        <f>IF(ISNUMBER($K56),IF(INDEX('Реестр'!$F$4:$F$103,$K56)="","",INDEX('Реестр'!$F$4:$F$103,$K56)),IF(ROW()=$K$3+5,'Реестр'!F104,""))</f>
      </c>
      <c r="G56" s="23">
        <f>IF(ISNUMBER($K56),IF(INDEX('Реестр'!$G$4:$G$103,$K56)="","",INDEX('Реестр'!$G$4:$G$103,$K56)),IF(ROW()=$K$3+6,"ЗАКАЗЧИК",IF(ROW()=$K$3+7,"Должн./ФИО:",IF(ROW()=$K$3+8,"Подпись:",""))))</f>
      </c>
      <c r="H56" s="46">
        <f>IF(ISNUMBER($K56),IF(INDEX('Реестр'!$H$4:$H$103,$K56)="","",INDEX('Реестр'!$H$4:$H$103,$K56)),IF(ROW()=$K$3+7,"________________",IF(ROW()=$K$3+8,"________________","")))</f>
      </c>
      <c r="I56" s="42">
        <f>IF(ISNUMBER($K56),IF(INDEX('Реестр'!$I$4:$I$103,$K56)="","",INDEX('Реестр'!$I$4:$I$103,$K56)),IF(ROW()=$K$3+5,'Реестр'!I104,IF(ROW()=$K$3+8,"Дата:","")))</f>
      </c>
      <c r="J56" s="23">
        <f>IF(ISNUMBER($K56),IF(INDEX('Реестр'!$J$4:$J$103,$K56)="","",INDEX('Реестр'!$J$4:$J$103,$K56)),IF(ROW()=$K$3+8,"____________",""))</f>
      </c>
      <c r="K56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56)),"")</f>
      </c>
    </row>
    <row r="57" ht="24" customHeight="1">
      <c r="A57" s="17">
        <f>IF(ISNUMBER($K57),$K57,"")</f>
      </c>
      <c r="B57" s="22">
        <f>IF(ISNUMBER($K57),IF(INDEX('Реестр'!$B$4:$B$103,$K57)="","",INDEX('Реестр'!$B$4:$B$103,$K57)),IF(ROW()=$K$3+5,"ИТОГО",IF(ROW()=$K$3+6,"ПОДРЯДЧИК",IF(ROW()=$K$3+7,"Должн./ФИО:",IF(ROW()=$K$3+8,"Подпись:","")))))</f>
      </c>
      <c r="C57" s="22">
        <f>IF(ISNUMBER($K57),IF(INDEX('Реестр'!$C$4:$C$103,$K57)="","",INDEX('Реестр'!$C$4:$C$103,$K57)),IF(ROW()=$K$3+7,"________________",IF(ROW()=$K$3+8,"________________","")))</f>
      </c>
      <c r="D57" s="40">
        <f>IF(ISNUMBER($K57),IF(INDEX('Реестр'!$D$4:$D$103,$K57)="","",INDEX('Реестр'!$D$4:$D$103,$K57)),IF(ROW()=$K$3+8,"Дата:",""))</f>
      </c>
      <c r="E57" s="41">
        <f>IF(ISNUMBER($K57),IF(INDEX('Реестр'!$E$4:$E$103,$K57)="","",INDEX('Реестр'!$E$4:$E$103,$K57)),IF(ROW()=$K$3+8,"____________",""))</f>
      </c>
      <c r="F57" s="42">
        <f>IF(ISNUMBER($K57),IF(INDEX('Реестр'!$F$4:$F$103,$K57)="","",INDEX('Реестр'!$F$4:$F$103,$K57)),IF(ROW()=$K$3+5,'Реестр'!F104,""))</f>
      </c>
      <c r="G57" s="22">
        <f>IF(ISNUMBER($K57),IF(INDEX('Реестр'!$G$4:$G$103,$K57)="","",INDEX('Реестр'!$G$4:$G$103,$K57)),IF(ROW()=$K$3+6,"ЗАКАЗЧИК",IF(ROW()=$K$3+7,"Должн./ФИО:",IF(ROW()=$K$3+8,"Подпись:",""))))</f>
      </c>
      <c r="H57" s="43">
        <f>IF(ISNUMBER($K57),IF(INDEX('Реестр'!$H$4:$H$103,$K57)="","",INDEX('Реестр'!$H$4:$H$103,$K57)),IF(ROW()=$K$3+7,"________________",IF(ROW()=$K$3+8,"________________","")))</f>
      </c>
      <c r="I57" s="42">
        <f>IF(ISNUMBER($K57),IF(INDEX('Реестр'!$I$4:$I$103,$K57)="","",INDEX('Реестр'!$I$4:$I$103,$K57)),IF(ROW()=$K$3+5,'Реестр'!I104,IF(ROW()=$K$3+8,"Дата:","")))</f>
      </c>
      <c r="J57" s="22">
        <f>IF(ISNUMBER($K57),IF(INDEX('Реестр'!$J$4:$J$103,$K57)="","",INDEX('Реестр'!$J$4:$J$103,$K57)),IF(ROW()=$K$3+8,"____________",""))</f>
      </c>
      <c r="K57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57)),"")</f>
      </c>
    </row>
    <row r="58" ht="24" customHeight="1">
      <c r="A58" s="18">
        <f>IF(ISNUMBER($K58),$K58,"")</f>
      </c>
      <c r="B58" s="23">
        <f>IF(ISNUMBER($K58),IF(INDEX('Реестр'!$B$4:$B$103,$K58)="","",INDEX('Реестр'!$B$4:$B$103,$K58)),IF(ROW()=$K$3+5,"ИТОГО",IF(ROW()=$K$3+6,"ПОДРЯДЧИК",IF(ROW()=$K$3+7,"Должн./ФИО:",IF(ROW()=$K$3+8,"Подпись:","")))))</f>
      </c>
      <c r="C58" s="23">
        <f>IF(ISNUMBER($K58),IF(INDEX('Реестр'!$C$4:$C$103,$K58)="","",INDEX('Реестр'!$C$4:$C$103,$K58)),IF(ROW()=$K$3+7,"________________",IF(ROW()=$K$3+8,"________________","")))</f>
      </c>
      <c r="D58" s="44">
        <f>IF(ISNUMBER($K58),IF(INDEX('Реестр'!$D$4:$D$103,$K58)="","",INDEX('Реестр'!$D$4:$D$103,$K58)),IF(ROW()=$K$3+8,"Дата:",""))</f>
      </c>
      <c r="E58" s="45">
        <f>IF(ISNUMBER($K58),IF(INDEX('Реестр'!$E$4:$E$103,$K58)="","",INDEX('Реестр'!$E$4:$E$103,$K58)),IF(ROW()=$K$3+8,"____________",""))</f>
      </c>
      <c r="F58" s="42">
        <f>IF(ISNUMBER($K58),IF(INDEX('Реестр'!$F$4:$F$103,$K58)="","",INDEX('Реестр'!$F$4:$F$103,$K58)),IF(ROW()=$K$3+5,'Реестр'!F104,""))</f>
      </c>
      <c r="G58" s="23">
        <f>IF(ISNUMBER($K58),IF(INDEX('Реестр'!$G$4:$G$103,$K58)="","",INDEX('Реестр'!$G$4:$G$103,$K58)),IF(ROW()=$K$3+6,"ЗАКАЗЧИК",IF(ROW()=$K$3+7,"Должн./ФИО:",IF(ROW()=$K$3+8,"Подпись:",""))))</f>
      </c>
      <c r="H58" s="46">
        <f>IF(ISNUMBER($K58),IF(INDEX('Реестр'!$H$4:$H$103,$K58)="","",INDEX('Реестр'!$H$4:$H$103,$K58)),IF(ROW()=$K$3+7,"________________",IF(ROW()=$K$3+8,"________________","")))</f>
      </c>
      <c r="I58" s="42">
        <f>IF(ISNUMBER($K58),IF(INDEX('Реестр'!$I$4:$I$103,$K58)="","",INDEX('Реестр'!$I$4:$I$103,$K58)),IF(ROW()=$K$3+5,'Реестр'!I104,IF(ROW()=$K$3+8,"Дата:","")))</f>
      </c>
      <c r="J58" s="23">
        <f>IF(ISNUMBER($K58),IF(INDEX('Реестр'!$J$4:$J$103,$K58)="","",INDEX('Реестр'!$J$4:$J$103,$K58)),IF(ROW()=$K$3+8,"____________",""))</f>
      </c>
      <c r="K58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58)),"")</f>
      </c>
    </row>
    <row r="59" ht="24" customHeight="1">
      <c r="A59" s="17">
        <f>IF(ISNUMBER($K59),$K59,"")</f>
      </c>
      <c r="B59" s="22">
        <f>IF(ISNUMBER($K59),IF(INDEX('Реестр'!$B$4:$B$103,$K59)="","",INDEX('Реестр'!$B$4:$B$103,$K59)),IF(ROW()=$K$3+5,"ИТОГО",IF(ROW()=$K$3+6,"ПОДРЯДЧИК",IF(ROW()=$K$3+7,"Должн./ФИО:",IF(ROW()=$K$3+8,"Подпись:","")))))</f>
      </c>
      <c r="C59" s="22">
        <f>IF(ISNUMBER($K59),IF(INDEX('Реестр'!$C$4:$C$103,$K59)="","",INDEX('Реестр'!$C$4:$C$103,$K59)),IF(ROW()=$K$3+7,"________________",IF(ROW()=$K$3+8,"________________","")))</f>
      </c>
      <c r="D59" s="40">
        <f>IF(ISNUMBER($K59),IF(INDEX('Реестр'!$D$4:$D$103,$K59)="","",INDEX('Реестр'!$D$4:$D$103,$K59)),IF(ROW()=$K$3+8,"Дата:",""))</f>
      </c>
      <c r="E59" s="41">
        <f>IF(ISNUMBER($K59),IF(INDEX('Реестр'!$E$4:$E$103,$K59)="","",INDEX('Реестр'!$E$4:$E$103,$K59)),IF(ROW()=$K$3+8,"____________",""))</f>
      </c>
      <c r="F59" s="42">
        <f>IF(ISNUMBER($K59),IF(INDEX('Реестр'!$F$4:$F$103,$K59)="","",INDEX('Реестр'!$F$4:$F$103,$K59)),IF(ROW()=$K$3+5,'Реестр'!F104,""))</f>
      </c>
      <c r="G59" s="22">
        <f>IF(ISNUMBER($K59),IF(INDEX('Реестр'!$G$4:$G$103,$K59)="","",INDEX('Реестр'!$G$4:$G$103,$K59)),IF(ROW()=$K$3+6,"ЗАКАЗЧИК",IF(ROW()=$K$3+7,"Должн./ФИО:",IF(ROW()=$K$3+8,"Подпись:",""))))</f>
      </c>
      <c r="H59" s="43">
        <f>IF(ISNUMBER($K59),IF(INDEX('Реестр'!$H$4:$H$103,$K59)="","",INDEX('Реестр'!$H$4:$H$103,$K59)),IF(ROW()=$K$3+7,"________________",IF(ROW()=$K$3+8,"________________","")))</f>
      </c>
      <c r="I59" s="42">
        <f>IF(ISNUMBER($K59),IF(INDEX('Реестр'!$I$4:$I$103,$K59)="","",INDEX('Реестр'!$I$4:$I$103,$K59)),IF(ROW()=$K$3+5,'Реестр'!I104,IF(ROW()=$K$3+8,"Дата:","")))</f>
      </c>
      <c r="J59" s="22">
        <f>IF(ISNUMBER($K59),IF(INDEX('Реестр'!$J$4:$J$103,$K59)="","",INDEX('Реестр'!$J$4:$J$103,$K59)),IF(ROW()=$K$3+8,"____________",""))</f>
      </c>
      <c r="K59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59)),"")</f>
      </c>
    </row>
    <row r="60" ht="24" customHeight="1">
      <c r="A60" s="18">
        <f>IF(ISNUMBER($K60),$K60,"")</f>
      </c>
      <c r="B60" s="23">
        <f>IF(ISNUMBER($K60),IF(INDEX('Реестр'!$B$4:$B$103,$K60)="","",INDEX('Реестр'!$B$4:$B$103,$K60)),IF(ROW()=$K$3+5,"ИТОГО",IF(ROW()=$K$3+6,"ПОДРЯДЧИК",IF(ROW()=$K$3+7,"Должн./ФИО:",IF(ROW()=$K$3+8,"Подпись:","")))))</f>
      </c>
      <c r="C60" s="23">
        <f>IF(ISNUMBER($K60),IF(INDEX('Реестр'!$C$4:$C$103,$K60)="","",INDEX('Реестр'!$C$4:$C$103,$K60)),IF(ROW()=$K$3+7,"________________",IF(ROW()=$K$3+8,"________________","")))</f>
      </c>
      <c r="D60" s="44">
        <f>IF(ISNUMBER($K60),IF(INDEX('Реестр'!$D$4:$D$103,$K60)="","",INDEX('Реестр'!$D$4:$D$103,$K60)),IF(ROW()=$K$3+8,"Дата:",""))</f>
      </c>
      <c r="E60" s="45">
        <f>IF(ISNUMBER($K60),IF(INDEX('Реестр'!$E$4:$E$103,$K60)="","",INDEX('Реестр'!$E$4:$E$103,$K60)),IF(ROW()=$K$3+8,"____________",""))</f>
      </c>
      <c r="F60" s="42">
        <f>IF(ISNUMBER($K60),IF(INDEX('Реестр'!$F$4:$F$103,$K60)="","",INDEX('Реестр'!$F$4:$F$103,$K60)),IF(ROW()=$K$3+5,'Реестр'!F104,""))</f>
      </c>
      <c r="G60" s="23">
        <f>IF(ISNUMBER($K60),IF(INDEX('Реестр'!$G$4:$G$103,$K60)="","",INDEX('Реестр'!$G$4:$G$103,$K60)),IF(ROW()=$K$3+6,"ЗАКАЗЧИК",IF(ROW()=$K$3+7,"Должн./ФИО:",IF(ROW()=$K$3+8,"Подпись:",""))))</f>
      </c>
      <c r="H60" s="46">
        <f>IF(ISNUMBER($K60),IF(INDEX('Реестр'!$H$4:$H$103,$K60)="","",INDEX('Реестр'!$H$4:$H$103,$K60)),IF(ROW()=$K$3+7,"________________",IF(ROW()=$K$3+8,"________________","")))</f>
      </c>
      <c r="I60" s="42">
        <f>IF(ISNUMBER($K60),IF(INDEX('Реестр'!$I$4:$I$103,$K60)="","",INDEX('Реестр'!$I$4:$I$103,$K60)),IF(ROW()=$K$3+5,'Реестр'!I104,IF(ROW()=$K$3+8,"Дата:","")))</f>
      </c>
      <c r="J60" s="23">
        <f>IF(ISNUMBER($K60),IF(INDEX('Реестр'!$J$4:$J$103,$K60)="","",INDEX('Реестр'!$J$4:$J$103,$K60)),IF(ROW()=$K$3+8,"____________",""))</f>
      </c>
      <c r="K60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60)),"")</f>
      </c>
    </row>
    <row r="61" ht="24" customHeight="1">
      <c r="A61" s="17">
        <f>IF(ISNUMBER($K61),$K61,"")</f>
      </c>
      <c r="B61" s="22">
        <f>IF(ISNUMBER($K61),IF(INDEX('Реестр'!$B$4:$B$103,$K61)="","",INDEX('Реестр'!$B$4:$B$103,$K61)),IF(ROW()=$K$3+5,"ИТОГО",IF(ROW()=$K$3+6,"ПОДРЯДЧИК",IF(ROW()=$K$3+7,"Должн./ФИО:",IF(ROW()=$K$3+8,"Подпись:","")))))</f>
      </c>
      <c r="C61" s="22">
        <f>IF(ISNUMBER($K61),IF(INDEX('Реестр'!$C$4:$C$103,$K61)="","",INDEX('Реестр'!$C$4:$C$103,$K61)),IF(ROW()=$K$3+7,"________________",IF(ROW()=$K$3+8,"________________","")))</f>
      </c>
      <c r="D61" s="40">
        <f>IF(ISNUMBER($K61),IF(INDEX('Реестр'!$D$4:$D$103,$K61)="","",INDEX('Реестр'!$D$4:$D$103,$K61)),IF(ROW()=$K$3+8,"Дата:",""))</f>
      </c>
      <c r="E61" s="41">
        <f>IF(ISNUMBER($K61),IF(INDEX('Реестр'!$E$4:$E$103,$K61)="","",INDEX('Реестр'!$E$4:$E$103,$K61)),IF(ROW()=$K$3+8,"____________",""))</f>
      </c>
      <c r="F61" s="42">
        <f>IF(ISNUMBER($K61),IF(INDEX('Реестр'!$F$4:$F$103,$K61)="","",INDEX('Реестр'!$F$4:$F$103,$K61)),IF(ROW()=$K$3+5,'Реестр'!F104,""))</f>
      </c>
      <c r="G61" s="22">
        <f>IF(ISNUMBER($K61),IF(INDEX('Реестр'!$G$4:$G$103,$K61)="","",INDEX('Реестр'!$G$4:$G$103,$K61)),IF(ROW()=$K$3+6,"ЗАКАЗЧИК",IF(ROW()=$K$3+7,"Должн./ФИО:",IF(ROW()=$K$3+8,"Подпись:",""))))</f>
      </c>
      <c r="H61" s="43">
        <f>IF(ISNUMBER($K61),IF(INDEX('Реестр'!$H$4:$H$103,$K61)="","",INDEX('Реестр'!$H$4:$H$103,$K61)),IF(ROW()=$K$3+7,"________________",IF(ROW()=$K$3+8,"________________","")))</f>
      </c>
      <c r="I61" s="42">
        <f>IF(ISNUMBER($K61),IF(INDEX('Реестр'!$I$4:$I$103,$K61)="","",INDEX('Реестр'!$I$4:$I$103,$K61)),IF(ROW()=$K$3+5,'Реестр'!I104,IF(ROW()=$K$3+8,"Дата:","")))</f>
      </c>
      <c r="J61" s="22">
        <f>IF(ISNUMBER($K61),IF(INDEX('Реестр'!$J$4:$J$103,$K61)="","",INDEX('Реестр'!$J$4:$J$103,$K61)),IF(ROW()=$K$3+8,"____________",""))</f>
      </c>
      <c r="K61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61)),"")</f>
      </c>
    </row>
    <row r="62" ht="24" customHeight="1">
      <c r="A62" s="18">
        <f>IF(ISNUMBER($K62),$K62,"")</f>
      </c>
      <c r="B62" s="23">
        <f>IF(ISNUMBER($K62),IF(INDEX('Реестр'!$B$4:$B$103,$K62)="","",INDEX('Реестр'!$B$4:$B$103,$K62)),IF(ROW()=$K$3+5,"ИТОГО",IF(ROW()=$K$3+6,"ПОДРЯДЧИК",IF(ROW()=$K$3+7,"Должн./ФИО:",IF(ROW()=$K$3+8,"Подпись:","")))))</f>
      </c>
      <c r="C62" s="23">
        <f>IF(ISNUMBER($K62),IF(INDEX('Реестр'!$C$4:$C$103,$K62)="","",INDEX('Реестр'!$C$4:$C$103,$K62)),IF(ROW()=$K$3+7,"________________",IF(ROW()=$K$3+8,"________________","")))</f>
      </c>
      <c r="D62" s="44">
        <f>IF(ISNUMBER($K62),IF(INDEX('Реестр'!$D$4:$D$103,$K62)="","",INDEX('Реестр'!$D$4:$D$103,$K62)),IF(ROW()=$K$3+8,"Дата:",""))</f>
      </c>
      <c r="E62" s="45">
        <f>IF(ISNUMBER($K62),IF(INDEX('Реестр'!$E$4:$E$103,$K62)="","",INDEX('Реестр'!$E$4:$E$103,$K62)),IF(ROW()=$K$3+8,"____________",""))</f>
      </c>
      <c r="F62" s="42">
        <f>IF(ISNUMBER($K62),IF(INDEX('Реестр'!$F$4:$F$103,$K62)="","",INDEX('Реестр'!$F$4:$F$103,$K62)),IF(ROW()=$K$3+5,'Реестр'!F104,""))</f>
      </c>
      <c r="G62" s="23">
        <f>IF(ISNUMBER($K62),IF(INDEX('Реестр'!$G$4:$G$103,$K62)="","",INDEX('Реестр'!$G$4:$G$103,$K62)),IF(ROW()=$K$3+6,"ЗАКАЗЧИК",IF(ROW()=$K$3+7,"Должн./ФИО:",IF(ROW()=$K$3+8,"Подпись:",""))))</f>
      </c>
      <c r="H62" s="46">
        <f>IF(ISNUMBER($K62),IF(INDEX('Реестр'!$H$4:$H$103,$K62)="","",INDEX('Реестр'!$H$4:$H$103,$K62)),IF(ROW()=$K$3+7,"________________",IF(ROW()=$K$3+8,"________________","")))</f>
      </c>
      <c r="I62" s="42">
        <f>IF(ISNUMBER($K62),IF(INDEX('Реестр'!$I$4:$I$103,$K62)="","",INDEX('Реестр'!$I$4:$I$103,$K62)),IF(ROW()=$K$3+5,'Реестр'!I104,IF(ROW()=$K$3+8,"Дата:","")))</f>
      </c>
      <c r="J62" s="23">
        <f>IF(ISNUMBER($K62),IF(INDEX('Реестр'!$J$4:$J$103,$K62)="","",INDEX('Реестр'!$J$4:$J$103,$K62)),IF(ROW()=$K$3+8,"____________",""))</f>
      </c>
      <c r="K62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62)),"")</f>
      </c>
    </row>
    <row r="63" ht="24" customHeight="1">
      <c r="A63" s="17">
        <f>IF(ISNUMBER($K63),$K63,"")</f>
      </c>
      <c r="B63" s="22">
        <f>IF(ISNUMBER($K63),IF(INDEX('Реестр'!$B$4:$B$103,$K63)="","",INDEX('Реестр'!$B$4:$B$103,$K63)),IF(ROW()=$K$3+5,"ИТОГО",IF(ROW()=$K$3+6,"ПОДРЯДЧИК",IF(ROW()=$K$3+7,"Должн./ФИО:",IF(ROW()=$K$3+8,"Подпись:","")))))</f>
      </c>
      <c r="C63" s="22">
        <f>IF(ISNUMBER($K63),IF(INDEX('Реестр'!$C$4:$C$103,$K63)="","",INDEX('Реестр'!$C$4:$C$103,$K63)),IF(ROW()=$K$3+7,"________________",IF(ROW()=$K$3+8,"________________","")))</f>
      </c>
      <c r="D63" s="40">
        <f>IF(ISNUMBER($K63),IF(INDEX('Реестр'!$D$4:$D$103,$K63)="","",INDEX('Реестр'!$D$4:$D$103,$K63)),IF(ROW()=$K$3+8,"Дата:",""))</f>
      </c>
      <c r="E63" s="41">
        <f>IF(ISNUMBER($K63),IF(INDEX('Реестр'!$E$4:$E$103,$K63)="","",INDEX('Реестр'!$E$4:$E$103,$K63)),IF(ROW()=$K$3+8,"____________",""))</f>
      </c>
      <c r="F63" s="42">
        <f>IF(ISNUMBER($K63),IF(INDEX('Реестр'!$F$4:$F$103,$K63)="","",INDEX('Реестр'!$F$4:$F$103,$K63)),IF(ROW()=$K$3+5,'Реестр'!F104,""))</f>
      </c>
      <c r="G63" s="22">
        <f>IF(ISNUMBER($K63),IF(INDEX('Реестр'!$G$4:$G$103,$K63)="","",INDEX('Реестр'!$G$4:$G$103,$K63)),IF(ROW()=$K$3+6,"ЗАКАЗЧИК",IF(ROW()=$K$3+7,"Должн./ФИО:",IF(ROW()=$K$3+8,"Подпись:",""))))</f>
      </c>
      <c r="H63" s="43">
        <f>IF(ISNUMBER($K63),IF(INDEX('Реестр'!$H$4:$H$103,$K63)="","",INDEX('Реестр'!$H$4:$H$103,$K63)),IF(ROW()=$K$3+7,"________________",IF(ROW()=$K$3+8,"________________","")))</f>
      </c>
      <c r="I63" s="42">
        <f>IF(ISNUMBER($K63),IF(INDEX('Реестр'!$I$4:$I$103,$K63)="","",INDEX('Реестр'!$I$4:$I$103,$K63)),IF(ROW()=$K$3+5,'Реестр'!I104,IF(ROW()=$K$3+8,"Дата:","")))</f>
      </c>
      <c r="J63" s="22">
        <f>IF(ISNUMBER($K63),IF(INDEX('Реестр'!$J$4:$J$103,$K63)="","",INDEX('Реестр'!$J$4:$J$103,$K63)),IF(ROW()=$K$3+8,"____________",""))</f>
      </c>
      <c r="K63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63)),"")</f>
      </c>
    </row>
    <row r="64" ht="24" customHeight="1">
      <c r="A64" s="18">
        <f>IF(ISNUMBER($K64),$K64,"")</f>
      </c>
      <c r="B64" s="23">
        <f>IF(ISNUMBER($K64),IF(INDEX('Реестр'!$B$4:$B$103,$K64)="","",INDEX('Реестр'!$B$4:$B$103,$K64)),IF(ROW()=$K$3+5,"ИТОГО",IF(ROW()=$K$3+6,"ПОДРЯДЧИК",IF(ROW()=$K$3+7,"Должн./ФИО:",IF(ROW()=$K$3+8,"Подпись:","")))))</f>
      </c>
      <c r="C64" s="23">
        <f>IF(ISNUMBER($K64),IF(INDEX('Реестр'!$C$4:$C$103,$K64)="","",INDEX('Реестр'!$C$4:$C$103,$K64)),IF(ROW()=$K$3+7,"________________",IF(ROW()=$K$3+8,"________________","")))</f>
      </c>
      <c r="D64" s="44">
        <f>IF(ISNUMBER($K64),IF(INDEX('Реестр'!$D$4:$D$103,$K64)="","",INDEX('Реестр'!$D$4:$D$103,$K64)),IF(ROW()=$K$3+8,"Дата:",""))</f>
      </c>
      <c r="E64" s="45">
        <f>IF(ISNUMBER($K64),IF(INDEX('Реестр'!$E$4:$E$103,$K64)="","",INDEX('Реестр'!$E$4:$E$103,$K64)),IF(ROW()=$K$3+8,"____________",""))</f>
      </c>
      <c r="F64" s="42">
        <f>IF(ISNUMBER($K64),IF(INDEX('Реестр'!$F$4:$F$103,$K64)="","",INDEX('Реестр'!$F$4:$F$103,$K64)),IF(ROW()=$K$3+5,'Реестр'!F104,""))</f>
      </c>
      <c r="G64" s="23">
        <f>IF(ISNUMBER($K64),IF(INDEX('Реестр'!$G$4:$G$103,$K64)="","",INDEX('Реестр'!$G$4:$G$103,$K64)),IF(ROW()=$K$3+6,"ЗАКАЗЧИК",IF(ROW()=$K$3+7,"Должн./ФИО:",IF(ROW()=$K$3+8,"Подпись:",""))))</f>
      </c>
      <c r="H64" s="46">
        <f>IF(ISNUMBER($K64),IF(INDEX('Реестр'!$H$4:$H$103,$K64)="","",INDEX('Реестр'!$H$4:$H$103,$K64)),IF(ROW()=$K$3+7,"________________",IF(ROW()=$K$3+8,"________________","")))</f>
      </c>
      <c r="I64" s="42">
        <f>IF(ISNUMBER($K64),IF(INDEX('Реестр'!$I$4:$I$103,$K64)="","",INDEX('Реестр'!$I$4:$I$103,$K64)),IF(ROW()=$K$3+5,'Реестр'!I104,IF(ROW()=$K$3+8,"Дата:","")))</f>
      </c>
      <c r="J64" s="23">
        <f>IF(ISNUMBER($K64),IF(INDEX('Реестр'!$J$4:$J$103,$K64)="","",INDEX('Реестр'!$J$4:$J$103,$K64)),IF(ROW()=$K$3+8,"____________",""))</f>
      </c>
      <c r="K64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64)),"")</f>
      </c>
    </row>
    <row r="65" ht="24" customHeight="1">
      <c r="A65" s="17">
        <f>IF(ISNUMBER($K65),$K65,"")</f>
      </c>
      <c r="B65" s="22">
        <f>IF(ISNUMBER($K65),IF(INDEX('Реестр'!$B$4:$B$103,$K65)="","",INDEX('Реестр'!$B$4:$B$103,$K65)),IF(ROW()=$K$3+5,"ИТОГО",IF(ROW()=$K$3+6,"ПОДРЯДЧИК",IF(ROW()=$K$3+7,"Должн./ФИО:",IF(ROW()=$K$3+8,"Подпись:","")))))</f>
      </c>
      <c r="C65" s="22">
        <f>IF(ISNUMBER($K65),IF(INDEX('Реестр'!$C$4:$C$103,$K65)="","",INDEX('Реестр'!$C$4:$C$103,$K65)),IF(ROW()=$K$3+7,"________________",IF(ROW()=$K$3+8,"________________","")))</f>
      </c>
      <c r="D65" s="40">
        <f>IF(ISNUMBER($K65),IF(INDEX('Реестр'!$D$4:$D$103,$K65)="","",INDEX('Реестр'!$D$4:$D$103,$K65)),IF(ROW()=$K$3+8,"Дата:",""))</f>
      </c>
      <c r="E65" s="41">
        <f>IF(ISNUMBER($K65),IF(INDEX('Реестр'!$E$4:$E$103,$K65)="","",INDEX('Реестр'!$E$4:$E$103,$K65)),IF(ROW()=$K$3+8,"____________",""))</f>
      </c>
      <c r="F65" s="42">
        <f>IF(ISNUMBER($K65),IF(INDEX('Реестр'!$F$4:$F$103,$K65)="","",INDEX('Реестр'!$F$4:$F$103,$K65)),IF(ROW()=$K$3+5,'Реестр'!F104,""))</f>
      </c>
      <c r="G65" s="22">
        <f>IF(ISNUMBER($K65),IF(INDEX('Реестр'!$G$4:$G$103,$K65)="","",INDEX('Реестр'!$G$4:$G$103,$K65)),IF(ROW()=$K$3+6,"ЗАКАЗЧИК",IF(ROW()=$K$3+7,"Должн./ФИО:",IF(ROW()=$K$3+8,"Подпись:",""))))</f>
      </c>
      <c r="H65" s="43">
        <f>IF(ISNUMBER($K65),IF(INDEX('Реестр'!$H$4:$H$103,$K65)="","",INDEX('Реестр'!$H$4:$H$103,$K65)),IF(ROW()=$K$3+7,"________________",IF(ROW()=$K$3+8,"________________","")))</f>
      </c>
      <c r="I65" s="42">
        <f>IF(ISNUMBER($K65),IF(INDEX('Реестр'!$I$4:$I$103,$K65)="","",INDEX('Реестр'!$I$4:$I$103,$K65)),IF(ROW()=$K$3+5,'Реестр'!I104,IF(ROW()=$K$3+8,"Дата:","")))</f>
      </c>
      <c r="J65" s="22">
        <f>IF(ISNUMBER($K65),IF(INDEX('Реестр'!$J$4:$J$103,$K65)="","",INDEX('Реестр'!$J$4:$J$103,$K65)),IF(ROW()=$K$3+8,"____________",""))</f>
      </c>
      <c r="K65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65)),"")</f>
      </c>
    </row>
    <row r="66" ht="24" customHeight="1">
      <c r="A66" s="18">
        <f>IF(ISNUMBER($K66),$K66,"")</f>
      </c>
      <c r="B66" s="23">
        <f>IF(ISNUMBER($K66),IF(INDEX('Реестр'!$B$4:$B$103,$K66)="","",INDEX('Реестр'!$B$4:$B$103,$K66)),IF(ROW()=$K$3+5,"ИТОГО",IF(ROW()=$K$3+6,"ПОДРЯДЧИК",IF(ROW()=$K$3+7,"Должн./ФИО:",IF(ROW()=$K$3+8,"Подпись:","")))))</f>
      </c>
      <c r="C66" s="23">
        <f>IF(ISNUMBER($K66),IF(INDEX('Реестр'!$C$4:$C$103,$K66)="","",INDEX('Реестр'!$C$4:$C$103,$K66)),IF(ROW()=$K$3+7,"________________",IF(ROW()=$K$3+8,"________________","")))</f>
      </c>
      <c r="D66" s="44">
        <f>IF(ISNUMBER($K66),IF(INDEX('Реестр'!$D$4:$D$103,$K66)="","",INDEX('Реестр'!$D$4:$D$103,$K66)),IF(ROW()=$K$3+8,"Дата:",""))</f>
      </c>
      <c r="E66" s="45">
        <f>IF(ISNUMBER($K66),IF(INDEX('Реестр'!$E$4:$E$103,$K66)="","",INDEX('Реестр'!$E$4:$E$103,$K66)),IF(ROW()=$K$3+8,"____________",""))</f>
      </c>
      <c r="F66" s="42">
        <f>IF(ISNUMBER($K66),IF(INDEX('Реестр'!$F$4:$F$103,$K66)="","",INDEX('Реестр'!$F$4:$F$103,$K66)),IF(ROW()=$K$3+5,'Реестр'!F104,""))</f>
      </c>
      <c r="G66" s="23">
        <f>IF(ISNUMBER($K66),IF(INDEX('Реестр'!$G$4:$G$103,$K66)="","",INDEX('Реестр'!$G$4:$G$103,$K66)),IF(ROW()=$K$3+6,"ЗАКАЗЧИК",IF(ROW()=$K$3+7,"Должн./ФИО:",IF(ROW()=$K$3+8,"Подпись:",""))))</f>
      </c>
      <c r="H66" s="46">
        <f>IF(ISNUMBER($K66),IF(INDEX('Реестр'!$H$4:$H$103,$K66)="","",INDEX('Реестр'!$H$4:$H$103,$K66)),IF(ROW()=$K$3+7,"________________",IF(ROW()=$K$3+8,"________________","")))</f>
      </c>
      <c r="I66" s="42">
        <f>IF(ISNUMBER($K66),IF(INDEX('Реестр'!$I$4:$I$103,$K66)="","",INDEX('Реестр'!$I$4:$I$103,$K66)),IF(ROW()=$K$3+5,'Реестр'!I104,IF(ROW()=$K$3+8,"Дата:","")))</f>
      </c>
      <c r="J66" s="23">
        <f>IF(ISNUMBER($K66),IF(INDEX('Реестр'!$J$4:$J$103,$K66)="","",INDEX('Реестр'!$J$4:$J$103,$K66)),IF(ROW()=$K$3+8,"____________",""))</f>
      </c>
      <c r="K66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66)),"")</f>
      </c>
    </row>
    <row r="67" ht="24" customHeight="1">
      <c r="A67" s="17">
        <f>IF(ISNUMBER($K67),$K67,"")</f>
      </c>
      <c r="B67" s="22">
        <f>IF(ISNUMBER($K67),IF(INDEX('Реестр'!$B$4:$B$103,$K67)="","",INDEX('Реестр'!$B$4:$B$103,$K67)),IF(ROW()=$K$3+5,"ИТОГО",IF(ROW()=$K$3+6,"ПОДРЯДЧИК",IF(ROW()=$K$3+7,"Должн./ФИО:",IF(ROW()=$K$3+8,"Подпись:","")))))</f>
      </c>
      <c r="C67" s="22">
        <f>IF(ISNUMBER($K67),IF(INDEX('Реестр'!$C$4:$C$103,$K67)="","",INDEX('Реестр'!$C$4:$C$103,$K67)),IF(ROW()=$K$3+7,"________________",IF(ROW()=$K$3+8,"________________","")))</f>
      </c>
      <c r="D67" s="40">
        <f>IF(ISNUMBER($K67),IF(INDEX('Реестр'!$D$4:$D$103,$K67)="","",INDEX('Реестр'!$D$4:$D$103,$K67)),IF(ROW()=$K$3+8,"Дата:",""))</f>
      </c>
      <c r="E67" s="41">
        <f>IF(ISNUMBER($K67),IF(INDEX('Реестр'!$E$4:$E$103,$K67)="","",INDEX('Реестр'!$E$4:$E$103,$K67)),IF(ROW()=$K$3+8,"____________",""))</f>
      </c>
      <c r="F67" s="42">
        <f>IF(ISNUMBER($K67),IF(INDEX('Реестр'!$F$4:$F$103,$K67)="","",INDEX('Реестр'!$F$4:$F$103,$K67)),IF(ROW()=$K$3+5,'Реестр'!F104,""))</f>
      </c>
      <c r="G67" s="22">
        <f>IF(ISNUMBER($K67),IF(INDEX('Реестр'!$G$4:$G$103,$K67)="","",INDEX('Реестр'!$G$4:$G$103,$K67)),IF(ROW()=$K$3+6,"ЗАКАЗЧИК",IF(ROW()=$K$3+7,"Должн./ФИО:",IF(ROW()=$K$3+8,"Подпись:",""))))</f>
      </c>
      <c r="H67" s="43">
        <f>IF(ISNUMBER($K67),IF(INDEX('Реестр'!$H$4:$H$103,$K67)="","",INDEX('Реестр'!$H$4:$H$103,$K67)),IF(ROW()=$K$3+7,"________________",IF(ROW()=$K$3+8,"________________","")))</f>
      </c>
      <c r="I67" s="42">
        <f>IF(ISNUMBER($K67),IF(INDEX('Реестр'!$I$4:$I$103,$K67)="","",INDEX('Реестр'!$I$4:$I$103,$K67)),IF(ROW()=$K$3+5,'Реестр'!I104,IF(ROW()=$K$3+8,"Дата:","")))</f>
      </c>
      <c r="J67" s="22">
        <f>IF(ISNUMBER($K67),IF(INDEX('Реестр'!$J$4:$J$103,$K67)="","",INDEX('Реестр'!$J$4:$J$103,$K67)),IF(ROW()=$K$3+8,"____________",""))</f>
      </c>
      <c r="K67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67)),"")</f>
      </c>
    </row>
    <row r="68" ht="24" customHeight="1">
      <c r="A68" s="18">
        <f>IF(ISNUMBER($K68),$K68,"")</f>
      </c>
      <c r="B68" s="23">
        <f>IF(ISNUMBER($K68),IF(INDEX('Реестр'!$B$4:$B$103,$K68)="","",INDEX('Реестр'!$B$4:$B$103,$K68)),IF(ROW()=$K$3+5,"ИТОГО",IF(ROW()=$K$3+6,"ПОДРЯДЧИК",IF(ROW()=$K$3+7,"Должн./ФИО:",IF(ROW()=$K$3+8,"Подпись:","")))))</f>
      </c>
      <c r="C68" s="23">
        <f>IF(ISNUMBER($K68),IF(INDEX('Реестр'!$C$4:$C$103,$K68)="","",INDEX('Реестр'!$C$4:$C$103,$K68)),IF(ROW()=$K$3+7,"________________",IF(ROW()=$K$3+8,"________________","")))</f>
      </c>
      <c r="D68" s="44">
        <f>IF(ISNUMBER($K68),IF(INDEX('Реестр'!$D$4:$D$103,$K68)="","",INDEX('Реестр'!$D$4:$D$103,$K68)),IF(ROW()=$K$3+8,"Дата:",""))</f>
      </c>
      <c r="E68" s="45">
        <f>IF(ISNUMBER($K68),IF(INDEX('Реестр'!$E$4:$E$103,$K68)="","",INDEX('Реестр'!$E$4:$E$103,$K68)),IF(ROW()=$K$3+8,"____________",""))</f>
      </c>
      <c r="F68" s="42">
        <f>IF(ISNUMBER($K68),IF(INDEX('Реестр'!$F$4:$F$103,$K68)="","",INDEX('Реестр'!$F$4:$F$103,$K68)),IF(ROW()=$K$3+5,'Реестр'!F104,""))</f>
      </c>
      <c r="G68" s="23">
        <f>IF(ISNUMBER($K68),IF(INDEX('Реестр'!$G$4:$G$103,$K68)="","",INDEX('Реестр'!$G$4:$G$103,$K68)),IF(ROW()=$K$3+6,"ЗАКАЗЧИК",IF(ROW()=$K$3+7,"Должн./ФИО:",IF(ROW()=$K$3+8,"Подпись:",""))))</f>
      </c>
      <c r="H68" s="46">
        <f>IF(ISNUMBER($K68),IF(INDEX('Реестр'!$H$4:$H$103,$K68)="","",INDEX('Реестр'!$H$4:$H$103,$K68)),IF(ROW()=$K$3+7,"________________",IF(ROW()=$K$3+8,"________________","")))</f>
      </c>
      <c r="I68" s="42">
        <f>IF(ISNUMBER($K68),IF(INDEX('Реестр'!$I$4:$I$103,$K68)="","",INDEX('Реестр'!$I$4:$I$103,$K68)),IF(ROW()=$K$3+5,'Реестр'!I104,IF(ROW()=$K$3+8,"Дата:","")))</f>
      </c>
      <c r="J68" s="23">
        <f>IF(ISNUMBER($K68),IF(INDEX('Реестр'!$J$4:$J$103,$K68)="","",INDEX('Реестр'!$J$4:$J$103,$K68)),IF(ROW()=$K$3+8,"____________",""))</f>
      </c>
      <c r="K68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68)),"")</f>
      </c>
    </row>
    <row r="69" ht="24" customHeight="1">
      <c r="A69" s="17">
        <f>IF(ISNUMBER($K69),$K69,"")</f>
      </c>
      <c r="B69" s="22">
        <f>IF(ISNUMBER($K69),IF(INDEX('Реестр'!$B$4:$B$103,$K69)="","",INDEX('Реестр'!$B$4:$B$103,$K69)),IF(ROW()=$K$3+5,"ИТОГО",IF(ROW()=$K$3+6,"ПОДРЯДЧИК",IF(ROW()=$K$3+7,"Должн./ФИО:",IF(ROW()=$K$3+8,"Подпись:","")))))</f>
      </c>
      <c r="C69" s="22">
        <f>IF(ISNUMBER($K69),IF(INDEX('Реестр'!$C$4:$C$103,$K69)="","",INDEX('Реестр'!$C$4:$C$103,$K69)),IF(ROW()=$K$3+7,"________________",IF(ROW()=$K$3+8,"________________","")))</f>
      </c>
      <c r="D69" s="40">
        <f>IF(ISNUMBER($K69),IF(INDEX('Реестр'!$D$4:$D$103,$K69)="","",INDEX('Реестр'!$D$4:$D$103,$K69)),IF(ROW()=$K$3+8,"Дата:",""))</f>
      </c>
      <c r="E69" s="41">
        <f>IF(ISNUMBER($K69),IF(INDEX('Реестр'!$E$4:$E$103,$K69)="","",INDEX('Реестр'!$E$4:$E$103,$K69)),IF(ROW()=$K$3+8,"____________",""))</f>
      </c>
      <c r="F69" s="42">
        <f>IF(ISNUMBER($K69),IF(INDEX('Реестр'!$F$4:$F$103,$K69)="","",INDEX('Реестр'!$F$4:$F$103,$K69)),IF(ROW()=$K$3+5,'Реестр'!F104,""))</f>
      </c>
      <c r="G69" s="22">
        <f>IF(ISNUMBER($K69),IF(INDEX('Реестр'!$G$4:$G$103,$K69)="","",INDEX('Реестр'!$G$4:$G$103,$K69)),IF(ROW()=$K$3+6,"ЗАКАЗЧИК",IF(ROW()=$K$3+7,"Должн./ФИО:",IF(ROW()=$K$3+8,"Подпись:",""))))</f>
      </c>
      <c r="H69" s="43">
        <f>IF(ISNUMBER($K69),IF(INDEX('Реестр'!$H$4:$H$103,$K69)="","",INDEX('Реестр'!$H$4:$H$103,$K69)),IF(ROW()=$K$3+7,"________________",IF(ROW()=$K$3+8,"________________","")))</f>
      </c>
      <c r="I69" s="42">
        <f>IF(ISNUMBER($K69),IF(INDEX('Реестр'!$I$4:$I$103,$K69)="","",INDEX('Реестр'!$I$4:$I$103,$K69)),IF(ROW()=$K$3+5,'Реестр'!I104,IF(ROW()=$K$3+8,"Дата:","")))</f>
      </c>
      <c r="J69" s="22">
        <f>IF(ISNUMBER($K69),IF(INDEX('Реестр'!$J$4:$J$103,$K69)="","",INDEX('Реестр'!$J$4:$J$103,$K69)),IF(ROW()=$K$3+8,"____________",""))</f>
      </c>
      <c r="K69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69)),"")</f>
      </c>
    </row>
    <row r="70" ht="24" customHeight="1">
      <c r="A70" s="18">
        <f>IF(ISNUMBER($K70),$K70,"")</f>
      </c>
      <c r="B70" s="23">
        <f>IF(ISNUMBER($K70),IF(INDEX('Реестр'!$B$4:$B$103,$K70)="","",INDEX('Реестр'!$B$4:$B$103,$K70)),IF(ROW()=$K$3+5,"ИТОГО",IF(ROW()=$K$3+6,"ПОДРЯДЧИК",IF(ROW()=$K$3+7,"Должн./ФИО:",IF(ROW()=$K$3+8,"Подпись:","")))))</f>
      </c>
      <c r="C70" s="23">
        <f>IF(ISNUMBER($K70),IF(INDEX('Реестр'!$C$4:$C$103,$K70)="","",INDEX('Реестр'!$C$4:$C$103,$K70)),IF(ROW()=$K$3+7,"________________",IF(ROW()=$K$3+8,"________________","")))</f>
      </c>
      <c r="D70" s="44">
        <f>IF(ISNUMBER($K70),IF(INDEX('Реестр'!$D$4:$D$103,$K70)="","",INDEX('Реестр'!$D$4:$D$103,$K70)),IF(ROW()=$K$3+8,"Дата:",""))</f>
      </c>
      <c r="E70" s="45">
        <f>IF(ISNUMBER($K70),IF(INDEX('Реестр'!$E$4:$E$103,$K70)="","",INDEX('Реестр'!$E$4:$E$103,$K70)),IF(ROW()=$K$3+8,"____________",""))</f>
      </c>
      <c r="F70" s="42">
        <f>IF(ISNUMBER($K70),IF(INDEX('Реестр'!$F$4:$F$103,$K70)="","",INDEX('Реестр'!$F$4:$F$103,$K70)),IF(ROW()=$K$3+5,'Реестр'!F104,""))</f>
      </c>
      <c r="G70" s="23">
        <f>IF(ISNUMBER($K70),IF(INDEX('Реестр'!$G$4:$G$103,$K70)="","",INDEX('Реестр'!$G$4:$G$103,$K70)),IF(ROW()=$K$3+6,"ЗАКАЗЧИК",IF(ROW()=$K$3+7,"Должн./ФИО:",IF(ROW()=$K$3+8,"Подпись:",""))))</f>
      </c>
      <c r="H70" s="46">
        <f>IF(ISNUMBER($K70),IF(INDEX('Реестр'!$H$4:$H$103,$K70)="","",INDEX('Реестр'!$H$4:$H$103,$K70)),IF(ROW()=$K$3+7,"________________",IF(ROW()=$K$3+8,"________________","")))</f>
      </c>
      <c r="I70" s="42">
        <f>IF(ISNUMBER($K70),IF(INDEX('Реестр'!$I$4:$I$103,$K70)="","",INDEX('Реестр'!$I$4:$I$103,$K70)),IF(ROW()=$K$3+5,'Реестр'!I104,IF(ROW()=$K$3+8,"Дата:","")))</f>
      </c>
      <c r="J70" s="23">
        <f>IF(ISNUMBER($K70),IF(INDEX('Реестр'!$J$4:$J$103,$K70)="","",INDEX('Реестр'!$J$4:$J$103,$K70)),IF(ROW()=$K$3+8,"____________",""))</f>
      </c>
      <c r="K70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70)),"")</f>
      </c>
    </row>
    <row r="71" ht="24" customHeight="1">
      <c r="A71" s="17">
        <f>IF(ISNUMBER($K71),$K71,"")</f>
      </c>
      <c r="B71" s="22">
        <f>IF(ISNUMBER($K71),IF(INDEX('Реестр'!$B$4:$B$103,$K71)="","",INDEX('Реестр'!$B$4:$B$103,$K71)),IF(ROW()=$K$3+5,"ИТОГО",IF(ROW()=$K$3+6,"ПОДРЯДЧИК",IF(ROW()=$K$3+7,"Должн./ФИО:",IF(ROW()=$K$3+8,"Подпись:","")))))</f>
      </c>
      <c r="C71" s="22">
        <f>IF(ISNUMBER($K71),IF(INDEX('Реестр'!$C$4:$C$103,$K71)="","",INDEX('Реестр'!$C$4:$C$103,$K71)),IF(ROW()=$K$3+7,"________________",IF(ROW()=$K$3+8,"________________","")))</f>
      </c>
      <c r="D71" s="40">
        <f>IF(ISNUMBER($K71),IF(INDEX('Реестр'!$D$4:$D$103,$K71)="","",INDEX('Реестр'!$D$4:$D$103,$K71)),IF(ROW()=$K$3+8,"Дата:",""))</f>
      </c>
      <c r="E71" s="41">
        <f>IF(ISNUMBER($K71),IF(INDEX('Реестр'!$E$4:$E$103,$K71)="","",INDEX('Реестр'!$E$4:$E$103,$K71)),IF(ROW()=$K$3+8,"____________",""))</f>
      </c>
      <c r="F71" s="42">
        <f>IF(ISNUMBER($K71),IF(INDEX('Реестр'!$F$4:$F$103,$K71)="","",INDEX('Реестр'!$F$4:$F$103,$K71)),IF(ROW()=$K$3+5,'Реестр'!F104,""))</f>
      </c>
      <c r="G71" s="22">
        <f>IF(ISNUMBER($K71),IF(INDEX('Реестр'!$G$4:$G$103,$K71)="","",INDEX('Реестр'!$G$4:$G$103,$K71)),IF(ROW()=$K$3+6,"ЗАКАЗЧИК",IF(ROW()=$K$3+7,"Должн./ФИО:",IF(ROW()=$K$3+8,"Подпись:",""))))</f>
      </c>
      <c r="H71" s="43">
        <f>IF(ISNUMBER($K71),IF(INDEX('Реестр'!$H$4:$H$103,$K71)="","",INDEX('Реестр'!$H$4:$H$103,$K71)),IF(ROW()=$K$3+7,"________________",IF(ROW()=$K$3+8,"________________","")))</f>
      </c>
      <c r="I71" s="42">
        <f>IF(ISNUMBER($K71),IF(INDEX('Реестр'!$I$4:$I$103,$K71)="","",INDEX('Реестр'!$I$4:$I$103,$K71)),IF(ROW()=$K$3+5,'Реестр'!I104,IF(ROW()=$K$3+8,"Дата:","")))</f>
      </c>
      <c r="J71" s="22">
        <f>IF(ISNUMBER($K71),IF(INDEX('Реестр'!$J$4:$J$103,$K71)="","",INDEX('Реестр'!$J$4:$J$103,$K71)),IF(ROW()=$K$3+8,"____________",""))</f>
      </c>
      <c r="K71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71)),"")</f>
      </c>
    </row>
    <row r="72" ht="24" customHeight="1">
      <c r="A72" s="18">
        <f>IF(ISNUMBER($K72),$K72,"")</f>
      </c>
      <c r="B72" s="23">
        <f>IF(ISNUMBER($K72),IF(INDEX('Реестр'!$B$4:$B$103,$K72)="","",INDEX('Реестр'!$B$4:$B$103,$K72)),IF(ROW()=$K$3+5,"ИТОГО",IF(ROW()=$K$3+6,"ПОДРЯДЧИК",IF(ROW()=$K$3+7,"Должн./ФИО:",IF(ROW()=$K$3+8,"Подпись:","")))))</f>
      </c>
      <c r="C72" s="23">
        <f>IF(ISNUMBER($K72),IF(INDEX('Реестр'!$C$4:$C$103,$K72)="","",INDEX('Реестр'!$C$4:$C$103,$K72)),IF(ROW()=$K$3+7,"________________",IF(ROW()=$K$3+8,"________________","")))</f>
      </c>
      <c r="D72" s="44">
        <f>IF(ISNUMBER($K72),IF(INDEX('Реестр'!$D$4:$D$103,$K72)="","",INDEX('Реестр'!$D$4:$D$103,$K72)),IF(ROW()=$K$3+8,"Дата:",""))</f>
      </c>
      <c r="E72" s="45">
        <f>IF(ISNUMBER($K72),IF(INDEX('Реестр'!$E$4:$E$103,$K72)="","",INDEX('Реестр'!$E$4:$E$103,$K72)),IF(ROW()=$K$3+8,"____________",""))</f>
      </c>
      <c r="F72" s="42">
        <f>IF(ISNUMBER($K72),IF(INDEX('Реестр'!$F$4:$F$103,$K72)="","",INDEX('Реестр'!$F$4:$F$103,$K72)),IF(ROW()=$K$3+5,'Реестр'!F104,""))</f>
      </c>
      <c r="G72" s="23">
        <f>IF(ISNUMBER($K72),IF(INDEX('Реестр'!$G$4:$G$103,$K72)="","",INDEX('Реестр'!$G$4:$G$103,$K72)),IF(ROW()=$K$3+6,"ЗАКАЗЧИК",IF(ROW()=$K$3+7,"Должн./ФИО:",IF(ROW()=$K$3+8,"Подпись:",""))))</f>
      </c>
      <c r="H72" s="46">
        <f>IF(ISNUMBER($K72),IF(INDEX('Реестр'!$H$4:$H$103,$K72)="","",INDEX('Реестр'!$H$4:$H$103,$K72)),IF(ROW()=$K$3+7,"________________",IF(ROW()=$K$3+8,"________________","")))</f>
      </c>
      <c r="I72" s="42">
        <f>IF(ISNUMBER($K72),IF(INDEX('Реестр'!$I$4:$I$103,$K72)="","",INDEX('Реестр'!$I$4:$I$103,$K72)),IF(ROW()=$K$3+5,'Реестр'!I104,IF(ROW()=$K$3+8,"Дата:","")))</f>
      </c>
      <c r="J72" s="23">
        <f>IF(ISNUMBER($K72),IF(INDEX('Реестр'!$J$4:$J$103,$K72)="","",INDEX('Реестр'!$J$4:$J$103,$K72)),IF(ROW()=$K$3+8,"____________",""))</f>
      </c>
      <c r="K72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72)),"")</f>
      </c>
    </row>
    <row r="73" ht="24" customHeight="1">
      <c r="A73" s="17">
        <f>IF(ISNUMBER($K73),$K73,"")</f>
      </c>
      <c r="B73" s="22">
        <f>IF(ISNUMBER($K73),IF(INDEX('Реестр'!$B$4:$B$103,$K73)="","",INDEX('Реестр'!$B$4:$B$103,$K73)),IF(ROW()=$K$3+5,"ИТОГО",IF(ROW()=$K$3+6,"ПОДРЯДЧИК",IF(ROW()=$K$3+7,"Должн./ФИО:",IF(ROW()=$K$3+8,"Подпись:","")))))</f>
      </c>
      <c r="C73" s="22">
        <f>IF(ISNUMBER($K73),IF(INDEX('Реестр'!$C$4:$C$103,$K73)="","",INDEX('Реестр'!$C$4:$C$103,$K73)),IF(ROW()=$K$3+7,"________________",IF(ROW()=$K$3+8,"________________","")))</f>
      </c>
      <c r="D73" s="40">
        <f>IF(ISNUMBER($K73),IF(INDEX('Реестр'!$D$4:$D$103,$K73)="","",INDEX('Реестр'!$D$4:$D$103,$K73)),IF(ROW()=$K$3+8,"Дата:",""))</f>
      </c>
      <c r="E73" s="41">
        <f>IF(ISNUMBER($K73),IF(INDEX('Реестр'!$E$4:$E$103,$K73)="","",INDEX('Реестр'!$E$4:$E$103,$K73)),IF(ROW()=$K$3+8,"____________",""))</f>
      </c>
      <c r="F73" s="42">
        <f>IF(ISNUMBER($K73),IF(INDEX('Реестр'!$F$4:$F$103,$K73)="","",INDEX('Реестр'!$F$4:$F$103,$K73)),IF(ROW()=$K$3+5,'Реестр'!F104,""))</f>
      </c>
      <c r="G73" s="22">
        <f>IF(ISNUMBER($K73),IF(INDEX('Реестр'!$G$4:$G$103,$K73)="","",INDEX('Реестр'!$G$4:$G$103,$K73)),IF(ROW()=$K$3+6,"ЗАКАЗЧИК",IF(ROW()=$K$3+7,"Должн./ФИО:",IF(ROW()=$K$3+8,"Подпись:",""))))</f>
      </c>
      <c r="H73" s="43">
        <f>IF(ISNUMBER($K73),IF(INDEX('Реестр'!$H$4:$H$103,$K73)="","",INDEX('Реестр'!$H$4:$H$103,$K73)),IF(ROW()=$K$3+7,"________________",IF(ROW()=$K$3+8,"________________","")))</f>
      </c>
      <c r="I73" s="42">
        <f>IF(ISNUMBER($K73),IF(INDEX('Реестр'!$I$4:$I$103,$K73)="","",INDEX('Реестр'!$I$4:$I$103,$K73)),IF(ROW()=$K$3+5,'Реестр'!I104,IF(ROW()=$K$3+8,"Дата:","")))</f>
      </c>
      <c r="J73" s="22">
        <f>IF(ISNUMBER($K73),IF(INDEX('Реестр'!$J$4:$J$103,$K73)="","",INDEX('Реестр'!$J$4:$J$103,$K73)),IF(ROW()=$K$3+8,"____________",""))</f>
      </c>
      <c r="K73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73)),"")</f>
      </c>
    </row>
    <row r="74" ht="24" customHeight="1">
      <c r="A74" s="18">
        <f>IF(ISNUMBER($K74),$K74,"")</f>
      </c>
      <c r="B74" s="23">
        <f>IF(ISNUMBER($K74),IF(INDEX('Реестр'!$B$4:$B$103,$K74)="","",INDEX('Реестр'!$B$4:$B$103,$K74)),IF(ROW()=$K$3+5,"ИТОГО",IF(ROW()=$K$3+6,"ПОДРЯДЧИК",IF(ROW()=$K$3+7,"Должн./ФИО:",IF(ROW()=$K$3+8,"Подпись:","")))))</f>
      </c>
      <c r="C74" s="23">
        <f>IF(ISNUMBER($K74),IF(INDEX('Реестр'!$C$4:$C$103,$K74)="","",INDEX('Реестр'!$C$4:$C$103,$K74)),IF(ROW()=$K$3+7,"________________",IF(ROW()=$K$3+8,"________________","")))</f>
      </c>
      <c r="D74" s="44">
        <f>IF(ISNUMBER($K74),IF(INDEX('Реестр'!$D$4:$D$103,$K74)="","",INDEX('Реестр'!$D$4:$D$103,$K74)),IF(ROW()=$K$3+8,"Дата:",""))</f>
      </c>
      <c r="E74" s="45">
        <f>IF(ISNUMBER($K74),IF(INDEX('Реестр'!$E$4:$E$103,$K74)="","",INDEX('Реестр'!$E$4:$E$103,$K74)),IF(ROW()=$K$3+8,"____________",""))</f>
      </c>
      <c r="F74" s="42">
        <f>IF(ISNUMBER($K74),IF(INDEX('Реестр'!$F$4:$F$103,$K74)="","",INDEX('Реестр'!$F$4:$F$103,$K74)),IF(ROW()=$K$3+5,'Реестр'!F104,""))</f>
      </c>
      <c r="G74" s="23">
        <f>IF(ISNUMBER($K74),IF(INDEX('Реестр'!$G$4:$G$103,$K74)="","",INDEX('Реестр'!$G$4:$G$103,$K74)),IF(ROW()=$K$3+6,"ЗАКАЗЧИК",IF(ROW()=$K$3+7,"Должн./ФИО:",IF(ROW()=$K$3+8,"Подпись:",""))))</f>
      </c>
      <c r="H74" s="46">
        <f>IF(ISNUMBER($K74),IF(INDEX('Реестр'!$H$4:$H$103,$K74)="","",INDEX('Реестр'!$H$4:$H$103,$K74)),IF(ROW()=$K$3+7,"________________",IF(ROW()=$K$3+8,"________________","")))</f>
      </c>
      <c r="I74" s="42">
        <f>IF(ISNUMBER($K74),IF(INDEX('Реестр'!$I$4:$I$103,$K74)="","",INDEX('Реестр'!$I$4:$I$103,$K74)),IF(ROW()=$K$3+5,'Реестр'!I104,IF(ROW()=$K$3+8,"Дата:","")))</f>
      </c>
      <c r="J74" s="23">
        <f>IF(ISNUMBER($K74),IF(INDEX('Реестр'!$J$4:$J$103,$K74)="","",INDEX('Реестр'!$J$4:$J$103,$K74)),IF(ROW()=$K$3+8,"____________",""))</f>
      </c>
      <c r="K74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74)),"")</f>
      </c>
    </row>
    <row r="75" ht="24" customHeight="1">
      <c r="A75" s="17">
        <f>IF(ISNUMBER($K75),$K75,"")</f>
      </c>
      <c r="B75" s="22">
        <f>IF(ISNUMBER($K75),IF(INDEX('Реестр'!$B$4:$B$103,$K75)="","",INDEX('Реестр'!$B$4:$B$103,$K75)),IF(ROW()=$K$3+5,"ИТОГО",IF(ROW()=$K$3+6,"ПОДРЯДЧИК",IF(ROW()=$K$3+7,"Должн./ФИО:",IF(ROW()=$K$3+8,"Подпись:","")))))</f>
      </c>
      <c r="C75" s="22">
        <f>IF(ISNUMBER($K75),IF(INDEX('Реестр'!$C$4:$C$103,$K75)="","",INDEX('Реестр'!$C$4:$C$103,$K75)),IF(ROW()=$K$3+7,"________________",IF(ROW()=$K$3+8,"________________","")))</f>
      </c>
      <c r="D75" s="40">
        <f>IF(ISNUMBER($K75),IF(INDEX('Реестр'!$D$4:$D$103,$K75)="","",INDEX('Реестр'!$D$4:$D$103,$K75)),IF(ROW()=$K$3+8,"Дата:",""))</f>
      </c>
      <c r="E75" s="41">
        <f>IF(ISNUMBER($K75),IF(INDEX('Реестр'!$E$4:$E$103,$K75)="","",INDEX('Реестр'!$E$4:$E$103,$K75)),IF(ROW()=$K$3+8,"____________",""))</f>
      </c>
      <c r="F75" s="42">
        <f>IF(ISNUMBER($K75),IF(INDEX('Реестр'!$F$4:$F$103,$K75)="","",INDEX('Реестр'!$F$4:$F$103,$K75)),IF(ROW()=$K$3+5,'Реестр'!F104,""))</f>
      </c>
      <c r="G75" s="22">
        <f>IF(ISNUMBER($K75),IF(INDEX('Реестр'!$G$4:$G$103,$K75)="","",INDEX('Реестр'!$G$4:$G$103,$K75)),IF(ROW()=$K$3+6,"ЗАКАЗЧИК",IF(ROW()=$K$3+7,"Должн./ФИО:",IF(ROW()=$K$3+8,"Подпись:",""))))</f>
      </c>
      <c r="H75" s="43">
        <f>IF(ISNUMBER($K75),IF(INDEX('Реестр'!$H$4:$H$103,$K75)="","",INDEX('Реестр'!$H$4:$H$103,$K75)),IF(ROW()=$K$3+7,"________________",IF(ROW()=$K$3+8,"________________","")))</f>
      </c>
      <c r="I75" s="42">
        <f>IF(ISNUMBER($K75),IF(INDEX('Реестр'!$I$4:$I$103,$K75)="","",INDEX('Реестр'!$I$4:$I$103,$K75)),IF(ROW()=$K$3+5,'Реестр'!I104,IF(ROW()=$K$3+8,"Дата:","")))</f>
      </c>
      <c r="J75" s="22">
        <f>IF(ISNUMBER($K75),IF(INDEX('Реестр'!$J$4:$J$103,$K75)="","",INDEX('Реестр'!$J$4:$J$103,$K75)),IF(ROW()=$K$3+8,"____________",""))</f>
      </c>
      <c r="K75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75)),"")</f>
      </c>
    </row>
    <row r="76" ht="24" customHeight="1">
      <c r="A76" s="18">
        <f>IF(ISNUMBER($K76),$K76,"")</f>
      </c>
      <c r="B76" s="23">
        <f>IF(ISNUMBER($K76),IF(INDEX('Реестр'!$B$4:$B$103,$K76)="","",INDEX('Реестр'!$B$4:$B$103,$K76)),IF(ROW()=$K$3+5,"ИТОГО",IF(ROW()=$K$3+6,"ПОДРЯДЧИК",IF(ROW()=$K$3+7,"Должн./ФИО:",IF(ROW()=$K$3+8,"Подпись:","")))))</f>
      </c>
      <c r="C76" s="23">
        <f>IF(ISNUMBER($K76),IF(INDEX('Реестр'!$C$4:$C$103,$K76)="","",INDEX('Реестр'!$C$4:$C$103,$K76)),IF(ROW()=$K$3+7,"________________",IF(ROW()=$K$3+8,"________________","")))</f>
      </c>
      <c r="D76" s="44">
        <f>IF(ISNUMBER($K76),IF(INDEX('Реестр'!$D$4:$D$103,$K76)="","",INDEX('Реестр'!$D$4:$D$103,$K76)),IF(ROW()=$K$3+8,"Дата:",""))</f>
      </c>
      <c r="E76" s="45">
        <f>IF(ISNUMBER($K76),IF(INDEX('Реестр'!$E$4:$E$103,$K76)="","",INDEX('Реестр'!$E$4:$E$103,$K76)),IF(ROW()=$K$3+8,"____________",""))</f>
      </c>
      <c r="F76" s="42">
        <f>IF(ISNUMBER($K76),IF(INDEX('Реестр'!$F$4:$F$103,$K76)="","",INDEX('Реестр'!$F$4:$F$103,$K76)),IF(ROW()=$K$3+5,'Реестр'!F104,""))</f>
      </c>
      <c r="G76" s="23">
        <f>IF(ISNUMBER($K76),IF(INDEX('Реестр'!$G$4:$G$103,$K76)="","",INDEX('Реестр'!$G$4:$G$103,$K76)),IF(ROW()=$K$3+6,"ЗАКАЗЧИК",IF(ROW()=$K$3+7,"Должн./ФИО:",IF(ROW()=$K$3+8,"Подпись:",""))))</f>
      </c>
      <c r="H76" s="46">
        <f>IF(ISNUMBER($K76),IF(INDEX('Реестр'!$H$4:$H$103,$K76)="","",INDEX('Реестр'!$H$4:$H$103,$K76)),IF(ROW()=$K$3+7,"________________",IF(ROW()=$K$3+8,"________________","")))</f>
      </c>
      <c r="I76" s="42">
        <f>IF(ISNUMBER($K76),IF(INDEX('Реестр'!$I$4:$I$103,$K76)="","",INDEX('Реестр'!$I$4:$I$103,$K76)),IF(ROW()=$K$3+5,'Реестр'!I104,IF(ROW()=$K$3+8,"Дата:","")))</f>
      </c>
      <c r="J76" s="23">
        <f>IF(ISNUMBER($K76),IF(INDEX('Реестр'!$J$4:$J$103,$K76)="","",INDEX('Реестр'!$J$4:$J$103,$K76)),IF(ROW()=$K$3+8,"____________",""))</f>
      </c>
      <c r="K76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76)),"")</f>
      </c>
    </row>
    <row r="77" ht="24" customHeight="1">
      <c r="A77" s="17">
        <f>IF(ISNUMBER($K77),$K77,"")</f>
      </c>
      <c r="B77" s="22">
        <f>IF(ISNUMBER($K77),IF(INDEX('Реестр'!$B$4:$B$103,$K77)="","",INDEX('Реестр'!$B$4:$B$103,$K77)),IF(ROW()=$K$3+5,"ИТОГО",IF(ROW()=$K$3+6,"ПОДРЯДЧИК",IF(ROW()=$K$3+7,"Должн./ФИО:",IF(ROW()=$K$3+8,"Подпись:","")))))</f>
      </c>
      <c r="C77" s="22">
        <f>IF(ISNUMBER($K77),IF(INDEX('Реестр'!$C$4:$C$103,$K77)="","",INDEX('Реестр'!$C$4:$C$103,$K77)),IF(ROW()=$K$3+7,"________________",IF(ROW()=$K$3+8,"________________","")))</f>
      </c>
      <c r="D77" s="40">
        <f>IF(ISNUMBER($K77),IF(INDEX('Реестр'!$D$4:$D$103,$K77)="","",INDEX('Реестр'!$D$4:$D$103,$K77)),IF(ROW()=$K$3+8,"Дата:",""))</f>
      </c>
      <c r="E77" s="41">
        <f>IF(ISNUMBER($K77),IF(INDEX('Реестр'!$E$4:$E$103,$K77)="","",INDEX('Реестр'!$E$4:$E$103,$K77)),IF(ROW()=$K$3+8,"____________",""))</f>
      </c>
      <c r="F77" s="42">
        <f>IF(ISNUMBER($K77),IF(INDEX('Реестр'!$F$4:$F$103,$K77)="","",INDEX('Реестр'!$F$4:$F$103,$K77)),IF(ROW()=$K$3+5,'Реестр'!F104,""))</f>
      </c>
      <c r="G77" s="22">
        <f>IF(ISNUMBER($K77),IF(INDEX('Реестр'!$G$4:$G$103,$K77)="","",INDEX('Реестр'!$G$4:$G$103,$K77)),IF(ROW()=$K$3+6,"ЗАКАЗЧИК",IF(ROW()=$K$3+7,"Должн./ФИО:",IF(ROW()=$K$3+8,"Подпись:",""))))</f>
      </c>
      <c r="H77" s="43">
        <f>IF(ISNUMBER($K77),IF(INDEX('Реестр'!$H$4:$H$103,$K77)="","",INDEX('Реестр'!$H$4:$H$103,$K77)),IF(ROW()=$K$3+7,"________________",IF(ROW()=$K$3+8,"________________","")))</f>
      </c>
      <c r="I77" s="42">
        <f>IF(ISNUMBER($K77),IF(INDEX('Реестр'!$I$4:$I$103,$K77)="","",INDEX('Реестр'!$I$4:$I$103,$K77)),IF(ROW()=$K$3+5,'Реестр'!I104,IF(ROW()=$K$3+8,"Дата:","")))</f>
      </c>
      <c r="J77" s="22">
        <f>IF(ISNUMBER($K77),IF(INDEX('Реестр'!$J$4:$J$103,$K77)="","",INDEX('Реестр'!$J$4:$J$103,$K77)),IF(ROW()=$K$3+8,"____________",""))</f>
      </c>
      <c r="K77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77)),"")</f>
      </c>
    </row>
    <row r="78" ht="24" customHeight="1">
      <c r="A78" s="18">
        <f>IF(ISNUMBER($K78),$K78,"")</f>
      </c>
      <c r="B78" s="23">
        <f>IF(ISNUMBER($K78),IF(INDEX('Реестр'!$B$4:$B$103,$K78)="","",INDEX('Реестр'!$B$4:$B$103,$K78)),IF(ROW()=$K$3+5,"ИТОГО",IF(ROW()=$K$3+6,"ПОДРЯДЧИК",IF(ROW()=$K$3+7,"Должн./ФИО:",IF(ROW()=$K$3+8,"Подпись:","")))))</f>
      </c>
      <c r="C78" s="23">
        <f>IF(ISNUMBER($K78),IF(INDEX('Реестр'!$C$4:$C$103,$K78)="","",INDEX('Реестр'!$C$4:$C$103,$K78)),IF(ROW()=$K$3+7,"________________",IF(ROW()=$K$3+8,"________________","")))</f>
      </c>
      <c r="D78" s="44">
        <f>IF(ISNUMBER($K78),IF(INDEX('Реестр'!$D$4:$D$103,$K78)="","",INDEX('Реестр'!$D$4:$D$103,$K78)),IF(ROW()=$K$3+8,"Дата:",""))</f>
      </c>
      <c r="E78" s="45">
        <f>IF(ISNUMBER($K78),IF(INDEX('Реестр'!$E$4:$E$103,$K78)="","",INDEX('Реестр'!$E$4:$E$103,$K78)),IF(ROW()=$K$3+8,"____________",""))</f>
      </c>
      <c r="F78" s="42">
        <f>IF(ISNUMBER($K78),IF(INDEX('Реестр'!$F$4:$F$103,$K78)="","",INDEX('Реестр'!$F$4:$F$103,$K78)),IF(ROW()=$K$3+5,'Реестр'!F104,""))</f>
      </c>
      <c r="G78" s="23">
        <f>IF(ISNUMBER($K78),IF(INDEX('Реестр'!$G$4:$G$103,$K78)="","",INDEX('Реестр'!$G$4:$G$103,$K78)),IF(ROW()=$K$3+6,"ЗАКАЗЧИК",IF(ROW()=$K$3+7,"Должн./ФИО:",IF(ROW()=$K$3+8,"Подпись:",""))))</f>
      </c>
      <c r="H78" s="46">
        <f>IF(ISNUMBER($K78),IF(INDEX('Реестр'!$H$4:$H$103,$K78)="","",INDEX('Реестр'!$H$4:$H$103,$K78)),IF(ROW()=$K$3+7,"________________",IF(ROW()=$K$3+8,"________________","")))</f>
      </c>
      <c r="I78" s="42">
        <f>IF(ISNUMBER($K78),IF(INDEX('Реестр'!$I$4:$I$103,$K78)="","",INDEX('Реестр'!$I$4:$I$103,$K78)),IF(ROW()=$K$3+5,'Реестр'!I104,IF(ROW()=$K$3+8,"Дата:","")))</f>
      </c>
      <c r="J78" s="23">
        <f>IF(ISNUMBER($K78),IF(INDEX('Реестр'!$J$4:$J$103,$K78)="","",INDEX('Реестр'!$J$4:$J$103,$K78)),IF(ROW()=$K$3+8,"____________",""))</f>
      </c>
      <c r="K78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78)),"")</f>
      </c>
    </row>
    <row r="79" ht="24" customHeight="1">
      <c r="A79" s="17">
        <f>IF(ISNUMBER($K79),$K79,"")</f>
      </c>
      <c r="B79" s="22">
        <f>IF(ISNUMBER($K79),IF(INDEX('Реестр'!$B$4:$B$103,$K79)="","",INDEX('Реестр'!$B$4:$B$103,$K79)),IF(ROW()=$K$3+5,"ИТОГО",IF(ROW()=$K$3+6,"ПОДРЯДЧИК",IF(ROW()=$K$3+7,"Должн./ФИО:",IF(ROW()=$K$3+8,"Подпись:","")))))</f>
      </c>
      <c r="C79" s="22">
        <f>IF(ISNUMBER($K79),IF(INDEX('Реестр'!$C$4:$C$103,$K79)="","",INDEX('Реестр'!$C$4:$C$103,$K79)),IF(ROW()=$K$3+7,"________________",IF(ROW()=$K$3+8,"________________","")))</f>
      </c>
      <c r="D79" s="40">
        <f>IF(ISNUMBER($K79),IF(INDEX('Реестр'!$D$4:$D$103,$K79)="","",INDEX('Реестр'!$D$4:$D$103,$K79)),IF(ROW()=$K$3+8,"Дата:",""))</f>
      </c>
      <c r="E79" s="41">
        <f>IF(ISNUMBER($K79),IF(INDEX('Реестр'!$E$4:$E$103,$K79)="","",INDEX('Реестр'!$E$4:$E$103,$K79)),IF(ROW()=$K$3+8,"____________",""))</f>
      </c>
      <c r="F79" s="42">
        <f>IF(ISNUMBER($K79),IF(INDEX('Реестр'!$F$4:$F$103,$K79)="","",INDEX('Реестр'!$F$4:$F$103,$K79)),IF(ROW()=$K$3+5,'Реестр'!F104,""))</f>
      </c>
      <c r="G79" s="22">
        <f>IF(ISNUMBER($K79),IF(INDEX('Реестр'!$G$4:$G$103,$K79)="","",INDEX('Реестр'!$G$4:$G$103,$K79)),IF(ROW()=$K$3+6,"ЗАКАЗЧИК",IF(ROW()=$K$3+7,"Должн./ФИО:",IF(ROW()=$K$3+8,"Подпись:",""))))</f>
      </c>
      <c r="H79" s="43">
        <f>IF(ISNUMBER($K79),IF(INDEX('Реестр'!$H$4:$H$103,$K79)="","",INDEX('Реестр'!$H$4:$H$103,$K79)),IF(ROW()=$K$3+7,"________________",IF(ROW()=$K$3+8,"________________","")))</f>
      </c>
      <c r="I79" s="42">
        <f>IF(ISNUMBER($K79),IF(INDEX('Реестр'!$I$4:$I$103,$K79)="","",INDEX('Реестр'!$I$4:$I$103,$K79)),IF(ROW()=$K$3+5,'Реестр'!I104,IF(ROW()=$K$3+8,"Дата:","")))</f>
      </c>
      <c r="J79" s="22">
        <f>IF(ISNUMBER($K79),IF(INDEX('Реестр'!$J$4:$J$103,$K79)="","",INDEX('Реестр'!$J$4:$J$103,$K79)),IF(ROW()=$K$3+8,"____________",""))</f>
      </c>
      <c r="K79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79)),"")</f>
      </c>
    </row>
    <row r="80" ht="24" customHeight="1">
      <c r="A80" s="18">
        <f>IF(ISNUMBER($K80),$K80,"")</f>
      </c>
      <c r="B80" s="23">
        <f>IF(ISNUMBER($K80),IF(INDEX('Реестр'!$B$4:$B$103,$K80)="","",INDEX('Реестр'!$B$4:$B$103,$K80)),IF(ROW()=$K$3+5,"ИТОГО",IF(ROW()=$K$3+6,"ПОДРЯДЧИК",IF(ROW()=$K$3+7,"Должн./ФИО:",IF(ROW()=$K$3+8,"Подпись:","")))))</f>
      </c>
      <c r="C80" s="23">
        <f>IF(ISNUMBER($K80),IF(INDEX('Реестр'!$C$4:$C$103,$K80)="","",INDEX('Реестр'!$C$4:$C$103,$K80)),IF(ROW()=$K$3+7,"________________",IF(ROW()=$K$3+8,"________________","")))</f>
      </c>
      <c r="D80" s="44">
        <f>IF(ISNUMBER($K80),IF(INDEX('Реестр'!$D$4:$D$103,$K80)="","",INDEX('Реестр'!$D$4:$D$103,$K80)),IF(ROW()=$K$3+8,"Дата:",""))</f>
      </c>
      <c r="E80" s="45">
        <f>IF(ISNUMBER($K80),IF(INDEX('Реестр'!$E$4:$E$103,$K80)="","",INDEX('Реестр'!$E$4:$E$103,$K80)),IF(ROW()=$K$3+8,"____________",""))</f>
      </c>
      <c r="F80" s="42">
        <f>IF(ISNUMBER($K80),IF(INDEX('Реестр'!$F$4:$F$103,$K80)="","",INDEX('Реестр'!$F$4:$F$103,$K80)),IF(ROW()=$K$3+5,'Реестр'!F104,""))</f>
      </c>
      <c r="G80" s="23">
        <f>IF(ISNUMBER($K80),IF(INDEX('Реестр'!$G$4:$G$103,$K80)="","",INDEX('Реестр'!$G$4:$G$103,$K80)),IF(ROW()=$K$3+6,"ЗАКАЗЧИК",IF(ROW()=$K$3+7,"Должн./ФИО:",IF(ROW()=$K$3+8,"Подпись:",""))))</f>
      </c>
      <c r="H80" s="46">
        <f>IF(ISNUMBER($K80),IF(INDEX('Реестр'!$H$4:$H$103,$K80)="","",INDEX('Реестр'!$H$4:$H$103,$K80)),IF(ROW()=$K$3+7,"________________",IF(ROW()=$K$3+8,"________________","")))</f>
      </c>
      <c r="I80" s="42">
        <f>IF(ISNUMBER($K80),IF(INDEX('Реестр'!$I$4:$I$103,$K80)="","",INDEX('Реестр'!$I$4:$I$103,$K80)),IF(ROW()=$K$3+5,'Реестр'!I104,IF(ROW()=$K$3+8,"Дата:","")))</f>
      </c>
      <c r="J80" s="23">
        <f>IF(ISNUMBER($K80),IF(INDEX('Реестр'!$J$4:$J$103,$K80)="","",INDEX('Реестр'!$J$4:$J$103,$K80)),IF(ROW()=$K$3+8,"____________",""))</f>
      </c>
      <c r="K80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80)),"")</f>
      </c>
    </row>
    <row r="81" ht="24" customHeight="1">
      <c r="A81" s="17">
        <f>IF(ISNUMBER($K81),$K81,"")</f>
      </c>
      <c r="B81" s="22">
        <f>IF(ISNUMBER($K81),IF(INDEX('Реестр'!$B$4:$B$103,$K81)="","",INDEX('Реестр'!$B$4:$B$103,$K81)),IF(ROW()=$K$3+5,"ИТОГО",IF(ROW()=$K$3+6,"ПОДРЯДЧИК",IF(ROW()=$K$3+7,"Должн./ФИО:",IF(ROW()=$K$3+8,"Подпись:","")))))</f>
      </c>
      <c r="C81" s="22">
        <f>IF(ISNUMBER($K81),IF(INDEX('Реестр'!$C$4:$C$103,$K81)="","",INDEX('Реестр'!$C$4:$C$103,$K81)),IF(ROW()=$K$3+7,"________________",IF(ROW()=$K$3+8,"________________","")))</f>
      </c>
      <c r="D81" s="40">
        <f>IF(ISNUMBER($K81),IF(INDEX('Реестр'!$D$4:$D$103,$K81)="","",INDEX('Реестр'!$D$4:$D$103,$K81)),IF(ROW()=$K$3+8,"Дата:",""))</f>
      </c>
      <c r="E81" s="41">
        <f>IF(ISNUMBER($K81),IF(INDEX('Реестр'!$E$4:$E$103,$K81)="","",INDEX('Реестр'!$E$4:$E$103,$K81)),IF(ROW()=$K$3+8,"____________",""))</f>
      </c>
      <c r="F81" s="42">
        <f>IF(ISNUMBER($K81),IF(INDEX('Реестр'!$F$4:$F$103,$K81)="","",INDEX('Реестр'!$F$4:$F$103,$K81)),IF(ROW()=$K$3+5,'Реестр'!F104,""))</f>
      </c>
      <c r="G81" s="22">
        <f>IF(ISNUMBER($K81),IF(INDEX('Реестр'!$G$4:$G$103,$K81)="","",INDEX('Реестр'!$G$4:$G$103,$K81)),IF(ROW()=$K$3+6,"ЗАКАЗЧИК",IF(ROW()=$K$3+7,"Должн./ФИО:",IF(ROW()=$K$3+8,"Подпись:",""))))</f>
      </c>
      <c r="H81" s="43">
        <f>IF(ISNUMBER($K81),IF(INDEX('Реестр'!$H$4:$H$103,$K81)="","",INDEX('Реестр'!$H$4:$H$103,$K81)),IF(ROW()=$K$3+7,"________________",IF(ROW()=$K$3+8,"________________","")))</f>
      </c>
      <c r="I81" s="42">
        <f>IF(ISNUMBER($K81),IF(INDEX('Реестр'!$I$4:$I$103,$K81)="","",INDEX('Реестр'!$I$4:$I$103,$K81)),IF(ROW()=$K$3+5,'Реестр'!I104,IF(ROW()=$K$3+8,"Дата:","")))</f>
      </c>
      <c r="J81" s="22">
        <f>IF(ISNUMBER($K81),IF(INDEX('Реестр'!$J$4:$J$103,$K81)="","",INDEX('Реестр'!$J$4:$J$103,$K81)),IF(ROW()=$K$3+8,"____________",""))</f>
      </c>
      <c r="K81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81)),"")</f>
      </c>
    </row>
    <row r="82" ht="24" customHeight="1">
      <c r="A82" s="18">
        <f>IF(ISNUMBER($K82),$K82,"")</f>
      </c>
      <c r="B82" s="23">
        <f>IF(ISNUMBER($K82),IF(INDEX('Реестр'!$B$4:$B$103,$K82)="","",INDEX('Реестр'!$B$4:$B$103,$K82)),IF(ROW()=$K$3+5,"ИТОГО",IF(ROW()=$K$3+6,"ПОДРЯДЧИК",IF(ROW()=$K$3+7,"Должн./ФИО:",IF(ROW()=$K$3+8,"Подпись:","")))))</f>
      </c>
      <c r="C82" s="23">
        <f>IF(ISNUMBER($K82),IF(INDEX('Реестр'!$C$4:$C$103,$K82)="","",INDEX('Реестр'!$C$4:$C$103,$K82)),IF(ROW()=$K$3+7,"________________",IF(ROW()=$K$3+8,"________________","")))</f>
      </c>
      <c r="D82" s="44">
        <f>IF(ISNUMBER($K82),IF(INDEX('Реестр'!$D$4:$D$103,$K82)="","",INDEX('Реестр'!$D$4:$D$103,$K82)),IF(ROW()=$K$3+8,"Дата:",""))</f>
      </c>
      <c r="E82" s="45">
        <f>IF(ISNUMBER($K82),IF(INDEX('Реестр'!$E$4:$E$103,$K82)="","",INDEX('Реестр'!$E$4:$E$103,$K82)),IF(ROW()=$K$3+8,"____________",""))</f>
      </c>
      <c r="F82" s="42">
        <f>IF(ISNUMBER($K82),IF(INDEX('Реестр'!$F$4:$F$103,$K82)="","",INDEX('Реестр'!$F$4:$F$103,$K82)),IF(ROW()=$K$3+5,'Реестр'!F104,""))</f>
      </c>
      <c r="G82" s="23">
        <f>IF(ISNUMBER($K82),IF(INDEX('Реестр'!$G$4:$G$103,$K82)="","",INDEX('Реестр'!$G$4:$G$103,$K82)),IF(ROW()=$K$3+6,"ЗАКАЗЧИК",IF(ROW()=$K$3+7,"Должн./ФИО:",IF(ROW()=$K$3+8,"Подпись:",""))))</f>
      </c>
      <c r="H82" s="46">
        <f>IF(ISNUMBER($K82),IF(INDEX('Реестр'!$H$4:$H$103,$K82)="","",INDEX('Реестр'!$H$4:$H$103,$K82)),IF(ROW()=$K$3+7,"________________",IF(ROW()=$K$3+8,"________________","")))</f>
      </c>
      <c r="I82" s="42">
        <f>IF(ISNUMBER($K82),IF(INDEX('Реестр'!$I$4:$I$103,$K82)="","",INDEX('Реестр'!$I$4:$I$103,$K82)),IF(ROW()=$K$3+5,'Реестр'!I104,IF(ROW()=$K$3+8,"Дата:","")))</f>
      </c>
      <c r="J82" s="23">
        <f>IF(ISNUMBER($K82),IF(INDEX('Реестр'!$J$4:$J$103,$K82)="","",INDEX('Реестр'!$J$4:$J$103,$K82)),IF(ROW()=$K$3+8,"____________",""))</f>
      </c>
      <c r="K82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82)),"")</f>
      </c>
    </row>
    <row r="83" ht="24" customHeight="1">
      <c r="A83" s="17">
        <f>IF(ISNUMBER($K83),$K83,"")</f>
      </c>
      <c r="B83" s="22">
        <f>IF(ISNUMBER($K83),IF(INDEX('Реестр'!$B$4:$B$103,$K83)="","",INDEX('Реестр'!$B$4:$B$103,$K83)),IF(ROW()=$K$3+5,"ИТОГО",IF(ROW()=$K$3+6,"ПОДРЯДЧИК",IF(ROW()=$K$3+7,"Должн./ФИО:",IF(ROW()=$K$3+8,"Подпись:","")))))</f>
      </c>
      <c r="C83" s="22">
        <f>IF(ISNUMBER($K83),IF(INDEX('Реестр'!$C$4:$C$103,$K83)="","",INDEX('Реестр'!$C$4:$C$103,$K83)),IF(ROW()=$K$3+7,"________________",IF(ROW()=$K$3+8,"________________","")))</f>
      </c>
      <c r="D83" s="40">
        <f>IF(ISNUMBER($K83),IF(INDEX('Реестр'!$D$4:$D$103,$K83)="","",INDEX('Реестр'!$D$4:$D$103,$K83)),IF(ROW()=$K$3+8,"Дата:",""))</f>
      </c>
      <c r="E83" s="41">
        <f>IF(ISNUMBER($K83),IF(INDEX('Реестр'!$E$4:$E$103,$K83)="","",INDEX('Реестр'!$E$4:$E$103,$K83)),IF(ROW()=$K$3+8,"____________",""))</f>
      </c>
      <c r="F83" s="42">
        <f>IF(ISNUMBER($K83),IF(INDEX('Реестр'!$F$4:$F$103,$K83)="","",INDEX('Реестр'!$F$4:$F$103,$K83)),IF(ROW()=$K$3+5,'Реестр'!F104,""))</f>
      </c>
      <c r="G83" s="22">
        <f>IF(ISNUMBER($K83),IF(INDEX('Реестр'!$G$4:$G$103,$K83)="","",INDEX('Реестр'!$G$4:$G$103,$K83)),IF(ROW()=$K$3+6,"ЗАКАЗЧИК",IF(ROW()=$K$3+7,"Должн./ФИО:",IF(ROW()=$K$3+8,"Подпись:",""))))</f>
      </c>
      <c r="H83" s="43">
        <f>IF(ISNUMBER($K83),IF(INDEX('Реестр'!$H$4:$H$103,$K83)="","",INDEX('Реестр'!$H$4:$H$103,$K83)),IF(ROW()=$K$3+7,"________________",IF(ROW()=$K$3+8,"________________","")))</f>
      </c>
      <c r="I83" s="42">
        <f>IF(ISNUMBER($K83),IF(INDEX('Реестр'!$I$4:$I$103,$K83)="","",INDEX('Реестр'!$I$4:$I$103,$K83)),IF(ROW()=$K$3+5,'Реестр'!I104,IF(ROW()=$K$3+8,"Дата:","")))</f>
      </c>
      <c r="J83" s="22">
        <f>IF(ISNUMBER($K83),IF(INDEX('Реестр'!$J$4:$J$103,$K83)="","",INDEX('Реестр'!$J$4:$J$103,$K83)),IF(ROW()=$K$3+8,"____________",""))</f>
      </c>
      <c r="K83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83)),"")</f>
      </c>
    </row>
    <row r="84" ht="24" customHeight="1">
      <c r="A84" s="18">
        <f>IF(ISNUMBER($K84),$K84,"")</f>
      </c>
      <c r="B84" s="23">
        <f>IF(ISNUMBER($K84),IF(INDEX('Реестр'!$B$4:$B$103,$K84)="","",INDEX('Реестр'!$B$4:$B$103,$K84)),IF(ROW()=$K$3+5,"ИТОГО",IF(ROW()=$K$3+6,"ПОДРЯДЧИК",IF(ROW()=$K$3+7,"Должн./ФИО:",IF(ROW()=$K$3+8,"Подпись:","")))))</f>
      </c>
      <c r="C84" s="23">
        <f>IF(ISNUMBER($K84),IF(INDEX('Реестр'!$C$4:$C$103,$K84)="","",INDEX('Реестр'!$C$4:$C$103,$K84)),IF(ROW()=$K$3+7,"________________",IF(ROW()=$K$3+8,"________________","")))</f>
      </c>
      <c r="D84" s="44">
        <f>IF(ISNUMBER($K84),IF(INDEX('Реестр'!$D$4:$D$103,$K84)="","",INDEX('Реестр'!$D$4:$D$103,$K84)),IF(ROW()=$K$3+8,"Дата:",""))</f>
      </c>
      <c r="E84" s="45">
        <f>IF(ISNUMBER($K84),IF(INDEX('Реестр'!$E$4:$E$103,$K84)="","",INDEX('Реестр'!$E$4:$E$103,$K84)),IF(ROW()=$K$3+8,"____________",""))</f>
      </c>
      <c r="F84" s="42">
        <f>IF(ISNUMBER($K84),IF(INDEX('Реестр'!$F$4:$F$103,$K84)="","",INDEX('Реестр'!$F$4:$F$103,$K84)),IF(ROW()=$K$3+5,'Реестр'!F104,""))</f>
      </c>
      <c r="G84" s="23">
        <f>IF(ISNUMBER($K84),IF(INDEX('Реестр'!$G$4:$G$103,$K84)="","",INDEX('Реестр'!$G$4:$G$103,$K84)),IF(ROW()=$K$3+6,"ЗАКАЗЧИК",IF(ROW()=$K$3+7,"Должн./ФИО:",IF(ROW()=$K$3+8,"Подпись:",""))))</f>
      </c>
      <c r="H84" s="46">
        <f>IF(ISNUMBER($K84),IF(INDEX('Реестр'!$H$4:$H$103,$K84)="","",INDEX('Реестр'!$H$4:$H$103,$K84)),IF(ROW()=$K$3+7,"________________",IF(ROW()=$K$3+8,"________________","")))</f>
      </c>
      <c r="I84" s="42">
        <f>IF(ISNUMBER($K84),IF(INDEX('Реестр'!$I$4:$I$103,$K84)="","",INDEX('Реестр'!$I$4:$I$103,$K84)),IF(ROW()=$K$3+5,'Реестр'!I104,IF(ROW()=$K$3+8,"Дата:","")))</f>
      </c>
      <c r="J84" s="23">
        <f>IF(ISNUMBER($K84),IF(INDEX('Реестр'!$J$4:$J$103,$K84)="","",INDEX('Реестр'!$J$4:$J$103,$K84)),IF(ROW()=$K$3+8,"____________",""))</f>
      </c>
      <c r="K84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84)),"")</f>
      </c>
    </row>
    <row r="85" ht="24" customHeight="1">
      <c r="A85" s="17">
        <f>IF(ISNUMBER($K85),$K85,"")</f>
      </c>
      <c r="B85" s="22">
        <f>IF(ISNUMBER($K85),IF(INDEX('Реестр'!$B$4:$B$103,$K85)="","",INDEX('Реестр'!$B$4:$B$103,$K85)),IF(ROW()=$K$3+5,"ИТОГО",IF(ROW()=$K$3+6,"ПОДРЯДЧИК",IF(ROW()=$K$3+7,"Должн./ФИО:",IF(ROW()=$K$3+8,"Подпись:","")))))</f>
      </c>
      <c r="C85" s="22">
        <f>IF(ISNUMBER($K85),IF(INDEX('Реестр'!$C$4:$C$103,$K85)="","",INDEX('Реестр'!$C$4:$C$103,$K85)),IF(ROW()=$K$3+7,"________________",IF(ROW()=$K$3+8,"________________","")))</f>
      </c>
      <c r="D85" s="40">
        <f>IF(ISNUMBER($K85),IF(INDEX('Реестр'!$D$4:$D$103,$K85)="","",INDEX('Реестр'!$D$4:$D$103,$K85)),IF(ROW()=$K$3+8,"Дата:",""))</f>
      </c>
      <c r="E85" s="41">
        <f>IF(ISNUMBER($K85),IF(INDEX('Реестр'!$E$4:$E$103,$K85)="","",INDEX('Реестр'!$E$4:$E$103,$K85)),IF(ROW()=$K$3+8,"____________",""))</f>
      </c>
      <c r="F85" s="42">
        <f>IF(ISNUMBER($K85),IF(INDEX('Реестр'!$F$4:$F$103,$K85)="","",INDEX('Реестр'!$F$4:$F$103,$K85)),IF(ROW()=$K$3+5,'Реестр'!F104,""))</f>
      </c>
      <c r="G85" s="22">
        <f>IF(ISNUMBER($K85),IF(INDEX('Реестр'!$G$4:$G$103,$K85)="","",INDEX('Реестр'!$G$4:$G$103,$K85)),IF(ROW()=$K$3+6,"ЗАКАЗЧИК",IF(ROW()=$K$3+7,"Должн./ФИО:",IF(ROW()=$K$3+8,"Подпись:",""))))</f>
      </c>
      <c r="H85" s="43">
        <f>IF(ISNUMBER($K85),IF(INDEX('Реестр'!$H$4:$H$103,$K85)="","",INDEX('Реестр'!$H$4:$H$103,$K85)),IF(ROW()=$K$3+7,"________________",IF(ROW()=$K$3+8,"________________","")))</f>
      </c>
      <c r="I85" s="42">
        <f>IF(ISNUMBER($K85),IF(INDEX('Реестр'!$I$4:$I$103,$K85)="","",INDEX('Реестр'!$I$4:$I$103,$K85)),IF(ROW()=$K$3+5,'Реестр'!I104,IF(ROW()=$K$3+8,"Дата:","")))</f>
      </c>
      <c r="J85" s="22">
        <f>IF(ISNUMBER($K85),IF(INDEX('Реестр'!$J$4:$J$103,$K85)="","",INDEX('Реестр'!$J$4:$J$103,$K85)),IF(ROW()=$K$3+8,"____________",""))</f>
      </c>
      <c r="K85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85)),"")</f>
      </c>
    </row>
    <row r="86" ht="24" customHeight="1">
      <c r="A86" s="18">
        <f>IF(ISNUMBER($K86),$K86,"")</f>
      </c>
      <c r="B86" s="23">
        <f>IF(ISNUMBER($K86),IF(INDEX('Реестр'!$B$4:$B$103,$K86)="","",INDEX('Реестр'!$B$4:$B$103,$K86)),IF(ROW()=$K$3+5,"ИТОГО",IF(ROW()=$K$3+6,"ПОДРЯДЧИК",IF(ROW()=$K$3+7,"Должн./ФИО:",IF(ROW()=$K$3+8,"Подпись:","")))))</f>
      </c>
      <c r="C86" s="23">
        <f>IF(ISNUMBER($K86),IF(INDEX('Реестр'!$C$4:$C$103,$K86)="","",INDEX('Реестр'!$C$4:$C$103,$K86)),IF(ROW()=$K$3+7,"________________",IF(ROW()=$K$3+8,"________________","")))</f>
      </c>
      <c r="D86" s="44">
        <f>IF(ISNUMBER($K86),IF(INDEX('Реестр'!$D$4:$D$103,$K86)="","",INDEX('Реестр'!$D$4:$D$103,$K86)),IF(ROW()=$K$3+8,"Дата:",""))</f>
      </c>
      <c r="E86" s="45">
        <f>IF(ISNUMBER($K86),IF(INDEX('Реестр'!$E$4:$E$103,$K86)="","",INDEX('Реестр'!$E$4:$E$103,$K86)),IF(ROW()=$K$3+8,"____________",""))</f>
      </c>
      <c r="F86" s="42">
        <f>IF(ISNUMBER($K86),IF(INDEX('Реестр'!$F$4:$F$103,$K86)="","",INDEX('Реестр'!$F$4:$F$103,$K86)),IF(ROW()=$K$3+5,'Реестр'!F104,""))</f>
      </c>
      <c r="G86" s="23">
        <f>IF(ISNUMBER($K86),IF(INDEX('Реестр'!$G$4:$G$103,$K86)="","",INDEX('Реестр'!$G$4:$G$103,$K86)),IF(ROW()=$K$3+6,"ЗАКАЗЧИК",IF(ROW()=$K$3+7,"Должн./ФИО:",IF(ROW()=$K$3+8,"Подпись:",""))))</f>
      </c>
      <c r="H86" s="46">
        <f>IF(ISNUMBER($K86),IF(INDEX('Реестр'!$H$4:$H$103,$K86)="","",INDEX('Реестр'!$H$4:$H$103,$K86)),IF(ROW()=$K$3+7,"________________",IF(ROW()=$K$3+8,"________________","")))</f>
      </c>
      <c r="I86" s="42">
        <f>IF(ISNUMBER($K86),IF(INDEX('Реестр'!$I$4:$I$103,$K86)="","",INDEX('Реестр'!$I$4:$I$103,$K86)),IF(ROW()=$K$3+5,'Реестр'!I104,IF(ROW()=$K$3+8,"Дата:","")))</f>
      </c>
      <c r="J86" s="23">
        <f>IF(ISNUMBER($K86),IF(INDEX('Реестр'!$J$4:$J$103,$K86)="","",INDEX('Реестр'!$J$4:$J$103,$K86)),IF(ROW()=$K$3+8,"____________",""))</f>
      </c>
      <c r="K86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86)),"")</f>
      </c>
    </row>
    <row r="87" ht="24" customHeight="1">
      <c r="A87" s="17">
        <f>IF(ISNUMBER($K87),$K87,"")</f>
      </c>
      <c r="B87" s="22">
        <f>IF(ISNUMBER($K87),IF(INDEX('Реестр'!$B$4:$B$103,$K87)="","",INDEX('Реестр'!$B$4:$B$103,$K87)),IF(ROW()=$K$3+5,"ИТОГО",IF(ROW()=$K$3+6,"ПОДРЯДЧИК",IF(ROW()=$K$3+7,"Должн./ФИО:",IF(ROW()=$K$3+8,"Подпись:","")))))</f>
      </c>
      <c r="C87" s="22">
        <f>IF(ISNUMBER($K87),IF(INDEX('Реестр'!$C$4:$C$103,$K87)="","",INDEX('Реестр'!$C$4:$C$103,$K87)),IF(ROW()=$K$3+7,"________________",IF(ROW()=$K$3+8,"________________","")))</f>
      </c>
      <c r="D87" s="40">
        <f>IF(ISNUMBER($K87),IF(INDEX('Реестр'!$D$4:$D$103,$K87)="","",INDEX('Реестр'!$D$4:$D$103,$K87)),IF(ROW()=$K$3+8,"Дата:",""))</f>
      </c>
      <c r="E87" s="41">
        <f>IF(ISNUMBER($K87),IF(INDEX('Реестр'!$E$4:$E$103,$K87)="","",INDEX('Реестр'!$E$4:$E$103,$K87)),IF(ROW()=$K$3+8,"____________",""))</f>
      </c>
      <c r="F87" s="42">
        <f>IF(ISNUMBER($K87),IF(INDEX('Реестр'!$F$4:$F$103,$K87)="","",INDEX('Реестр'!$F$4:$F$103,$K87)),IF(ROW()=$K$3+5,'Реестр'!F104,""))</f>
      </c>
      <c r="G87" s="22">
        <f>IF(ISNUMBER($K87),IF(INDEX('Реестр'!$G$4:$G$103,$K87)="","",INDEX('Реестр'!$G$4:$G$103,$K87)),IF(ROW()=$K$3+6,"ЗАКАЗЧИК",IF(ROW()=$K$3+7,"Должн./ФИО:",IF(ROW()=$K$3+8,"Подпись:",""))))</f>
      </c>
      <c r="H87" s="43">
        <f>IF(ISNUMBER($K87),IF(INDEX('Реестр'!$H$4:$H$103,$K87)="","",INDEX('Реестр'!$H$4:$H$103,$K87)),IF(ROW()=$K$3+7,"________________",IF(ROW()=$K$3+8,"________________","")))</f>
      </c>
      <c r="I87" s="42">
        <f>IF(ISNUMBER($K87),IF(INDEX('Реестр'!$I$4:$I$103,$K87)="","",INDEX('Реестр'!$I$4:$I$103,$K87)),IF(ROW()=$K$3+5,'Реестр'!I104,IF(ROW()=$K$3+8,"Дата:","")))</f>
      </c>
      <c r="J87" s="22">
        <f>IF(ISNUMBER($K87),IF(INDEX('Реестр'!$J$4:$J$103,$K87)="","",INDEX('Реестр'!$J$4:$J$103,$K87)),IF(ROW()=$K$3+8,"____________",""))</f>
      </c>
      <c r="K87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87)),"")</f>
      </c>
    </row>
    <row r="88" ht="24" customHeight="1">
      <c r="A88" s="18">
        <f>IF(ISNUMBER($K88),$K88,"")</f>
      </c>
      <c r="B88" s="23">
        <f>IF(ISNUMBER($K88),IF(INDEX('Реестр'!$B$4:$B$103,$K88)="","",INDEX('Реестр'!$B$4:$B$103,$K88)),IF(ROW()=$K$3+5,"ИТОГО",IF(ROW()=$K$3+6,"ПОДРЯДЧИК",IF(ROW()=$K$3+7,"Должн./ФИО:",IF(ROW()=$K$3+8,"Подпись:","")))))</f>
      </c>
      <c r="C88" s="23">
        <f>IF(ISNUMBER($K88),IF(INDEX('Реестр'!$C$4:$C$103,$K88)="","",INDEX('Реестр'!$C$4:$C$103,$K88)),IF(ROW()=$K$3+7,"________________",IF(ROW()=$K$3+8,"________________","")))</f>
      </c>
      <c r="D88" s="44">
        <f>IF(ISNUMBER($K88),IF(INDEX('Реестр'!$D$4:$D$103,$K88)="","",INDEX('Реестр'!$D$4:$D$103,$K88)),IF(ROW()=$K$3+8,"Дата:",""))</f>
      </c>
      <c r="E88" s="45">
        <f>IF(ISNUMBER($K88),IF(INDEX('Реестр'!$E$4:$E$103,$K88)="","",INDEX('Реестр'!$E$4:$E$103,$K88)),IF(ROW()=$K$3+8,"____________",""))</f>
      </c>
      <c r="F88" s="42">
        <f>IF(ISNUMBER($K88),IF(INDEX('Реестр'!$F$4:$F$103,$K88)="","",INDEX('Реестр'!$F$4:$F$103,$K88)),IF(ROW()=$K$3+5,'Реестр'!F104,""))</f>
      </c>
      <c r="G88" s="23">
        <f>IF(ISNUMBER($K88),IF(INDEX('Реестр'!$G$4:$G$103,$K88)="","",INDEX('Реестр'!$G$4:$G$103,$K88)),IF(ROW()=$K$3+6,"ЗАКАЗЧИК",IF(ROW()=$K$3+7,"Должн./ФИО:",IF(ROW()=$K$3+8,"Подпись:",""))))</f>
      </c>
      <c r="H88" s="46">
        <f>IF(ISNUMBER($K88),IF(INDEX('Реестр'!$H$4:$H$103,$K88)="","",INDEX('Реестр'!$H$4:$H$103,$K88)),IF(ROW()=$K$3+7,"________________",IF(ROW()=$K$3+8,"________________","")))</f>
      </c>
      <c r="I88" s="42">
        <f>IF(ISNUMBER($K88),IF(INDEX('Реестр'!$I$4:$I$103,$K88)="","",INDEX('Реестр'!$I$4:$I$103,$K88)),IF(ROW()=$K$3+5,'Реестр'!I104,IF(ROW()=$K$3+8,"Дата:","")))</f>
      </c>
      <c r="J88" s="23">
        <f>IF(ISNUMBER($K88),IF(INDEX('Реестр'!$J$4:$J$103,$K88)="","",INDEX('Реестр'!$J$4:$J$103,$K88)),IF(ROW()=$K$3+8,"____________",""))</f>
      </c>
      <c r="K88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88)),"")</f>
      </c>
    </row>
    <row r="89" ht="24" customHeight="1">
      <c r="A89" s="17">
        <f>IF(ISNUMBER($K89),$K89,"")</f>
      </c>
      <c r="B89" s="22">
        <f>IF(ISNUMBER($K89),IF(INDEX('Реестр'!$B$4:$B$103,$K89)="","",INDEX('Реестр'!$B$4:$B$103,$K89)),IF(ROW()=$K$3+5,"ИТОГО",IF(ROW()=$K$3+6,"ПОДРЯДЧИК",IF(ROW()=$K$3+7,"Должн./ФИО:",IF(ROW()=$K$3+8,"Подпись:","")))))</f>
      </c>
      <c r="C89" s="22">
        <f>IF(ISNUMBER($K89),IF(INDEX('Реестр'!$C$4:$C$103,$K89)="","",INDEX('Реестр'!$C$4:$C$103,$K89)),IF(ROW()=$K$3+7,"________________",IF(ROW()=$K$3+8,"________________","")))</f>
      </c>
      <c r="D89" s="40">
        <f>IF(ISNUMBER($K89),IF(INDEX('Реестр'!$D$4:$D$103,$K89)="","",INDEX('Реестр'!$D$4:$D$103,$K89)),IF(ROW()=$K$3+8,"Дата:",""))</f>
      </c>
      <c r="E89" s="41">
        <f>IF(ISNUMBER($K89),IF(INDEX('Реестр'!$E$4:$E$103,$K89)="","",INDEX('Реестр'!$E$4:$E$103,$K89)),IF(ROW()=$K$3+8,"____________",""))</f>
      </c>
      <c r="F89" s="42">
        <f>IF(ISNUMBER($K89),IF(INDEX('Реестр'!$F$4:$F$103,$K89)="","",INDEX('Реестр'!$F$4:$F$103,$K89)),IF(ROW()=$K$3+5,'Реестр'!F104,""))</f>
      </c>
      <c r="G89" s="22">
        <f>IF(ISNUMBER($K89),IF(INDEX('Реестр'!$G$4:$G$103,$K89)="","",INDEX('Реестр'!$G$4:$G$103,$K89)),IF(ROW()=$K$3+6,"ЗАКАЗЧИК",IF(ROW()=$K$3+7,"Должн./ФИО:",IF(ROW()=$K$3+8,"Подпись:",""))))</f>
      </c>
      <c r="H89" s="43">
        <f>IF(ISNUMBER($K89),IF(INDEX('Реестр'!$H$4:$H$103,$K89)="","",INDEX('Реестр'!$H$4:$H$103,$K89)),IF(ROW()=$K$3+7,"________________",IF(ROW()=$K$3+8,"________________","")))</f>
      </c>
      <c r="I89" s="42">
        <f>IF(ISNUMBER($K89),IF(INDEX('Реестр'!$I$4:$I$103,$K89)="","",INDEX('Реестр'!$I$4:$I$103,$K89)),IF(ROW()=$K$3+5,'Реестр'!I104,IF(ROW()=$K$3+8,"Дата:","")))</f>
      </c>
      <c r="J89" s="22">
        <f>IF(ISNUMBER($K89),IF(INDEX('Реестр'!$J$4:$J$103,$K89)="","",INDEX('Реестр'!$J$4:$J$103,$K89)),IF(ROW()=$K$3+8,"____________",""))</f>
      </c>
      <c r="K89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89)),"")</f>
      </c>
    </row>
    <row r="90" ht="24" customHeight="1">
      <c r="A90" s="18">
        <f>IF(ISNUMBER($K90),$K90,"")</f>
      </c>
      <c r="B90" s="23">
        <f>IF(ISNUMBER($K90),IF(INDEX('Реестр'!$B$4:$B$103,$K90)="","",INDEX('Реестр'!$B$4:$B$103,$K90)),IF(ROW()=$K$3+5,"ИТОГО",IF(ROW()=$K$3+6,"ПОДРЯДЧИК",IF(ROW()=$K$3+7,"Должн./ФИО:",IF(ROW()=$K$3+8,"Подпись:","")))))</f>
      </c>
      <c r="C90" s="23">
        <f>IF(ISNUMBER($K90),IF(INDEX('Реестр'!$C$4:$C$103,$K90)="","",INDEX('Реестр'!$C$4:$C$103,$K90)),IF(ROW()=$K$3+7,"________________",IF(ROW()=$K$3+8,"________________","")))</f>
      </c>
      <c r="D90" s="44">
        <f>IF(ISNUMBER($K90),IF(INDEX('Реестр'!$D$4:$D$103,$K90)="","",INDEX('Реестр'!$D$4:$D$103,$K90)),IF(ROW()=$K$3+8,"Дата:",""))</f>
      </c>
      <c r="E90" s="45">
        <f>IF(ISNUMBER($K90),IF(INDEX('Реестр'!$E$4:$E$103,$K90)="","",INDEX('Реестр'!$E$4:$E$103,$K90)),IF(ROW()=$K$3+8,"____________",""))</f>
      </c>
      <c r="F90" s="42">
        <f>IF(ISNUMBER($K90),IF(INDEX('Реестр'!$F$4:$F$103,$K90)="","",INDEX('Реестр'!$F$4:$F$103,$K90)),IF(ROW()=$K$3+5,'Реестр'!F104,""))</f>
      </c>
      <c r="G90" s="23">
        <f>IF(ISNUMBER($K90),IF(INDEX('Реестр'!$G$4:$G$103,$K90)="","",INDEX('Реестр'!$G$4:$G$103,$K90)),IF(ROW()=$K$3+6,"ЗАКАЗЧИК",IF(ROW()=$K$3+7,"Должн./ФИО:",IF(ROW()=$K$3+8,"Подпись:",""))))</f>
      </c>
      <c r="H90" s="46">
        <f>IF(ISNUMBER($K90),IF(INDEX('Реестр'!$H$4:$H$103,$K90)="","",INDEX('Реестр'!$H$4:$H$103,$K90)),IF(ROW()=$K$3+7,"________________",IF(ROW()=$K$3+8,"________________","")))</f>
      </c>
      <c r="I90" s="42">
        <f>IF(ISNUMBER($K90),IF(INDEX('Реестр'!$I$4:$I$103,$K90)="","",INDEX('Реестр'!$I$4:$I$103,$K90)),IF(ROW()=$K$3+5,'Реестр'!I104,IF(ROW()=$K$3+8,"Дата:","")))</f>
      </c>
      <c r="J90" s="23">
        <f>IF(ISNUMBER($K90),IF(INDEX('Реестр'!$J$4:$J$103,$K90)="","",INDEX('Реестр'!$J$4:$J$103,$K90)),IF(ROW()=$K$3+8,"____________",""))</f>
      </c>
      <c r="K90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90)),"")</f>
      </c>
    </row>
    <row r="91" ht="24" customHeight="1">
      <c r="A91" s="17">
        <f>IF(ISNUMBER($K91),$K91,"")</f>
      </c>
      <c r="B91" s="22">
        <f>IF(ISNUMBER($K91),IF(INDEX('Реестр'!$B$4:$B$103,$K91)="","",INDEX('Реестр'!$B$4:$B$103,$K91)),IF(ROW()=$K$3+5,"ИТОГО",IF(ROW()=$K$3+6,"ПОДРЯДЧИК",IF(ROW()=$K$3+7,"Должн./ФИО:",IF(ROW()=$K$3+8,"Подпись:","")))))</f>
      </c>
      <c r="C91" s="22">
        <f>IF(ISNUMBER($K91),IF(INDEX('Реестр'!$C$4:$C$103,$K91)="","",INDEX('Реестр'!$C$4:$C$103,$K91)),IF(ROW()=$K$3+7,"________________",IF(ROW()=$K$3+8,"________________","")))</f>
      </c>
      <c r="D91" s="40">
        <f>IF(ISNUMBER($K91),IF(INDEX('Реестр'!$D$4:$D$103,$K91)="","",INDEX('Реестр'!$D$4:$D$103,$K91)),IF(ROW()=$K$3+8,"Дата:",""))</f>
      </c>
      <c r="E91" s="41">
        <f>IF(ISNUMBER($K91),IF(INDEX('Реестр'!$E$4:$E$103,$K91)="","",INDEX('Реестр'!$E$4:$E$103,$K91)),IF(ROW()=$K$3+8,"____________",""))</f>
      </c>
      <c r="F91" s="42">
        <f>IF(ISNUMBER($K91),IF(INDEX('Реестр'!$F$4:$F$103,$K91)="","",INDEX('Реестр'!$F$4:$F$103,$K91)),IF(ROW()=$K$3+5,'Реестр'!F104,""))</f>
      </c>
      <c r="G91" s="22">
        <f>IF(ISNUMBER($K91),IF(INDEX('Реестр'!$G$4:$G$103,$K91)="","",INDEX('Реестр'!$G$4:$G$103,$K91)),IF(ROW()=$K$3+6,"ЗАКАЗЧИК",IF(ROW()=$K$3+7,"Должн./ФИО:",IF(ROW()=$K$3+8,"Подпись:",""))))</f>
      </c>
      <c r="H91" s="43">
        <f>IF(ISNUMBER($K91),IF(INDEX('Реестр'!$H$4:$H$103,$K91)="","",INDEX('Реестр'!$H$4:$H$103,$K91)),IF(ROW()=$K$3+7,"________________",IF(ROW()=$K$3+8,"________________","")))</f>
      </c>
      <c r="I91" s="42">
        <f>IF(ISNUMBER($K91),IF(INDEX('Реестр'!$I$4:$I$103,$K91)="","",INDEX('Реестр'!$I$4:$I$103,$K91)),IF(ROW()=$K$3+5,'Реестр'!I104,IF(ROW()=$K$3+8,"Дата:","")))</f>
      </c>
      <c r="J91" s="22">
        <f>IF(ISNUMBER($K91),IF(INDEX('Реестр'!$J$4:$J$103,$K91)="","",INDEX('Реестр'!$J$4:$J$103,$K91)),IF(ROW()=$K$3+8,"____________",""))</f>
      </c>
      <c r="K91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91)),"")</f>
      </c>
    </row>
    <row r="92" ht="24" customHeight="1">
      <c r="A92" s="18">
        <f>IF(ISNUMBER($K92),$K92,"")</f>
      </c>
      <c r="B92" s="23">
        <f>IF(ISNUMBER($K92),IF(INDEX('Реестр'!$B$4:$B$103,$K92)="","",INDEX('Реестр'!$B$4:$B$103,$K92)),IF(ROW()=$K$3+5,"ИТОГО",IF(ROW()=$K$3+6,"ПОДРЯДЧИК",IF(ROW()=$K$3+7,"Должн./ФИО:",IF(ROW()=$K$3+8,"Подпись:","")))))</f>
      </c>
      <c r="C92" s="23">
        <f>IF(ISNUMBER($K92),IF(INDEX('Реестр'!$C$4:$C$103,$K92)="","",INDEX('Реестр'!$C$4:$C$103,$K92)),IF(ROW()=$K$3+7,"________________",IF(ROW()=$K$3+8,"________________","")))</f>
      </c>
      <c r="D92" s="44">
        <f>IF(ISNUMBER($K92),IF(INDEX('Реестр'!$D$4:$D$103,$K92)="","",INDEX('Реестр'!$D$4:$D$103,$K92)),IF(ROW()=$K$3+8,"Дата:",""))</f>
      </c>
      <c r="E92" s="45">
        <f>IF(ISNUMBER($K92),IF(INDEX('Реестр'!$E$4:$E$103,$K92)="","",INDEX('Реестр'!$E$4:$E$103,$K92)),IF(ROW()=$K$3+8,"____________",""))</f>
      </c>
      <c r="F92" s="42">
        <f>IF(ISNUMBER($K92),IF(INDEX('Реестр'!$F$4:$F$103,$K92)="","",INDEX('Реестр'!$F$4:$F$103,$K92)),IF(ROW()=$K$3+5,'Реестр'!F104,""))</f>
      </c>
      <c r="G92" s="23">
        <f>IF(ISNUMBER($K92),IF(INDEX('Реестр'!$G$4:$G$103,$K92)="","",INDEX('Реестр'!$G$4:$G$103,$K92)),IF(ROW()=$K$3+6,"ЗАКАЗЧИК",IF(ROW()=$K$3+7,"Должн./ФИО:",IF(ROW()=$K$3+8,"Подпись:",""))))</f>
      </c>
      <c r="H92" s="46">
        <f>IF(ISNUMBER($K92),IF(INDEX('Реестр'!$H$4:$H$103,$K92)="","",INDEX('Реестр'!$H$4:$H$103,$K92)),IF(ROW()=$K$3+7,"________________",IF(ROW()=$K$3+8,"________________","")))</f>
      </c>
      <c r="I92" s="42">
        <f>IF(ISNUMBER($K92),IF(INDEX('Реестр'!$I$4:$I$103,$K92)="","",INDEX('Реестр'!$I$4:$I$103,$K92)),IF(ROW()=$K$3+5,'Реестр'!I104,IF(ROW()=$K$3+8,"Дата:","")))</f>
      </c>
      <c r="J92" s="23">
        <f>IF(ISNUMBER($K92),IF(INDEX('Реестр'!$J$4:$J$103,$K92)="","",INDEX('Реестр'!$J$4:$J$103,$K92)),IF(ROW()=$K$3+8,"____________",""))</f>
      </c>
      <c r="K92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92)),"")</f>
      </c>
    </row>
    <row r="93" ht="24" customHeight="1">
      <c r="A93" s="17">
        <f>IF(ISNUMBER($K93),$K93,"")</f>
      </c>
      <c r="B93" s="22">
        <f>IF(ISNUMBER($K93),IF(INDEX('Реестр'!$B$4:$B$103,$K93)="","",INDEX('Реестр'!$B$4:$B$103,$K93)),IF(ROW()=$K$3+5,"ИТОГО",IF(ROW()=$K$3+6,"ПОДРЯДЧИК",IF(ROW()=$K$3+7,"Должн./ФИО:",IF(ROW()=$K$3+8,"Подпись:","")))))</f>
      </c>
      <c r="C93" s="22">
        <f>IF(ISNUMBER($K93),IF(INDEX('Реестр'!$C$4:$C$103,$K93)="","",INDEX('Реестр'!$C$4:$C$103,$K93)),IF(ROW()=$K$3+7,"________________",IF(ROW()=$K$3+8,"________________","")))</f>
      </c>
      <c r="D93" s="40">
        <f>IF(ISNUMBER($K93),IF(INDEX('Реестр'!$D$4:$D$103,$K93)="","",INDEX('Реестр'!$D$4:$D$103,$K93)),IF(ROW()=$K$3+8,"Дата:",""))</f>
      </c>
      <c r="E93" s="41">
        <f>IF(ISNUMBER($K93),IF(INDEX('Реестр'!$E$4:$E$103,$K93)="","",INDEX('Реестр'!$E$4:$E$103,$K93)),IF(ROW()=$K$3+8,"____________",""))</f>
      </c>
      <c r="F93" s="42">
        <f>IF(ISNUMBER($K93),IF(INDEX('Реестр'!$F$4:$F$103,$K93)="","",INDEX('Реестр'!$F$4:$F$103,$K93)),IF(ROW()=$K$3+5,'Реестр'!F104,""))</f>
      </c>
      <c r="G93" s="22">
        <f>IF(ISNUMBER($K93),IF(INDEX('Реестр'!$G$4:$G$103,$K93)="","",INDEX('Реестр'!$G$4:$G$103,$K93)),IF(ROW()=$K$3+6,"ЗАКАЗЧИК",IF(ROW()=$K$3+7,"Должн./ФИО:",IF(ROW()=$K$3+8,"Подпись:",""))))</f>
      </c>
      <c r="H93" s="43">
        <f>IF(ISNUMBER($K93),IF(INDEX('Реестр'!$H$4:$H$103,$K93)="","",INDEX('Реестр'!$H$4:$H$103,$K93)),IF(ROW()=$K$3+7,"________________",IF(ROW()=$K$3+8,"________________","")))</f>
      </c>
      <c r="I93" s="42">
        <f>IF(ISNUMBER($K93),IF(INDEX('Реестр'!$I$4:$I$103,$K93)="","",INDEX('Реестр'!$I$4:$I$103,$K93)),IF(ROW()=$K$3+5,'Реестр'!I104,IF(ROW()=$K$3+8,"Дата:","")))</f>
      </c>
      <c r="J93" s="22">
        <f>IF(ISNUMBER($K93),IF(INDEX('Реестр'!$J$4:$J$103,$K93)="","",INDEX('Реестр'!$J$4:$J$103,$K93)),IF(ROW()=$K$3+8,"____________",""))</f>
      </c>
      <c r="K93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93)),"")</f>
      </c>
    </row>
    <row r="94" ht="24" customHeight="1">
      <c r="A94" s="18">
        <f>IF(ISNUMBER($K94),$K94,"")</f>
      </c>
      <c r="B94" s="23">
        <f>IF(ISNUMBER($K94),IF(INDEX('Реестр'!$B$4:$B$103,$K94)="","",INDEX('Реестр'!$B$4:$B$103,$K94)),IF(ROW()=$K$3+5,"ИТОГО",IF(ROW()=$K$3+6,"ПОДРЯДЧИК",IF(ROW()=$K$3+7,"Должн./ФИО:",IF(ROW()=$K$3+8,"Подпись:","")))))</f>
      </c>
      <c r="C94" s="23">
        <f>IF(ISNUMBER($K94),IF(INDEX('Реестр'!$C$4:$C$103,$K94)="","",INDEX('Реестр'!$C$4:$C$103,$K94)),IF(ROW()=$K$3+7,"________________",IF(ROW()=$K$3+8,"________________","")))</f>
      </c>
      <c r="D94" s="44">
        <f>IF(ISNUMBER($K94),IF(INDEX('Реестр'!$D$4:$D$103,$K94)="","",INDEX('Реестр'!$D$4:$D$103,$K94)),IF(ROW()=$K$3+8,"Дата:",""))</f>
      </c>
      <c r="E94" s="45">
        <f>IF(ISNUMBER($K94),IF(INDEX('Реестр'!$E$4:$E$103,$K94)="","",INDEX('Реестр'!$E$4:$E$103,$K94)),IF(ROW()=$K$3+8,"____________",""))</f>
      </c>
      <c r="F94" s="42">
        <f>IF(ISNUMBER($K94),IF(INDEX('Реестр'!$F$4:$F$103,$K94)="","",INDEX('Реестр'!$F$4:$F$103,$K94)),IF(ROW()=$K$3+5,'Реестр'!F104,""))</f>
      </c>
      <c r="G94" s="23">
        <f>IF(ISNUMBER($K94),IF(INDEX('Реестр'!$G$4:$G$103,$K94)="","",INDEX('Реестр'!$G$4:$G$103,$K94)),IF(ROW()=$K$3+6,"ЗАКАЗЧИК",IF(ROW()=$K$3+7,"Должн./ФИО:",IF(ROW()=$K$3+8,"Подпись:",""))))</f>
      </c>
      <c r="H94" s="46">
        <f>IF(ISNUMBER($K94),IF(INDEX('Реестр'!$H$4:$H$103,$K94)="","",INDEX('Реестр'!$H$4:$H$103,$K94)),IF(ROW()=$K$3+7,"________________",IF(ROW()=$K$3+8,"________________","")))</f>
      </c>
      <c r="I94" s="42">
        <f>IF(ISNUMBER($K94),IF(INDEX('Реестр'!$I$4:$I$103,$K94)="","",INDEX('Реестр'!$I$4:$I$103,$K94)),IF(ROW()=$K$3+5,'Реестр'!I104,IF(ROW()=$K$3+8,"Дата:","")))</f>
      </c>
      <c r="J94" s="23">
        <f>IF(ISNUMBER($K94),IF(INDEX('Реестр'!$J$4:$J$103,$K94)="","",INDEX('Реестр'!$J$4:$J$103,$K94)),IF(ROW()=$K$3+8,"____________",""))</f>
      </c>
      <c r="K94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94)),"")</f>
      </c>
    </row>
    <row r="95" ht="24" customHeight="1">
      <c r="A95" s="17">
        <f>IF(ISNUMBER($K95),$K95,"")</f>
      </c>
      <c r="B95" s="22">
        <f>IF(ISNUMBER($K95),IF(INDEX('Реестр'!$B$4:$B$103,$K95)="","",INDEX('Реестр'!$B$4:$B$103,$K95)),IF(ROW()=$K$3+5,"ИТОГО",IF(ROW()=$K$3+6,"ПОДРЯДЧИК",IF(ROW()=$K$3+7,"Должн./ФИО:",IF(ROW()=$K$3+8,"Подпись:","")))))</f>
      </c>
      <c r="C95" s="22">
        <f>IF(ISNUMBER($K95),IF(INDEX('Реестр'!$C$4:$C$103,$K95)="","",INDEX('Реестр'!$C$4:$C$103,$K95)),IF(ROW()=$K$3+7,"________________",IF(ROW()=$K$3+8,"________________","")))</f>
      </c>
      <c r="D95" s="40">
        <f>IF(ISNUMBER($K95),IF(INDEX('Реестр'!$D$4:$D$103,$K95)="","",INDEX('Реестр'!$D$4:$D$103,$K95)),IF(ROW()=$K$3+8,"Дата:",""))</f>
      </c>
      <c r="E95" s="41">
        <f>IF(ISNUMBER($K95),IF(INDEX('Реестр'!$E$4:$E$103,$K95)="","",INDEX('Реестр'!$E$4:$E$103,$K95)),IF(ROW()=$K$3+8,"____________",""))</f>
      </c>
      <c r="F95" s="42">
        <f>IF(ISNUMBER($K95),IF(INDEX('Реестр'!$F$4:$F$103,$K95)="","",INDEX('Реестр'!$F$4:$F$103,$K95)),IF(ROW()=$K$3+5,'Реестр'!F104,""))</f>
      </c>
      <c r="G95" s="22">
        <f>IF(ISNUMBER($K95),IF(INDEX('Реестр'!$G$4:$G$103,$K95)="","",INDEX('Реестр'!$G$4:$G$103,$K95)),IF(ROW()=$K$3+6,"ЗАКАЗЧИК",IF(ROW()=$K$3+7,"Должн./ФИО:",IF(ROW()=$K$3+8,"Подпись:",""))))</f>
      </c>
      <c r="H95" s="43">
        <f>IF(ISNUMBER($K95),IF(INDEX('Реестр'!$H$4:$H$103,$K95)="","",INDEX('Реестр'!$H$4:$H$103,$K95)),IF(ROW()=$K$3+7,"________________",IF(ROW()=$K$3+8,"________________","")))</f>
      </c>
      <c r="I95" s="42">
        <f>IF(ISNUMBER($K95),IF(INDEX('Реестр'!$I$4:$I$103,$K95)="","",INDEX('Реестр'!$I$4:$I$103,$K95)),IF(ROW()=$K$3+5,'Реестр'!I104,IF(ROW()=$K$3+8,"Дата:","")))</f>
      </c>
      <c r="J95" s="22">
        <f>IF(ISNUMBER($K95),IF(INDEX('Реестр'!$J$4:$J$103,$K95)="","",INDEX('Реестр'!$J$4:$J$103,$K95)),IF(ROW()=$K$3+8,"____________",""))</f>
      </c>
      <c r="K95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95)),"")</f>
      </c>
    </row>
    <row r="96" ht="24" customHeight="1">
      <c r="A96" s="18">
        <f>IF(ISNUMBER($K96),$K96,"")</f>
      </c>
      <c r="B96" s="23">
        <f>IF(ISNUMBER($K96),IF(INDEX('Реестр'!$B$4:$B$103,$K96)="","",INDEX('Реестр'!$B$4:$B$103,$K96)),IF(ROW()=$K$3+5,"ИТОГО",IF(ROW()=$K$3+6,"ПОДРЯДЧИК",IF(ROW()=$K$3+7,"Должн./ФИО:",IF(ROW()=$K$3+8,"Подпись:","")))))</f>
      </c>
      <c r="C96" s="23">
        <f>IF(ISNUMBER($K96),IF(INDEX('Реестр'!$C$4:$C$103,$K96)="","",INDEX('Реестр'!$C$4:$C$103,$K96)),IF(ROW()=$K$3+7,"________________",IF(ROW()=$K$3+8,"________________","")))</f>
      </c>
      <c r="D96" s="44">
        <f>IF(ISNUMBER($K96),IF(INDEX('Реестр'!$D$4:$D$103,$K96)="","",INDEX('Реестр'!$D$4:$D$103,$K96)),IF(ROW()=$K$3+8,"Дата:",""))</f>
      </c>
      <c r="E96" s="45">
        <f>IF(ISNUMBER($K96),IF(INDEX('Реестр'!$E$4:$E$103,$K96)="","",INDEX('Реестр'!$E$4:$E$103,$K96)),IF(ROW()=$K$3+8,"____________",""))</f>
      </c>
      <c r="F96" s="42">
        <f>IF(ISNUMBER($K96),IF(INDEX('Реестр'!$F$4:$F$103,$K96)="","",INDEX('Реестр'!$F$4:$F$103,$K96)),IF(ROW()=$K$3+5,'Реестр'!F104,""))</f>
      </c>
      <c r="G96" s="23">
        <f>IF(ISNUMBER($K96),IF(INDEX('Реестр'!$G$4:$G$103,$K96)="","",INDEX('Реестр'!$G$4:$G$103,$K96)),IF(ROW()=$K$3+6,"ЗАКАЗЧИК",IF(ROW()=$K$3+7,"Должн./ФИО:",IF(ROW()=$K$3+8,"Подпись:",""))))</f>
      </c>
      <c r="H96" s="46">
        <f>IF(ISNUMBER($K96),IF(INDEX('Реестр'!$H$4:$H$103,$K96)="","",INDEX('Реестр'!$H$4:$H$103,$K96)),IF(ROW()=$K$3+7,"________________",IF(ROW()=$K$3+8,"________________","")))</f>
      </c>
      <c r="I96" s="42">
        <f>IF(ISNUMBER($K96),IF(INDEX('Реестр'!$I$4:$I$103,$K96)="","",INDEX('Реестр'!$I$4:$I$103,$K96)),IF(ROW()=$K$3+5,'Реестр'!I104,IF(ROW()=$K$3+8,"Дата:","")))</f>
      </c>
      <c r="J96" s="23">
        <f>IF(ISNUMBER($K96),IF(INDEX('Реестр'!$J$4:$J$103,$K96)="","",INDEX('Реестр'!$J$4:$J$103,$K96)),IF(ROW()=$K$3+8,"____________",""))</f>
      </c>
      <c r="K96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96)),"")</f>
      </c>
    </row>
    <row r="97" ht="24" customHeight="1">
      <c r="A97" s="17">
        <f>IF(ISNUMBER($K97),$K97,"")</f>
      </c>
      <c r="B97" s="22">
        <f>IF(ISNUMBER($K97),IF(INDEX('Реестр'!$B$4:$B$103,$K97)="","",INDEX('Реестр'!$B$4:$B$103,$K97)),IF(ROW()=$K$3+5,"ИТОГО",IF(ROW()=$K$3+6,"ПОДРЯДЧИК",IF(ROW()=$K$3+7,"Должн./ФИО:",IF(ROW()=$K$3+8,"Подпись:","")))))</f>
      </c>
      <c r="C97" s="22">
        <f>IF(ISNUMBER($K97),IF(INDEX('Реестр'!$C$4:$C$103,$K97)="","",INDEX('Реестр'!$C$4:$C$103,$K97)),IF(ROW()=$K$3+7,"________________",IF(ROW()=$K$3+8,"________________","")))</f>
      </c>
      <c r="D97" s="40">
        <f>IF(ISNUMBER($K97),IF(INDEX('Реестр'!$D$4:$D$103,$K97)="","",INDEX('Реестр'!$D$4:$D$103,$K97)),IF(ROW()=$K$3+8,"Дата:",""))</f>
      </c>
      <c r="E97" s="41">
        <f>IF(ISNUMBER($K97),IF(INDEX('Реестр'!$E$4:$E$103,$K97)="","",INDEX('Реестр'!$E$4:$E$103,$K97)),IF(ROW()=$K$3+8,"____________",""))</f>
      </c>
      <c r="F97" s="42">
        <f>IF(ISNUMBER($K97),IF(INDEX('Реестр'!$F$4:$F$103,$K97)="","",INDEX('Реестр'!$F$4:$F$103,$K97)),IF(ROW()=$K$3+5,'Реестр'!F104,""))</f>
      </c>
      <c r="G97" s="22">
        <f>IF(ISNUMBER($K97),IF(INDEX('Реестр'!$G$4:$G$103,$K97)="","",INDEX('Реестр'!$G$4:$G$103,$K97)),IF(ROW()=$K$3+6,"ЗАКАЗЧИК",IF(ROW()=$K$3+7,"Должн./ФИО:",IF(ROW()=$K$3+8,"Подпись:",""))))</f>
      </c>
      <c r="H97" s="43">
        <f>IF(ISNUMBER($K97),IF(INDEX('Реестр'!$H$4:$H$103,$K97)="","",INDEX('Реестр'!$H$4:$H$103,$K97)),IF(ROW()=$K$3+7,"________________",IF(ROW()=$K$3+8,"________________","")))</f>
      </c>
      <c r="I97" s="42">
        <f>IF(ISNUMBER($K97),IF(INDEX('Реестр'!$I$4:$I$103,$K97)="","",INDEX('Реестр'!$I$4:$I$103,$K97)),IF(ROW()=$K$3+5,'Реестр'!I104,IF(ROW()=$K$3+8,"Дата:","")))</f>
      </c>
      <c r="J97" s="22">
        <f>IF(ISNUMBER($K97),IF(INDEX('Реестр'!$J$4:$J$103,$K97)="","",INDEX('Реестр'!$J$4:$J$103,$K97)),IF(ROW()=$K$3+8,"____________",""))</f>
      </c>
      <c r="K97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97)),"")</f>
      </c>
    </row>
    <row r="98" ht="24" customHeight="1">
      <c r="A98" s="18">
        <f>IF(ISNUMBER($K98),$K98,"")</f>
      </c>
      <c r="B98" s="23">
        <f>IF(ISNUMBER($K98),IF(INDEX('Реестр'!$B$4:$B$103,$K98)="","",INDEX('Реестр'!$B$4:$B$103,$K98)),IF(ROW()=$K$3+5,"ИТОГО",IF(ROW()=$K$3+6,"ПОДРЯДЧИК",IF(ROW()=$K$3+7,"Должн./ФИО:",IF(ROW()=$K$3+8,"Подпись:","")))))</f>
      </c>
      <c r="C98" s="23">
        <f>IF(ISNUMBER($K98),IF(INDEX('Реестр'!$C$4:$C$103,$K98)="","",INDEX('Реестр'!$C$4:$C$103,$K98)),IF(ROW()=$K$3+7,"________________",IF(ROW()=$K$3+8,"________________","")))</f>
      </c>
      <c r="D98" s="44">
        <f>IF(ISNUMBER($K98),IF(INDEX('Реестр'!$D$4:$D$103,$K98)="","",INDEX('Реестр'!$D$4:$D$103,$K98)),IF(ROW()=$K$3+8,"Дата:",""))</f>
      </c>
      <c r="E98" s="45">
        <f>IF(ISNUMBER($K98),IF(INDEX('Реестр'!$E$4:$E$103,$K98)="","",INDEX('Реестр'!$E$4:$E$103,$K98)),IF(ROW()=$K$3+8,"____________",""))</f>
      </c>
      <c r="F98" s="42">
        <f>IF(ISNUMBER($K98),IF(INDEX('Реестр'!$F$4:$F$103,$K98)="","",INDEX('Реестр'!$F$4:$F$103,$K98)),IF(ROW()=$K$3+5,'Реестр'!F104,""))</f>
      </c>
      <c r="G98" s="23">
        <f>IF(ISNUMBER($K98),IF(INDEX('Реестр'!$G$4:$G$103,$K98)="","",INDEX('Реестр'!$G$4:$G$103,$K98)),IF(ROW()=$K$3+6,"ЗАКАЗЧИК",IF(ROW()=$K$3+7,"Должн./ФИО:",IF(ROW()=$K$3+8,"Подпись:",""))))</f>
      </c>
      <c r="H98" s="46">
        <f>IF(ISNUMBER($K98),IF(INDEX('Реестр'!$H$4:$H$103,$K98)="","",INDEX('Реестр'!$H$4:$H$103,$K98)),IF(ROW()=$K$3+7,"________________",IF(ROW()=$K$3+8,"________________","")))</f>
      </c>
      <c r="I98" s="42">
        <f>IF(ISNUMBER($K98),IF(INDEX('Реестр'!$I$4:$I$103,$K98)="","",INDEX('Реестр'!$I$4:$I$103,$K98)),IF(ROW()=$K$3+5,'Реестр'!I104,IF(ROW()=$K$3+8,"Дата:","")))</f>
      </c>
      <c r="J98" s="23">
        <f>IF(ISNUMBER($K98),IF(INDEX('Реестр'!$J$4:$J$103,$K98)="","",INDEX('Реестр'!$J$4:$J$103,$K98)),IF(ROW()=$K$3+8,"____________",""))</f>
      </c>
      <c r="K98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98)),"")</f>
      </c>
    </row>
    <row r="99" ht="24" customHeight="1">
      <c r="A99" s="17">
        <f>IF(ISNUMBER($K99),$K99,"")</f>
      </c>
      <c r="B99" s="22">
        <f>IF(ISNUMBER($K99),IF(INDEX('Реестр'!$B$4:$B$103,$K99)="","",INDEX('Реестр'!$B$4:$B$103,$K99)),IF(ROW()=$K$3+5,"ИТОГО",IF(ROW()=$K$3+6,"ПОДРЯДЧИК",IF(ROW()=$K$3+7,"Должн./ФИО:",IF(ROW()=$K$3+8,"Подпись:","")))))</f>
      </c>
      <c r="C99" s="22">
        <f>IF(ISNUMBER($K99),IF(INDEX('Реестр'!$C$4:$C$103,$K99)="","",INDEX('Реестр'!$C$4:$C$103,$K99)),IF(ROW()=$K$3+7,"________________",IF(ROW()=$K$3+8,"________________","")))</f>
      </c>
      <c r="D99" s="40">
        <f>IF(ISNUMBER($K99),IF(INDEX('Реестр'!$D$4:$D$103,$K99)="","",INDEX('Реестр'!$D$4:$D$103,$K99)),IF(ROW()=$K$3+8,"Дата:",""))</f>
      </c>
      <c r="E99" s="41">
        <f>IF(ISNUMBER($K99),IF(INDEX('Реестр'!$E$4:$E$103,$K99)="","",INDEX('Реестр'!$E$4:$E$103,$K99)),IF(ROW()=$K$3+8,"____________",""))</f>
      </c>
      <c r="F99" s="42">
        <f>IF(ISNUMBER($K99),IF(INDEX('Реестр'!$F$4:$F$103,$K99)="","",INDEX('Реестр'!$F$4:$F$103,$K99)),IF(ROW()=$K$3+5,'Реестр'!F104,""))</f>
      </c>
      <c r="G99" s="22">
        <f>IF(ISNUMBER($K99),IF(INDEX('Реестр'!$G$4:$G$103,$K99)="","",INDEX('Реестр'!$G$4:$G$103,$K99)),IF(ROW()=$K$3+6,"ЗАКАЗЧИК",IF(ROW()=$K$3+7,"Должн./ФИО:",IF(ROW()=$K$3+8,"Подпись:",""))))</f>
      </c>
      <c r="H99" s="43">
        <f>IF(ISNUMBER($K99),IF(INDEX('Реестр'!$H$4:$H$103,$K99)="","",INDEX('Реестр'!$H$4:$H$103,$K99)),IF(ROW()=$K$3+7,"________________",IF(ROW()=$K$3+8,"________________","")))</f>
      </c>
      <c r="I99" s="42">
        <f>IF(ISNUMBER($K99),IF(INDEX('Реестр'!$I$4:$I$103,$K99)="","",INDEX('Реестр'!$I$4:$I$103,$K99)),IF(ROW()=$K$3+5,'Реестр'!I104,IF(ROW()=$K$3+8,"Дата:","")))</f>
      </c>
      <c r="J99" s="22">
        <f>IF(ISNUMBER($K99),IF(INDEX('Реестр'!$J$4:$J$103,$K99)="","",INDEX('Реестр'!$J$4:$J$103,$K99)),IF(ROW()=$K$3+8,"____________",""))</f>
      </c>
      <c r="K99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99)),"")</f>
      </c>
    </row>
    <row r="100" ht="24" customHeight="1">
      <c r="A100" s="18">
        <f>IF(ISNUMBER($K100),$K100,"")</f>
      </c>
      <c r="B100" s="23">
        <f>IF(ISNUMBER($K100),IF(INDEX('Реестр'!$B$4:$B$103,$K100)="","",INDEX('Реестр'!$B$4:$B$103,$K100)),IF(ROW()=$K$3+5,"ИТОГО",IF(ROW()=$K$3+6,"ПОДРЯДЧИК",IF(ROW()=$K$3+7,"Должн./ФИО:",IF(ROW()=$K$3+8,"Подпись:","")))))</f>
      </c>
      <c r="C100" s="23">
        <f>IF(ISNUMBER($K100),IF(INDEX('Реестр'!$C$4:$C$103,$K100)="","",INDEX('Реестр'!$C$4:$C$103,$K100)),IF(ROW()=$K$3+7,"________________",IF(ROW()=$K$3+8,"________________","")))</f>
      </c>
      <c r="D100" s="44">
        <f>IF(ISNUMBER($K100),IF(INDEX('Реестр'!$D$4:$D$103,$K100)="","",INDEX('Реестр'!$D$4:$D$103,$K100)),IF(ROW()=$K$3+8,"Дата:",""))</f>
      </c>
      <c r="E100" s="45">
        <f>IF(ISNUMBER($K100),IF(INDEX('Реестр'!$E$4:$E$103,$K100)="","",INDEX('Реестр'!$E$4:$E$103,$K100)),IF(ROW()=$K$3+8,"____________",""))</f>
      </c>
      <c r="F100" s="42">
        <f>IF(ISNUMBER($K100),IF(INDEX('Реестр'!$F$4:$F$103,$K100)="","",INDEX('Реестр'!$F$4:$F$103,$K100)),IF(ROW()=$K$3+5,'Реестр'!F104,""))</f>
      </c>
      <c r="G100" s="23">
        <f>IF(ISNUMBER($K100),IF(INDEX('Реестр'!$G$4:$G$103,$K100)="","",INDEX('Реестр'!$G$4:$G$103,$K100)),IF(ROW()=$K$3+6,"ЗАКАЗЧИК",IF(ROW()=$K$3+7,"Должн./ФИО:",IF(ROW()=$K$3+8,"Подпись:",""))))</f>
      </c>
      <c r="H100" s="46">
        <f>IF(ISNUMBER($K100),IF(INDEX('Реестр'!$H$4:$H$103,$K100)="","",INDEX('Реестр'!$H$4:$H$103,$K100)),IF(ROW()=$K$3+7,"________________",IF(ROW()=$K$3+8,"________________","")))</f>
      </c>
      <c r="I100" s="42">
        <f>IF(ISNUMBER($K100),IF(INDEX('Реестр'!$I$4:$I$103,$K100)="","",INDEX('Реестр'!$I$4:$I$103,$K100)),IF(ROW()=$K$3+5,'Реестр'!I104,IF(ROW()=$K$3+8,"Дата:","")))</f>
      </c>
      <c r="J100" s="23">
        <f>IF(ISNUMBER($K100),IF(INDEX('Реестр'!$J$4:$J$103,$K100)="","",INDEX('Реестр'!$J$4:$J$103,$K100)),IF(ROW()=$K$3+8,"____________",""))</f>
      </c>
      <c r="K100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100)),"")</f>
      </c>
    </row>
    <row r="101" ht="24" customHeight="1">
      <c r="A101" s="17">
        <f>IF(ISNUMBER($K101),$K101,"")</f>
      </c>
      <c r="B101" s="22">
        <f>IF(ISNUMBER($K101),IF(INDEX('Реестр'!$B$4:$B$103,$K101)="","",INDEX('Реестр'!$B$4:$B$103,$K101)),IF(ROW()=$K$3+5,"ИТОГО",IF(ROW()=$K$3+6,"ПОДРЯДЧИК",IF(ROW()=$K$3+7,"Должн./ФИО:",IF(ROW()=$K$3+8,"Подпись:","")))))</f>
      </c>
      <c r="C101" s="22">
        <f>IF(ISNUMBER($K101),IF(INDEX('Реестр'!$C$4:$C$103,$K101)="","",INDEX('Реестр'!$C$4:$C$103,$K101)),IF(ROW()=$K$3+7,"________________",IF(ROW()=$K$3+8,"________________","")))</f>
      </c>
      <c r="D101" s="40">
        <f>IF(ISNUMBER($K101),IF(INDEX('Реестр'!$D$4:$D$103,$K101)="","",INDEX('Реестр'!$D$4:$D$103,$K101)),IF(ROW()=$K$3+8,"Дата:",""))</f>
      </c>
      <c r="E101" s="41">
        <f>IF(ISNUMBER($K101),IF(INDEX('Реестр'!$E$4:$E$103,$K101)="","",INDEX('Реестр'!$E$4:$E$103,$K101)),IF(ROW()=$K$3+8,"____________",""))</f>
      </c>
      <c r="F101" s="42">
        <f>IF(ISNUMBER($K101),IF(INDEX('Реестр'!$F$4:$F$103,$K101)="","",INDEX('Реестр'!$F$4:$F$103,$K101)),IF(ROW()=$K$3+5,'Реестр'!F104,""))</f>
      </c>
      <c r="G101" s="22">
        <f>IF(ISNUMBER($K101),IF(INDEX('Реестр'!$G$4:$G$103,$K101)="","",INDEX('Реестр'!$G$4:$G$103,$K101)),IF(ROW()=$K$3+6,"ЗАКАЗЧИК",IF(ROW()=$K$3+7,"Должн./ФИО:",IF(ROW()=$K$3+8,"Подпись:",""))))</f>
      </c>
      <c r="H101" s="43">
        <f>IF(ISNUMBER($K101),IF(INDEX('Реестр'!$H$4:$H$103,$K101)="","",INDEX('Реестр'!$H$4:$H$103,$K101)),IF(ROW()=$K$3+7,"________________",IF(ROW()=$K$3+8,"________________","")))</f>
      </c>
      <c r="I101" s="42">
        <f>IF(ISNUMBER($K101),IF(INDEX('Реестр'!$I$4:$I$103,$K101)="","",INDEX('Реестр'!$I$4:$I$103,$K101)),IF(ROW()=$K$3+5,'Реестр'!I104,IF(ROW()=$K$3+8,"Дата:","")))</f>
      </c>
      <c r="J101" s="22">
        <f>IF(ISNUMBER($K101),IF(INDEX('Реестр'!$J$4:$J$103,$K101)="","",INDEX('Реестр'!$J$4:$J$103,$K101)),IF(ROW()=$K$3+8,"____________",""))</f>
      </c>
      <c r="K101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101)),"")</f>
      </c>
    </row>
    <row r="102" ht="24" customHeight="1">
      <c r="A102" s="18">
        <f>IF(ISNUMBER($K102),$K102,"")</f>
      </c>
      <c r="B102" s="23">
        <f>IF(ISNUMBER($K102),IF(INDEX('Реестр'!$B$4:$B$103,$K102)="","",INDEX('Реестр'!$B$4:$B$103,$K102)),IF(ROW()=$K$3+5,"ИТОГО",IF(ROW()=$K$3+6,"ПОДРЯДЧИК",IF(ROW()=$K$3+7,"Должн./ФИО:",IF(ROW()=$K$3+8,"Подпись:","")))))</f>
      </c>
      <c r="C102" s="23">
        <f>IF(ISNUMBER($K102),IF(INDEX('Реестр'!$C$4:$C$103,$K102)="","",INDEX('Реестр'!$C$4:$C$103,$K102)),IF(ROW()=$K$3+7,"________________",IF(ROW()=$K$3+8,"________________","")))</f>
      </c>
      <c r="D102" s="44">
        <f>IF(ISNUMBER($K102),IF(INDEX('Реестр'!$D$4:$D$103,$K102)="","",INDEX('Реестр'!$D$4:$D$103,$K102)),IF(ROW()=$K$3+8,"Дата:",""))</f>
      </c>
      <c r="E102" s="45">
        <f>IF(ISNUMBER($K102),IF(INDEX('Реестр'!$E$4:$E$103,$K102)="","",INDEX('Реестр'!$E$4:$E$103,$K102)),IF(ROW()=$K$3+8,"____________",""))</f>
      </c>
      <c r="F102" s="42">
        <f>IF(ISNUMBER($K102),IF(INDEX('Реестр'!$F$4:$F$103,$K102)="","",INDEX('Реестр'!$F$4:$F$103,$K102)),IF(ROW()=$K$3+5,'Реестр'!F104,""))</f>
      </c>
      <c r="G102" s="23">
        <f>IF(ISNUMBER($K102),IF(INDEX('Реестр'!$G$4:$G$103,$K102)="","",INDEX('Реестр'!$G$4:$G$103,$K102)),IF(ROW()=$K$3+6,"ЗАКАЗЧИК",IF(ROW()=$K$3+7,"Должн./ФИО:",IF(ROW()=$K$3+8,"Подпись:",""))))</f>
      </c>
      <c r="H102" s="46">
        <f>IF(ISNUMBER($K102),IF(INDEX('Реестр'!$H$4:$H$103,$K102)="","",INDEX('Реестр'!$H$4:$H$103,$K102)),IF(ROW()=$K$3+7,"________________",IF(ROW()=$K$3+8,"________________","")))</f>
      </c>
      <c r="I102" s="42">
        <f>IF(ISNUMBER($K102),IF(INDEX('Реестр'!$I$4:$I$103,$K102)="","",INDEX('Реестр'!$I$4:$I$103,$K102)),IF(ROW()=$K$3+5,'Реестр'!I104,IF(ROW()=$K$3+8,"Дата:","")))</f>
      </c>
      <c r="J102" s="23">
        <f>IF(ISNUMBER($K102),IF(INDEX('Реестр'!$J$4:$J$103,$K102)="","",INDEX('Реестр'!$J$4:$J$103,$K102)),IF(ROW()=$K$3+8,"____________",""))</f>
      </c>
      <c r="K102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102)),"")</f>
      </c>
    </row>
    <row r="103" ht="24" customHeight="1">
      <c r="A103" s="17">
        <f>IF(ISNUMBER($K103),$K103,"")</f>
      </c>
      <c r="B103" s="22">
        <f>IF(ISNUMBER($K103),IF(INDEX('Реестр'!$B$4:$B$103,$K103)="","",INDEX('Реестр'!$B$4:$B$103,$K103)),IF(ROW()=$K$3+5,"ИТОГО",IF(ROW()=$K$3+6,"ПОДРЯДЧИК",IF(ROW()=$K$3+7,"Должн./ФИО:",IF(ROW()=$K$3+8,"Подпись:","")))))</f>
      </c>
      <c r="C103" s="22">
        <f>IF(ISNUMBER($K103),IF(INDEX('Реестр'!$C$4:$C$103,$K103)="","",INDEX('Реестр'!$C$4:$C$103,$K103)),IF(ROW()=$K$3+7,"________________",IF(ROW()=$K$3+8,"________________","")))</f>
      </c>
      <c r="D103" s="40">
        <f>IF(ISNUMBER($K103),IF(INDEX('Реестр'!$D$4:$D$103,$K103)="","",INDEX('Реестр'!$D$4:$D$103,$K103)),IF(ROW()=$K$3+8,"Дата:",""))</f>
      </c>
      <c r="E103" s="41">
        <f>IF(ISNUMBER($K103),IF(INDEX('Реестр'!$E$4:$E$103,$K103)="","",INDEX('Реестр'!$E$4:$E$103,$K103)),IF(ROW()=$K$3+8,"____________",""))</f>
      </c>
      <c r="F103" s="42">
        <f>IF(ISNUMBER($K103),IF(INDEX('Реестр'!$F$4:$F$103,$K103)="","",INDEX('Реестр'!$F$4:$F$103,$K103)),IF(ROW()=$K$3+5,'Реестр'!F104,""))</f>
      </c>
      <c r="G103" s="22">
        <f>IF(ISNUMBER($K103),IF(INDEX('Реестр'!$G$4:$G$103,$K103)="","",INDEX('Реестр'!$G$4:$G$103,$K103)),IF(ROW()=$K$3+6,"ЗАКАЗЧИК",IF(ROW()=$K$3+7,"Должн./ФИО:",IF(ROW()=$K$3+8,"Подпись:",""))))</f>
      </c>
      <c r="H103" s="43">
        <f>IF(ISNUMBER($K103),IF(INDEX('Реестр'!$H$4:$H$103,$K103)="","",INDEX('Реестр'!$H$4:$H$103,$K103)),IF(ROW()=$K$3+7,"________________",IF(ROW()=$K$3+8,"________________","")))</f>
      </c>
      <c r="I103" s="42">
        <f>IF(ISNUMBER($K103),IF(INDEX('Реестр'!$I$4:$I$103,$K103)="","",INDEX('Реестр'!$I$4:$I$103,$K103)),IF(ROW()=$K$3+5,'Реестр'!I104,IF(ROW()=$K$3+8,"Дата:","")))</f>
      </c>
      <c r="J103" s="22">
        <f>IF(ISNUMBER($K103),IF(INDEX('Реестр'!$J$4:$J$103,$K103)="","",INDEX('Реестр'!$J$4:$J$103,$K103)),IF(ROW()=$K$3+8,"____________",""))</f>
      </c>
      <c r="K103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103)),"")</f>
      </c>
    </row>
    <row r="104" ht="24" customHeight="1">
      <c r="A104" s="18">
        <f>IF(ISNUMBER($K104),$K104,"")</f>
      </c>
      <c r="B104" s="23">
        <f>IF(ISNUMBER($K104),IF(INDEX('Реестр'!$B$4:$B$103,$K104)="","",INDEX('Реестр'!$B$4:$B$103,$K104)),IF(ROW()=$K$3+5,"ИТОГО",IF(ROW()=$K$3+6,"ПОДРЯДЧИК",IF(ROW()=$K$3+7,"Должн./ФИО:",IF(ROW()=$K$3+8,"Подпись:","")))))</f>
      </c>
      <c r="C104" s="23">
        <f>IF(ISNUMBER($K104),IF(INDEX('Реестр'!$C$4:$C$103,$K104)="","",INDEX('Реестр'!$C$4:$C$103,$K104)),IF(ROW()=$K$3+7,"________________",IF(ROW()=$K$3+8,"________________","")))</f>
      </c>
      <c r="D104" s="44">
        <f>IF(ISNUMBER($K104),IF(INDEX('Реестр'!$D$4:$D$103,$K104)="","",INDEX('Реестр'!$D$4:$D$103,$K104)),IF(ROW()=$K$3+8,"Дата:",""))</f>
      </c>
      <c r="E104" s="45">
        <f>IF(ISNUMBER($K104),IF(INDEX('Реестр'!$E$4:$E$103,$K104)="","",INDEX('Реестр'!$E$4:$E$103,$K104)),IF(ROW()=$K$3+8,"____________",""))</f>
      </c>
      <c r="F104" s="42">
        <f>IF(ISNUMBER($K104),IF(INDEX('Реестр'!$F$4:$F$103,$K104)="","",INDEX('Реестр'!$F$4:$F$103,$K104)),IF(ROW()=$K$3+5,'Реестр'!F104,""))</f>
      </c>
      <c r="G104" s="23">
        <f>IF(ISNUMBER($K104),IF(INDEX('Реестр'!$G$4:$G$103,$K104)="","",INDEX('Реестр'!$G$4:$G$103,$K104)),IF(ROW()=$K$3+6,"ЗАКАЗЧИК",IF(ROW()=$K$3+7,"Должн./ФИО:",IF(ROW()=$K$3+8,"Подпись:",""))))</f>
      </c>
      <c r="H104" s="46">
        <f>IF(ISNUMBER($K104),IF(INDEX('Реестр'!$H$4:$H$103,$K104)="","",INDEX('Реестр'!$H$4:$H$103,$K104)),IF(ROW()=$K$3+7,"________________",IF(ROW()=$K$3+8,"________________","")))</f>
      </c>
      <c r="I104" s="42">
        <f>IF(ISNUMBER($K104),IF(INDEX('Реестр'!$I$4:$I$103,$K104)="","",INDEX('Реестр'!$I$4:$I$103,$K104)),IF(ROW()=$K$3+5,'Реестр'!I104,IF(ROW()=$K$3+8,"Дата:","")))</f>
      </c>
      <c r="J104" s="23">
        <f>IF(ISNUMBER($K104),IF(INDEX('Реестр'!$J$4:$J$103,$K104)="","",INDEX('Реестр'!$J$4:$J$103,$K104)),IF(ROW()=$K$3+8,"____________",""))</f>
      </c>
      <c r="K104" s="22">
        <f>IFERROR(_xlfn.AGGREGATE(15,6,(ROW('Реестр'!$B$4:$B$103)-3)/((('Реестр'!$B$4:$B$103&lt;&gt;"")+('Реестр'!$C$4:$C$103&lt;&gt;"")+('Реестр'!$D$4:$D$103&lt;&gt;"")+('Реестр'!$E$4:$E$103&lt;&gt;"")+('Реестр'!$G$4:$G$103&lt;&gt;"")+('Реестр'!$H$4:$H$103&lt;&gt;"")+('Реестр'!$J$4:$J$103&lt;&gt;""))&gt;0),ROWS($K$5:K104)),"")</f>
      </c>
    </row>
    <row r="105" ht="24" customHeight="1">
      <c r="A105" s="17">
        <f>IF(ISNUMBER($K105),$K105,"")</f>
      </c>
      <c r="B105" s="22">
        <f>IF(ISNUMBER($K105),IF(INDEX('Реестр'!$B$4:$B$103,$K105)="","",INDEX('Реестр'!$B$4:$B$103,$K105)),IF(ROW()=$K$3+5,"ИТОГО",IF(ROW()=$K$3+6,"ПОДРЯДЧИК",IF(ROW()=$K$3+7,"Должн./ФИО:",IF(ROW()=$K$3+8,"Подпись:","")))))</f>
      </c>
      <c r="C105" s="22">
        <f>IF(ISNUMBER($K105),IF(INDEX('Реестр'!$C$4:$C$103,$K105)="","",INDEX('Реестр'!$C$4:$C$103,$K105)),IF(ROW()=$K$3+7,"________________",IF(ROW()=$K$3+8,"________________","")))</f>
      </c>
      <c r="D105" s="40">
        <f>IF(ISNUMBER($K105),IF(INDEX('Реестр'!$D$4:$D$103,$K105)="","",INDEX('Реестр'!$D$4:$D$103,$K105)),IF(ROW()=$K$3+8,"Дата:",""))</f>
      </c>
      <c r="E105" s="41">
        <f>IF(ISNUMBER($K105),IF(INDEX('Реестр'!$E$4:$E$103,$K105)="","",INDEX('Реестр'!$E$4:$E$103,$K105)),IF(ROW()=$K$3+8,"____________",""))</f>
      </c>
      <c r="F105" s="42">
        <f>IF(ISNUMBER($K105),IF(INDEX('Реестр'!$F$4:$F$103,$K105)="","",INDEX('Реестр'!$F$4:$F$103,$K105)),IF(ROW()=$K$3+5,'Реестр'!F104,""))</f>
      </c>
      <c r="G105" s="22">
        <f>IF(ISNUMBER($K105),IF(INDEX('Реестр'!$G$4:$G$103,$K105)="","",INDEX('Реестр'!$G$4:$G$103,$K105)),IF(ROW()=$K$3+6,"ЗАКАЗЧИК",IF(ROW()=$K$3+7,"Должн./ФИО:",IF(ROW()=$K$3+8,"Подпись:",""))))</f>
      </c>
      <c r="H105" s="43">
        <f>IF(ISNUMBER($K105),IF(INDEX('Реестр'!$H$4:$H$103,$K105)="","",INDEX('Реестр'!$H$4:$H$103,$K105)),IF(ROW()=$K$3+7,"________________",IF(ROW()=$K$3+8,"________________","")))</f>
      </c>
      <c r="I105" s="42">
        <f>IF(ISNUMBER($K105),IF(INDEX('Реестр'!$I$4:$I$103,$K105)="","",INDEX('Реестр'!$I$4:$I$103,$K105)),IF(ROW()=$K$3+5,'Реестр'!I104,IF(ROW()=$K$3+8,"Дата:","")))</f>
      </c>
      <c r="J105" s="22">
        <f>IF(ISNUMBER($K105),IF(INDEX('Реестр'!$J$4:$J$103,$K105)="","",INDEX('Реестр'!$J$4:$J$103,$K105)),IF(ROW()=$K$3+8,"____________",""))</f>
      </c>
    </row>
    <row r="106" ht="24" customHeight="1">
      <c r="A106" s="18">
        <f>IF(ISNUMBER($K106),$K106,"")</f>
      </c>
      <c r="B106" s="23">
        <f>IF(ISNUMBER($K106),IF(INDEX('Реестр'!$B$4:$B$103,$K106)="","",INDEX('Реестр'!$B$4:$B$103,$K106)),IF(ROW()=$K$3+5,"ИТОГО",IF(ROW()=$K$3+6,"ПОДРЯДЧИК",IF(ROW()=$K$3+7,"Должн./ФИО:",IF(ROW()=$K$3+8,"Подпись:","")))))</f>
      </c>
      <c r="C106" s="23">
        <f>IF(ISNUMBER($K106),IF(INDEX('Реестр'!$C$4:$C$103,$K106)="","",INDEX('Реестр'!$C$4:$C$103,$K106)),IF(ROW()=$K$3+7,"________________",IF(ROW()=$K$3+8,"________________","")))</f>
      </c>
      <c r="D106" s="44">
        <f>IF(ISNUMBER($K106),IF(INDEX('Реестр'!$D$4:$D$103,$K106)="","",INDEX('Реестр'!$D$4:$D$103,$K106)),IF(ROW()=$K$3+8,"Дата:",""))</f>
      </c>
      <c r="E106" s="45">
        <f>IF(ISNUMBER($K106),IF(INDEX('Реестр'!$E$4:$E$103,$K106)="","",INDEX('Реестр'!$E$4:$E$103,$K106)),IF(ROW()=$K$3+8,"____________",""))</f>
      </c>
      <c r="F106" s="42">
        <f>IF(ISNUMBER($K106),IF(INDEX('Реестр'!$F$4:$F$103,$K106)="","",INDEX('Реестр'!$F$4:$F$103,$K106)),IF(ROW()=$K$3+5,'Реестр'!F104,""))</f>
      </c>
      <c r="G106" s="23">
        <f>IF(ISNUMBER($K106),IF(INDEX('Реестр'!$G$4:$G$103,$K106)="","",INDEX('Реестр'!$G$4:$G$103,$K106)),IF(ROW()=$K$3+6,"ЗАКАЗЧИК",IF(ROW()=$K$3+7,"Должн./ФИО:",IF(ROW()=$K$3+8,"Подпись:",""))))</f>
      </c>
      <c r="H106" s="46">
        <f>IF(ISNUMBER($K106),IF(INDEX('Реестр'!$H$4:$H$103,$K106)="","",INDEX('Реестр'!$H$4:$H$103,$K106)),IF(ROW()=$K$3+7,"________________",IF(ROW()=$K$3+8,"________________","")))</f>
      </c>
      <c r="I106" s="42">
        <f>IF(ISNUMBER($K106),IF(INDEX('Реестр'!$I$4:$I$103,$K106)="","",INDEX('Реестр'!$I$4:$I$103,$K106)),IF(ROW()=$K$3+5,'Реестр'!I104,IF(ROW()=$K$3+8,"Дата:","")))</f>
      </c>
      <c r="J106" s="23">
        <f>IF(ISNUMBER($K106),IF(INDEX('Реестр'!$J$4:$J$103,$K106)="","",INDEX('Реестр'!$J$4:$J$103,$K106)),IF(ROW()=$K$3+8,"____________",""))</f>
      </c>
    </row>
    <row r="107" ht="24" customHeight="1">
      <c r="A107" s="17">
        <f>IF(ISNUMBER($K107),$K107,"")</f>
      </c>
      <c r="B107" s="22">
        <f>IF(ISNUMBER($K107),IF(INDEX('Реестр'!$B$4:$B$103,$K107)="","",INDEX('Реестр'!$B$4:$B$103,$K107)),IF(ROW()=$K$3+5,"ИТОГО",IF(ROW()=$K$3+6,"ПОДРЯДЧИК",IF(ROW()=$K$3+7,"Должн./ФИО:",IF(ROW()=$K$3+8,"Подпись:","")))))</f>
      </c>
      <c r="C107" s="22">
        <f>IF(ISNUMBER($K107),IF(INDEX('Реестр'!$C$4:$C$103,$K107)="","",INDEX('Реестр'!$C$4:$C$103,$K107)),IF(ROW()=$K$3+7,"________________",IF(ROW()=$K$3+8,"________________","")))</f>
      </c>
      <c r="D107" s="40">
        <f>IF(ISNUMBER($K107),IF(INDEX('Реестр'!$D$4:$D$103,$K107)="","",INDEX('Реестр'!$D$4:$D$103,$K107)),IF(ROW()=$K$3+8,"Дата:",""))</f>
      </c>
      <c r="E107" s="41">
        <f>IF(ISNUMBER($K107),IF(INDEX('Реестр'!$E$4:$E$103,$K107)="","",INDEX('Реестр'!$E$4:$E$103,$K107)),IF(ROW()=$K$3+8,"____________",""))</f>
      </c>
      <c r="F107" s="42">
        <f>IF(ISNUMBER($K107),IF(INDEX('Реестр'!$F$4:$F$103,$K107)="","",INDEX('Реестр'!$F$4:$F$103,$K107)),IF(ROW()=$K$3+5,'Реестр'!F104,""))</f>
      </c>
      <c r="G107" s="22">
        <f>IF(ISNUMBER($K107),IF(INDEX('Реестр'!$G$4:$G$103,$K107)="","",INDEX('Реестр'!$G$4:$G$103,$K107)),IF(ROW()=$K$3+6,"ЗАКАЗЧИК",IF(ROW()=$K$3+7,"Должн./ФИО:",IF(ROW()=$K$3+8,"Подпись:",""))))</f>
      </c>
      <c r="H107" s="43">
        <f>IF(ISNUMBER($K107),IF(INDEX('Реестр'!$H$4:$H$103,$K107)="","",INDEX('Реестр'!$H$4:$H$103,$K107)),IF(ROW()=$K$3+7,"________________",IF(ROW()=$K$3+8,"________________","")))</f>
      </c>
      <c r="I107" s="42">
        <f>IF(ISNUMBER($K107),IF(INDEX('Реестр'!$I$4:$I$103,$K107)="","",INDEX('Реестр'!$I$4:$I$103,$K107)),IF(ROW()=$K$3+5,'Реестр'!I104,IF(ROW()=$K$3+8,"Дата:","")))</f>
      </c>
      <c r="J107" s="22">
        <f>IF(ISNUMBER($K107),IF(INDEX('Реестр'!$J$4:$J$103,$K107)="","",INDEX('Реестр'!$J$4:$J$103,$K107)),IF(ROW()=$K$3+8,"____________",""))</f>
      </c>
    </row>
    <row r="108" ht="24" customHeight="1">
      <c r="A108" s="18">
        <f>IF(ISNUMBER($K108),$K108,"")</f>
      </c>
      <c r="B108" s="23">
        <f>IF(ISNUMBER($K108),IF(INDEX('Реестр'!$B$4:$B$103,$K108)="","",INDEX('Реестр'!$B$4:$B$103,$K108)),IF(ROW()=$K$3+5,"ИТОГО",IF(ROW()=$K$3+6,"ПОДРЯДЧИК",IF(ROW()=$K$3+7,"Должн./ФИО:",IF(ROW()=$K$3+8,"Подпись:","")))))</f>
      </c>
      <c r="C108" s="23">
        <f>IF(ISNUMBER($K108),IF(INDEX('Реестр'!$C$4:$C$103,$K108)="","",INDEX('Реестр'!$C$4:$C$103,$K108)),IF(ROW()=$K$3+7,"________________",IF(ROW()=$K$3+8,"________________","")))</f>
      </c>
      <c r="D108" s="44">
        <f>IF(ISNUMBER($K108),IF(INDEX('Реестр'!$D$4:$D$103,$K108)="","",INDEX('Реестр'!$D$4:$D$103,$K108)),IF(ROW()=$K$3+8,"Дата:",""))</f>
      </c>
      <c r="E108" s="45">
        <f>IF(ISNUMBER($K108),IF(INDEX('Реестр'!$E$4:$E$103,$K108)="","",INDEX('Реестр'!$E$4:$E$103,$K108)),IF(ROW()=$K$3+8,"____________",""))</f>
      </c>
      <c r="F108" s="42">
        <f>IF(ISNUMBER($K108),IF(INDEX('Реестр'!$F$4:$F$103,$K108)="","",INDEX('Реестр'!$F$4:$F$103,$K108)),IF(ROW()=$K$3+5,'Реестр'!F104,""))</f>
      </c>
      <c r="G108" s="23">
        <f>IF(ISNUMBER($K108),IF(INDEX('Реестр'!$G$4:$G$103,$K108)="","",INDEX('Реестр'!$G$4:$G$103,$K108)),IF(ROW()=$K$3+6,"ЗАКАЗЧИК",IF(ROW()=$K$3+7,"Должн./ФИО:",IF(ROW()=$K$3+8,"Подпись:",""))))</f>
      </c>
      <c r="H108" s="46">
        <f>IF(ISNUMBER($K108),IF(INDEX('Реестр'!$H$4:$H$103,$K108)="","",INDEX('Реестр'!$H$4:$H$103,$K108)),IF(ROW()=$K$3+7,"________________",IF(ROW()=$K$3+8,"________________","")))</f>
      </c>
      <c r="I108" s="42">
        <f>IF(ISNUMBER($K108),IF(INDEX('Реестр'!$I$4:$I$103,$K108)="","",INDEX('Реестр'!$I$4:$I$103,$K108)),IF(ROW()=$K$3+5,'Реестр'!I104,IF(ROW()=$K$3+8,"Дата:","")))</f>
      </c>
      <c r="J108" s="23">
        <f>IF(ISNUMBER($K108),IF(INDEX('Реестр'!$J$4:$J$103,$K108)="","",INDEX('Реестр'!$J$4:$J$103,$K108)),IF(ROW()=$K$3+8,"____________",""))</f>
      </c>
    </row>
  </sheetData>
  <mergeCells count="3">
    <mergeCell ref="A1:J1"/>
    <mergeCell ref="A2:J2"/>
    <mergeCell ref="A3:J3"/>
  </mergeCells>
  <printOptions horizontalCentered="0"/>
  <pageMargins left="0.7" right="0.7" top="0.75" bottom="0.75" header="0.3" footer="0.3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2026-10-18T04:09:11Z</dcterms:created>
  <dcterms:modified xmlns:dcterms="http://purl.org/dc/terms/" xmlns:xsi="http://www.w3.org/2001/XMLSchema-instance" xsi:type="dcterms:W3CDTF">2026-10-18T04:09:11Z</dcterms:modified>
</cp:coreProperties>
</file>