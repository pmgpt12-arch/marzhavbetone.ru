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b1-v1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D23" i="3" s="1"/>
  <c r="E22" i="3"/>
  <c r="D22" i="3" s="1"/>
  <c r="E21" i="3"/>
  <c r="F21" i="3" s="1"/>
  <c r="E20" i="3"/>
  <c r="F20" i="3" s="1"/>
  <c r="E19" i="3"/>
  <c r="D19" i="3" s="1"/>
  <c r="E18" i="3"/>
  <c r="D18" i="3" s="1"/>
  <c r="E17" i="3"/>
  <c r="F17" i="3" s="1"/>
  <c r="E16" i="3"/>
  <c r="F16" i="3" s="1"/>
  <c r="E15" i="3"/>
  <c r="D15" i="3" s="1"/>
  <c r="E14" i="3"/>
  <c r="D14" i="3" s="1"/>
  <c r="E13" i="3"/>
  <c r="F13" i="3" s="1"/>
  <c r="E12" i="3"/>
  <c r="F12" i="3" s="1"/>
  <c r="E11" i="3"/>
  <c r="D11" i="3" s="1"/>
  <c r="E10" i="3"/>
  <c r="D10" i="3" s="1"/>
  <c r="E9" i="3"/>
  <c r="F9" i="3" s="1"/>
  <c r="E8" i="3"/>
  <c r="F8" i="3" s="1"/>
  <c r="E7" i="3"/>
  <c r="D7" i="3" s="1"/>
  <c r="E6" i="3"/>
  <c r="D6" i="3" s="1"/>
  <c r="E5" i="3"/>
  <c r="F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L6" i="2"/>
  <c r="M6" i="2" s="1"/>
  <c r="B6" i="2"/>
  <c r="B23" i="1"/>
  <c r="B7" i="1"/>
  <c r="B8" i="1" s="1"/>
  <c r="F19" i="3" l="1"/>
  <c r="D20" i="3"/>
  <c r="K14" i="2"/>
  <c r="J6" i="2"/>
  <c r="G24" i="2"/>
  <c r="F24" i="2"/>
  <c r="K24" i="2"/>
  <c r="F14" i="2"/>
  <c r="J24" i="2"/>
  <c r="G6" i="2"/>
  <c r="J10" i="2"/>
  <c r="F20" i="2"/>
  <c r="H24" i="2"/>
  <c r="D12" i="3"/>
  <c r="G20" i="2"/>
  <c r="G10" i="2"/>
  <c r="F6" i="2"/>
  <c r="H10" i="2"/>
  <c r="G16" i="2"/>
  <c r="F11" i="3"/>
  <c r="K8" i="2"/>
  <c r="F12" i="2"/>
  <c r="J14" i="2"/>
  <c r="K18" i="2"/>
  <c r="K20" i="2"/>
  <c r="D8" i="3"/>
  <c r="D16" i="3"/>
  <c r="K12" i="2"/>
  <c r="G22" i="2"/>
  <c r="G14" i="2"/>
  <c r="F18" i="2"/>
  <c r="J20" i="2"/>
  <c r="F7" i="3"/>
  <c r="F15" i="3"/>
  <c r="B26" i="1"/>
  <c r="A5" i="2" s="1"/>
  <c r="F8" i="2"/>
  <c r="G12" i="2"/>
  <c r="K6" i="2"/>
  <c r="H7" i="2"/>
  <c r="G8" i="2"/>
  <c r="F10" i="2"/>
  <c r="K10" i="2"/>
  <c r="H12" i="2"/>
  <c r="J16" i="2"/>
  <c r="G18" i="2"/>
  <c r="J22" i="2"/>
  <c r="J8" i="2"/>
  <c r="J12" i="2"/>
  <c r="F16" i="2"/>
  <c r="K16" i="2"/>
  <c r="J18" i="2"/>
  <c r="F22" i="2"/>
  <c r="K22" i="2"/>
  <c r="D5" i="3"/>
  <c r="D9" i="3"/>
  <c r="D13" i="3"/>
  <c r="D17" i="3"/>
  <c r="D21" i="3"/>
  <c r="F23" i="3"/>
  <c r="D24" i="3"/>
  <c r="H16" i="2"/>
  <c r="H22" i="2"/>
  <c r="B5" i="2"/>
  <c r="H9" i="2"/>
  <c r="H11" i="2"/>
  <c r="H13" i="2"/>
  <c r="H15" i="2"/>
  <c r="H17" i="2"/>
  <c r="H19" i="2"/>
  <c r="H21" i="2"/>
  <c r="H23" i="2"/>
  <c r="I7" i="2"/>
  <c r="M7" i="2"/>
  <c r="I9" i="2"/>
  <c r="M13" i="2"/>
  <c r="I15" i="2"/>
  <c r="M15" i="2"/>
  <c r="I19" i="2"/>
  <c r="M19" i="2"/>
  <c r="I23" i="2"/>
  <c r="M23" i="2"/>
  <c r="F6" i="3"/>
  <c r="F10" i="3"/>
  <c r="F14" i="3"/>
  <c r="F18" i="3"/>
  <c r="F22" i="3"/>
  <c r="F7" i="2"/>
  <c r="J7" i="2"/>
  <c r="F9" i="2"/>
  <c r="J9" i="2"/>
  <c r="F11" i="2"/>
  <c r="J11" i="2"/>
  <c r="F13" i="2"/>
  <c r="J13" i="2"/>
  <c r="F15" i="2"/>
  <c r="J15" i="2"/>
  <c r="F17" i="2"/>
  <c r="J17" i="2"/>
  <c r="H20" i="2"/>
  <c r="F23" i="2"/>
  <c r="J23" i="2"/>
  <c r="M9" i="2"/>
  <c r="I11" i="2"/>
  <c r="M11" i="2"/>
  <c r="I13" i="2"/>
  <c r="I17" i="2"/>
  <c r="M17" i="2"/>
  <c r="I21" i="2"/>
  <c r="M21" i="2"/>
  <c r="H6" i="2"/>
  <c r="H8" i="2"/>
  <c r="H14" i="2"/>
  <c r="H18" i="2"/>
  <c r="F19" i="2"/>
  <c r="J19" i="2"/>
  <c r="F21" i="2"/>
  <c r="J21" i="2"/>
  <c r="I6" i="2"/>
  <c r="G7" i="2"/>
  <c r="I8" i="2"/>
  <c r="G9" i="2"/>
  <c r="I10" i="2"/>
  <c r="G11" i="2"/>
  <c r="I12" i="2"/>
  <c r="G13" i="2"/>
  <c r="I14" i="2"/>
  <c r="G15" i="2"/>
  <c r="I16" i="2"/>
  <c r="G17" i="2"/>
  <c r="I18" i="2"/>
  <c r="G19" i="2"/>
  <c r="I20" i="2"/>
  <c r="G21" i="2"/>
  <c r="I22" i="2"/>
  <c r="G23" i="2"/>
  <c r="I24" i="2"/>
  <c r="B19" i="1" l="1"/>
  <c r="C24" i="2" s="1"/>
  <c r="C5" i="2" l="1"/>
  <c r="L5" i="2" s="1"/>
  <c r="M5" i="2" s="1"/>
  <c r="C19" i="2"/>
  <c r="C21" i="2"/>
  <c r="C6" i="2"/>
  <c r="C7" i="2"/>
  <c r="C13" i="2"/>
  <c r="C14" i="2"/>
  <c r="B21" i="1"/>
  <c r="B20" i="1" s="1"/>
  <c r="C20" i="2"/>
  <c r="C9" i="2"/>
  <c r="C15" i="2"/>
  <c r="C16" i="2"/>
  <c r="C23" i="2"/>
  <c r="B22" i="1"/>
  <c r="C11" i="2"/>
  <c r="C18" i="2"/>
  <c r="C10" i="2"/>
  <c r="C12" i="2"/>
  <c r="C22" i="2"/>
  <c r="C17" i="2"/>
  <c r="C8" i="2"/>
  <c r="B27" i="1" l="1"/>
  <c r="B24" i="1" s="1"/>
  <c r="B12" i="1" s="1"/>
  <c r="B25" i="1" s="1"/>
  <c r="I5" i="2"/>
  <c r="F5" i="2"/>
  <c r="K5" i="2" s="1"/>
  <c r="J5" i="2"/>
  <c r="G5" i="2"/>
  <c r="H5" i="2"/>
</calcChain>
</file>

<file path=xl/sharedStrings.xml><?xml version="1.0" encoding="utf-8"?>
<sst xmlns="http://schemas.openxmlformats.org/spreadsheetml/2006/main" count="130" uniqueCount="112">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</sst>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/>
      <c r="C4" s="3" t="s">
        <v>8</v>
      </c>
    </row>
    <row r="5" spans="1:3" ht="24.95" customHeight="1" x14ac:dyDescent="0.25">
      <c r="A5" s="3" t="s">
        <v>9</v>
      </c>
      <c r="B5" s="14"/>
      <c r="C5" s="3" t="s">
        <v>10</v>
      </c>
    </row>
    <row r="6" spans="1:3" ht="24.95" customHeight="1" x14ac:dyDescent="0.25">
      <c r="A6" s="3" t="s">
        <v>11</v>
      </c>
      <c r="B6" s="13"/>
      <c r="C6" s="3" t="s">
        <v>12</v>
      </c>
    </row>
    <row r="7" spans="1:3" ht="24.95" customHeight="1" x14ac:dyDescent="0.25">
      <c r="A7" s="3" t="s">
        <v>13</v>
      </c>
      <c r="B7" s="5" t="str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ПОДТВЕРДИТЕ ДАТУ</v>
      </c>
      <c r="C7" s="3" t="s">
        <v>14</v>
      </c>
    </row>
    <row r="8" spans="1:3" ht="24.95" customHeight="1" x14ac:dyDescent="0.25">
      <c r="A8" s="3" t="s">
        <v>15</v>
      </c>
      <c r="B8" s="4" t="str">
        <f>IF(AND(ISNUMBER(B7),IF(ISNUMBER(B9),AND(B9&gt;=DATE(2016,8,1),B9&lt;=DATE(2100,12,31),MOD(B9,1)=0),FALSE)),MAX(0,B9-B7),"ПРОВЕРЬТЕ ДАТЫ")</f>
        <v>ПРОВЕРЬТЕ ДАТЫ</v>
      </c>
      <c r="C8" s="3" t="s">
        <v>16</v>
      </c>
    </row>
    <row r="9" spans="1:3" ht="24.95" customHeight="1" x14ac:dyDescent="0.25">
      <c r="A9" s="3" t="s">
        <v>17</v>
      </c>
      <c r="B9" s="13"/>
      <c r="C9" s="3" t="s">
        <v>18</v>
      </c>
    </row>
    <row r="10" spans="1:3" ht="24.95" customHeight="1" x14ac:dyDescent="0.25">
      <c r="A10" s="3" t="s">
        <v>19</v>
      </c>
      <c r="B10" s="15"/>
      <c r="C10" s="3" t="s">
        <v>20</v>
      </c>
    </row>
    <row r="11" spans="1:3" ht="24.95" customHeight="1" x14ac:dyDescent="0.25">
      <c r="A11" s="3" t="s">
        <v>21</v>
      </c>
      <c r="B11" s="16"/>
      <c r="C11" s="3" t="s">
        <v>22</v>
      </c>
    </row>
    <row r="12" spans="1:3" ht="24.95" customHeight="1" x14ac:dyDescent="0.25">
      <c r="A12" s="3" t="s">
        <v>23</v>
      </c>
      <c r="B12" s="6" t="str">
        <f>IF(B13="проценты 395",B23,IF(B13="пеня",B24,IF(B13="без санкций",0,"ВЫБЕРИТЕ РЕЖИМ")))</f>
        <v>ВЫБЕРИТЕ РЕЖИМ</v>
      </c>
      <c r="C12" s="3" t="s">
        <v>24</v>
      </c>
    </row>
    <row r="13" spans="1:3" ht="24.95" customHeight="1" x14ac:dyDescent="0.25">
      <c r="A13" s="3" t="s">
        <v>25</v>
      </c>
      <c r="B13" s="14"/>
      <c r="C13" s="3" t="s">
        <v>26</v>
      </c>
    </row>
    <row r="14" spans="1:3" ht="24.95" customHeight="1" x14ac:dyDescent="0.25">
      <c r="A14" s="3" t="s">
        <v>27</v>
      </c>
      <c r="B14" s="14"/>
      <c r="C14" s="3" t="s">
        <v>28</v>
      </c>
    </row>
    <row r="15" spans="1:3" ht="24.95" customHeight="1" x14ac:dyDescent="0.25">
      <c r="A15" s="3" t="s">
        <v>29</v>
      </c>
      <c r="B15" s="15"/>
      <c r="C15" s="3" t="s">
        <v>30</v>
      </c>
    </row>
    <row r="16" spans="1:3" ht="24.95" customHeight="1" x14ac:dyDescent="0.25">
      <c r="A16" s="3" t="s">
        <v>31</v>
      </c>
      <c r="B16" s="14"/>
      <c r="C16" s="3" t="s">
        <v>32</v>
      </c>
    </row>
    <row r="17" spans="1:3" ht="24.95" customHeight="1" x14ac:dyDescent="0.25">
      <c r="A17" s="3" t="s">
        <v>33</v>
      </c>
      <c r="B17" s="14"/>
      <c r="C17" s="3" t="s">
        <v>34</v>
      </c>
    </row>
    <row r="18" spans="1:3" ht="24.95" customHeight="1" x14ac:dyDescent="0.25">
      <c r="A18" s="3" t="s">
        <v>35</v>
      </c>
      <c r="B18" s="13"/>
      <c r="C18" s="3" t="s">
        <v>36</v>
      </c>
    </row>
    <row r="19" spans="1:3" ht="24.95" customHeight="1" x14ac:dyDescent="0.25">
      <c r="A19" s="3" t="s">
        <v>37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ПРОВЕРЬТЕ СРОК</v>
      </c>
      <c r="C19" s="3" t="s">
        <v>38</v>
      </c>
    </row>
    <row r="20" spans="1:3" ht="24.95" customHeight="1" x14ac:dyDescent="0.25">
      <c r="A20" s="3" t="s">
        <v>39</v>
      </c>
      <c r="B20" s="8" t="str">
        <f>IF(B19&lt;&gt;"ГОТОВО",B19,IF(B21&gt;B11,"ОПЛАТЫ БОЛЬШЕ ДОЛГА",ROUND(B11-B21,2)))</f>
        <v>ПРОВЕРЬТЕ СРОК</v>
      </c>
      <c r="C20" s="3" t="s">
        <v>40</v>
      </c>
    </row>
    <row r="21" spans="1:3" ht="24.95" customHeight="1" x14ac:dyDescent="0.25">
      <c r="A21" s="3" t="s">
        <v>41</v>
      </c>
      <c r="B21" s="8" t="str">
        <f>IF(B19&lt;&gt;"ГОТОВО",B19,SUMIFS(Платежи!$B$5:$B$24,Платежи!$A$5:$A$24,"&lt;="&amp;B9))</f>
        <v>ПРОВЕРЬТЕ СРОК</v>
      </c>
      <c r="C21" s="3" t="s">
        <v>42</v>
      </c>
    </row>
    <row r="22" spans="1:3" ht="24.95" customHeight="1" x14ac:dyDescent="0.25">
      <c r="A22" s="3" t="s">
        <v>43</v>
      </c>
      <c r="B22" s="8" t="str">
        <f>IF(B19&lt;&gt;"ГОТОВО",B19,SUMIFS(Платежи!$B$5:$B$24,Платежи!$A$5:$A$24,"&gt;"&amp;B9))</f>
        <v>ПРОВЕРЬТЕ СРОК</v>
      </c>
      <c r="C22" s="3" t="s">
        <v>44</v>
      </c>
    </row>
    <row r="23" spans="1:3" ht="24.95" customHeight="1" x14ac:dyDescent="0.25">
      <c r="A23" s="3" t="s">
        <v>45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46</v>
      </c>
    </row>
    <row r="24" spans="1:3" ht="24.95" customHeight="1" x14ac:dyDescent="0.25">
      <c r="A24" s="3" t="s">
        <v>47</v>
      </c>
      <c r="B24" s="8" t="str">
        <f>IF(B13&lt;&gt;"пеня","НЕ ВЫБРАНО",IF(B27="ГОТОВО",ROUND(SUM(Периоды!$K$5:$K$24),2),IF(B27="ПРОСРОЧКИ НЕТ",0,B27)))</f>
        <v>НЕ ВЫБРАНО</v>
      </c>
      <c r="C24" s="3" t="s">
        <v>48</v>
      </c>
    </row>
    <row r="25" spans="1:3" ht="24.95" customHeight="1" x14ac:dyDescent="0.25">
      <c r="A25" s="3" t="s">
        <v>49</v>
      </c>
      <c r="B25" s="8" t="str">
        <f>IF(AND(ISNUMBER(B20),ISNUMBER(B12)),SUM(B20,B12),"ПРОВЕРЬТЕ ВВОД")</f>
        <v>ПРОВЕРЬТЕ ВВОД</v>
      </c>
      <c r="C25" s="3" t="s">
        <v>50</v>
      </c>
    </row>
    <row r="26" spans="1:3" ht="24.95" customHeight="1" x14ac:dyDescent="0.25">
      <c r="A26" s="3" t="s">
        <v>51</v>
      </c>
      <c r="B26" s="9" t="str">
        <f>IF(ISNUMBER(B7),B7+1,"ПРОВЕРЬТЕ СРОК")</f>
        <v>ПРОВЕРЬТЕ СРОК</v>
      </c>
      <c r="C26" s="3" t="s">
        <v>52</v>
      </c>
    </row>
    <row r="27" spans="1:3" ht="24.95" customHeight="1" x14ac:dyDescent="0.25">
      <c r="A27" s="3" t="s">
        <v>53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ПРОВЕРЬТЕ СРОК</v>
      </c>
      <c r="C27" s="3" t="s">
        <v>54</v>
      </c>
    </row>
    <row r="28" spans="1:3" ht="24.95" customHeight="1" x14ac:dyDescent="0.25">
      <c r="A28" s="3" t="s">
        <v>55</v>
      </c>
      <c r="B28" s="3"/>
      <c r="C28" s="3" t="s">
        <v>56</v>
      </c>
    </row>
    <row r="29" spans="1:3" ht="24.95" customHeight="1" x14ac:dyDescent="0.25">
      <c r="A29" s="3" t="s">
        <v>57</v>
      </c>
      <c r="B29" s="3"/>
      <c r="C29" s="3" t="s">
        <v>58</v>
      </c>
    </row>
    <row r="30" spans="1:3" ht="24.95" customHeight="1" x14ac:dyDescent="0.25">
      <c r="A30" s="10" t="s">
        <v>59</v>
      </c>
      <c r="B30" s="10"/>
      <c r="C30" s="10" t="s">
        <v>60</v>
      </c>
    </row>
    <row r="31" spans="1:3" ht="24.95" customHeight="1" x14ac:dyDescent="0.25">
      <c r="A31" s="10" t="s">
        <v>61</v>
      </c>
      <c r="B31" s="10"/>
      <c r="C31" s="10" t="s">
        <v>62</v>
      </c>
    </row>
    <row r="32" spans="1:3" ht="24.95" customHeight="1" x14ac:dyDescent="0.25">
      <c r="A32" s="10" t="s">
        <v>63</v>
      </c>
      <c r="B32" s="10"/>
      <c r="C32" s="10" t="s">
        <v>64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77</v>
      </c>
      <c r="K4" s="2" t="s">
        <v>78</v>
      </c>
      <c r="L4" s="2" t="s">
        <v>79</v>
      </c>
      <c r="M4" s="2" t="s">
        <v>80</v>
      </c>
    </row>
    <row r="5" spans="1:13" ht="27.95" customHeight="1" x14ac:dyDescent="0.25">
      <c r="A5" s="11" t="str">
        <f>IF(ISNUMBER('Калькулятор срока оплаты'!$B$26),'Калькулятор срока оплаты'!$B$26,"")</f>
        <v/>
      </c>
      <c r="B5" s="11" t="str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/>
      </c>
      <c r="C5" s="12" t="str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/>
      </c>
      <c r="D5" s="17"/>
      <c r="E5" s="17"/>
      <c r="F5" s="1" t="str">
        <f t="shared" ref="F5:F24" si="0">IF(L5="ГОТОВО",B5-A5+1,"")</f>
        <v/>
      </c>
      <c r="G5" s="1" t="str">
        <f t="shared" ref="G5:G24" si="1">IF(L5="ГОТОВО",MIN(B5,DATE(YEAR(A5)+1,1,1)-1)-A5+1,"")</f>
        <v/>
      </c>
      <c r="H5" s="1" t="str">
        <f t="shared" ref="H5:H24" si="2">IF(L5="ГОТОВО",MAX(0,YEAR(B5)-YEAR(A5)-1),"")</f>
        <v/>
      </c>
      <c r="I5" s="1" t="str">
        <f t="shared" ref="I5:I24" si="3">IF(L5="ГОТОВО",IF(YEAR(B5)&gt;YEAR(A5),B5-DATE(YEAR(B5),1,1)+1,0),"")</f>
        <v/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 t="str">
        <f>IF(AND(L5="ГОТОВО",'Калькулятор срока оплаты'!$B$13="пеня"),C5*IF(E5="",'Калькулятор срока оплаты'!$B$10,E5)*F5,"")</f>
        <v/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/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86</v>
      </c>
      <c r="B1" s="1"/>
      <c r="C1" s="1"/>
      <c r="D1" s="1"/>
      <c r="E1" s="1"/>
      <c r="F1" s="1"/>
    </row>
    <row r="2" spans="1:6" ht="21.95" customHeight="1" x14ac:dyDescent="0.25">
      <c r="A2" s="1" t="s">
        <v>87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88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80</v>
      </c>
    </row>
    <row r="5" spans="1:6" ht="27.95" customHeight="1" x14ac:dyDescent="0.25">
      <c r="A5" s="18"/>
      <c r="B5" s="19"/>
      <c r="C5" s="14"/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/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/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93</v>
      </c>
      <c r="B26" s="1"/>
      <c r="C26" s="1"/>
      <c r="D26" s="1"/>
      <c r="E26" s="1"/>
      <c r="F26" s="1"/>
    </row>
    <row r="27" spans="1:6" ht="21.95" customHeight="1" x14ac:dyDescent="0.25">
      <c r="A27" s="1" t="s">
        <v>94</v>
      </c>
      <c r="B27" s="1"/>
      <c r="C27" s="1"/>
      <c r="D27" s="1"/>
      <c r="E27" s="1"/>
      <c r="F27" s="1"/>
    </row>
    <row r="28" spans="1:6" ht="21.95" customHeight="1" x14ac:dyDescent="0.25">
      <c r="A28" s="1" t="s">
        <v>95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96</v>
      </c>
      <c r="B1" s="1"/>
      <c r="C1" s="1"/>
    </row>
    <row r="2" spans="1:3" ht="21.95" customHeight="1" x14ac:dyDescent="0.25">
      <c r="A2" s="1" t="s">
        <v>97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98</v>
      </c>
      <c r="B4" s="2" t="s">
        <v>99</v>
      </c>
      <c r="C4" s="2" t="s">
        <v>100</v>
      </c>
    </row>
    <row r="5" spans="1:3" ht="27.95" customHeight="1" x14ac:dyDescent="0.25">
      <c r="A5" s="11">
        <v>46023</v>
      </c>
      <c r="B5" s="1" t="s">
        <v>101</v>
      </c>
      <c r="C5" s="3" t="s">
        <v>102</v>
      </c>
    </row>
    <row r="6" spans="1:3" ht="27.95" customHeight="1" x14ac:dyDescent="0.25">
      <c r="A6" s="11">
        <v>46024</v>
      </c>
      <c r="B6" s="1" t="s">
        <v>101</v>
      </c>
      <c r="C6" s="3" t="s">
        <v>103</v>
      </c>
    </row>
    <row r="7" spans="1:3" ht="27.95" customHeight="1" x14ac:dyDescent="0.25">
      <c r="A7" s="11">
        <v>46025</v>
      </c>
      <c r="B7" s="1" t="s">
        <v>101</v>
      </c>
      <c r="C7" s="3" t="s">
        <v>104</v>
      </c>
    </row>
    <row r="8" spans="1:3" ht="27.95" customHeight="1" x14ac:dyDescent="0.25">
      <c r="A8" s="11">
        <v>46026</v>
      </c>
      <c r="B8" s="1" t="s">
        <v>101</v>
      </c>
      <c r="C8" s="3" t="s">
        <v>105</v>
      </c>
    </row>
    <row r="9" spans="1:3" ht="27.95" customHeight="1" x14ac:dyDescent="0.25">
      <c r="A9" s="11">
        <v>46027</v>
      </c>
      <c r="B9" s="1" t="s">
        <v>101</v>
      </c>
      <c r="C9" s="3" t="s">
        <v>106</v>
      </c>
    </row>
    <row r="10" spans="1:3" ht="27.95" customHeight="1" x14ac:dyDescent="0.25">
      <c r="A10" s="11">
        <v>46028</v>
      </c>
      <c r="B10" s="1" t="s">
        <v>101</v>
      </c>
      <c r="C10" s="3"/>
    </row>
    <row r="11" spans="1:3" ht="27.95" customHeight="1" x14ac:dyDescent="0.25">
      <c r="A11" s="11">
        <v>46029</v>
      </c>
      <c r="B11" s="1" t="s">
        <v>101</v>
      </c>
      <c r="C11" s="3" t="s">
        <v>107</v>
      </c>
    </row>
    <row r="12" spans="1:3" ht="27.95" customHeight="1" x14ac:dyDescent="0.25">
      <c r="A12" s="11">
        <v>46030</v>
      </c>
      <c r="B12" s="1" t="s">
        <v>101</v>
      </c>
      <c r="C12" s="3"/>
    </row>
    <row r="13" spans="1:3" ht="27.95" customHeight="1" x14ac:dyDescent="0.25">
      <c r="A13" s="11">
        <v>46031</v>
      </c>
      <c r="B13" s="1" t="s">
        <v>103</v>
      </c>
      <c r="C13" s="3" t="s">
        <v>108</v>
      </c>
    </row>
    <row r="14" spans="1:3" ht="27.95" customHeight="1" x14ac:dyDescent="0.25">
      <c r="A14" s="11">
        <v>46076</v>
      </c>
      <c r="B14" s="1" t="s">
        <v>101</v>
      </c>
      <c r="C14" s="3"/>
    </row>
    <row r="15" spans="1:3" ht="45.95" customHeight="1" x14ac:dyDescent="0.25">
      <c r="A15" s="11">
        <v>46089</v>
      </c>
      <c r="B15" s="1" t="s">
        <v>101</v>
      </c>
      <c r="C15" s="3" t="s">
        <v>109</v>
      </c>
    </row>
    <row r="16" spans="1:3" ht="27.95" customHeight="1" x14ac:dyDescent="0.25">
      <c r="A16" s="11">
        <v>46090</v>
      </c>
      <c r="B16" s="1" t="s">
        <v>101</v>
      </c>
      <c r="C16" s="3"/>
    </row>
    <row r="17" spans="1:3" ht="27.95" customHeight="1" x14ac:dyDescent="0.25">
      <c r="A17" s="11">
        <v>46143</v>
      </c>
      <c r="B17" s="1" t="s">
        <v>101</v>
      </c>
      <c r="C17" s="3"/>
    </row>
    <row r="18" spans="1:3" ht="45.95" customHeight="1" x14ac:dyDescent="0.25">
      <c r="A18" s="11">
        <v>46151</v>
      </c>
      <c r="B18" s="1" t="s">
        <v>101</v>
      </c>
      <c r="C18" s="3" t="s">
        <v>110</v>
      </c>
    </row>
    <row r="19" spans="1:3" ht="27.95" customHeight="1" x14ac:dyDescent="0.25">
      <c r="A19" s="11">
        <v>46153</v>
      </c>
      <c r="B19" s="1" t="s">
        <v>101</v>
      </c>
      <c r="C19" s="3"/>
    </row>
    <row r="20" spans="1:3" ht="27.95" customHeight="1" x14ac:dyDescent="0.25">
      <c r="A20" s="11">
        <v>46185</v>
      </c>
      <c r="B20" s="1" t="s">
        <v>101</v>
      </c>
      <c r="C20" s="3"/>
    </row>
    <row r="21" spans="1:3" ht="45.95" customHeight="1" x14ac:dyDescent="0.25">
      <c r="A21" s="11">
        <v>46330</v>
      </c>
      <c r="B21" s="1" t="s">
        <v>101</v>
      </c>
      <c r="C21" s="3" t="s">
        <v>111</v>
      </c>
    </row>
    <row r="22" spans="1:3" ht="27.95" customHeight="1" x14ac:dyDescent="0.25">
      <c r="A22" s="11">
        <v>46387</v>
      </c>
      <c r="B22" s="1" t="s">
        <v>103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2026-10-23T04:11:32Z</cp:lastPrinted>
  <dcterms:created xsi:type="dcterms:W3CDTF">2026-10-23T04:11:33Z</dcterms:created>
  <dcterms:modified xsi:type="dcterms:W3CDTF">2026-10-23T04:11:33Z</dcterms:modified>
</cp:coreProperties>
</file>