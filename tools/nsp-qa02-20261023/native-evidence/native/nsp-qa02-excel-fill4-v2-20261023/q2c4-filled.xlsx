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qa02-excel-fill4-v2-20261023\"/>
    </mc:Choice>
  </mc:AlternateContent>
  <bookViews>
    <workbookView xWindow="0" yWindow="0" windowWidth="19710" windowHeight="6810"/>
  </bookViews>
  <sheets>
    <sheet name="Калькулятор срока оплаты" sheetId="1" r:id="rId1"/>
    <sheet name="Периоды" sheetId="2" r:id="rId2"/>
    <sheet name="Платежи" sheetId="3" r:id="rId3"/>
    <sheet name="Календарь" sheetId="4" r:id="rId4"/>
  </sheets>
  <definedNames>
    <definedName name="Print_Area" localSheetId="3">Календарь!$A$1:$C$22</definedName>
    <definedName name="Print_Area" localSheetId="0">'Калькулятор срока оплаты'!$A$1:$C$32</definedName>
    <definedName name="Print_Area" localSheetId="1">Периоды!$A$1:$M$30</definedName>
    <definedName name="Print_Area" localSheetId="2">Платежи!$A$1:$F$28</definedName>
  </definedNames>
  <calcPr calcId="162913" forceFullCalc="1"/>
</workbook>
</file>

<file path=xl/calcChain.xml><?xml version="1.0" encoding="utf-8"?>
<calcChain xmlns="http://schemas.openxmlformats.org/spreadsheetml/2006/main">
  <c r="E24" i="3" l="1"/>
  <c r="F24" i="3" s="1"/>
  <c r="E23" i="3"/>
  <c r="F23" i="3" s="1"/>
  <c r="E22" i="3"/>
  <c r="F22" i="3" s="1"/>
  <c r="E21" i="3"/>
  <c r="D21" i="3" s="1"/>
  <c r="E20" i="3"/>
  <c r="F20" i="3" s="1"/>
  <c r="E19" i="3"/>
  <c r="F19" i="3" s="1"/>
  <c r="E18" i="3"/>
  <c r="F18" i="3" s="1"/>
  <c r="E17" i="3"/>
  <c r="D17" i="3" s="1"/>
  <c r="E16" i="3"/>
  <c r="F16" i="3" s="1"/>
  <c r="E15" i="3"/>
  <c r="F15" i="3" s="1"/>
  <c r="E14" i="3"/>
  <c r="F14" i="3" s="1"/>
  <c r="E13" i="3"/>
  <c r="D13" i="3" s="1"/>
  <c r="E12" i="3"/>
  <c r="F12" i="3" s="1"/>
  <c r="E11" i="3"/>
  <c r="F11" i="3" s="1"/>
  <c r="E10" i="3"/>
  <c r="F10" i="3" s="1"/>
  <c r="E9" i="3"/>
  <c r="D9" i="3" s="1"/>
  <c r="E8" i="3"/>
  <c r="F8" i="3" s="1"/>
  <c r="E7" i="3"/>
  <c r="F7" i="3" s="1"/>
  <c r="E6" i="3"/>
  <c r="F6" i="3" s="1"/>
  <c r="E5" i="3"/>
  <c r="D5" i="3" s="1"/>
  <c r="L24" i="2"/>
  <c r="M24" i="2" s="1"/>
  <c r="B24" i="2"/>
  <c r="L23" i="2"/>
  <c r="K23" i="2" s="1"/>
  <c r="B23" i="2"/>
  <c r="L22" i="2"/>
  <c r="M22" i="2" s="1"/>
  <c r="B22" i="2"/>
  <c r="L21" i="2"/>
  <c r="K21" i="2" s="1"/>
  <c r="B21" i="2"/>
  <c r="L20" i="2"/>
  <c r="M20" i="2" s="1"/>
  <c r="B20" i="2"/>
  <c r="L19" i="2"/>
  <c r="K19" i="2" s="1"/>
  <c r="B19" i="2"/>
  <c r="L18" i="2"/>
  <c r="M18" i="2" s="1"/>
  <c r="B18" i="2"/>
  <c r="L17" i="2"/>
  <c r="J17" i="2" s="1"/>
  <c r="B17" i="2"/>
  <c r="L16" i="2"/>
  <c r="M16" i="2" s="1"/>
  <c r="B16" i="2"/>
  <c r="L15" i="2"/>
  <c r="K15" i="2" s="1"/>
  <c r="B15" i="2"/>
  <c r="L14" i="2"/>
  <c r="M14" i="2" s="1"/>
  <c r="B14" i="2"/>
  <c r="L13" i="2"/>
  <c r="K13" i="2" s="1"/>
  <c r="B13" i="2"/>
  <c r="L12" i="2"/>
  <c r="M12" i="2" s="1"/>
  <c r="B12" i="2"/>
  <c r="L11" i="2"/>
  <c r="K11" i="2" s="1"/>
  <c r="B11" i="2"/>
  <c r="L10" i="2"/>
  <c r="M10" i="2" s="1"/>
  <c r="B10" i="2"/>
  <c r="L9" i="2"/>
  <c r="K9" i="2" s="1"/>
  <c r="B9" i="2"/>
  <c r="L8" i="2"/>
  <c r="M8" i="2" s="1"/>
  <c r="B8" i="2"/>
  <c r="B7" i="2"/>
  <c r="L6" i="2"/>
  <c r="M6" i="2" s="1"/>
  <c r="B6" i="2"/>
  <c r="B23" i="1"/>
  <c r="B7" i="1"/>
  <c r="B8" i="1" s="1"/>
  <c r="J15" i="2" l="1"/>
  <c r="D7" i="3"/>
  <c r="D10" i="3"/>
  <c r="F21" i="2"/>
  <c r="F23" i="2"/>
  <c r="D19" i="3"/>
  <c r="F13" i="2"/>
  <c r="I19" i="2"/>
  <c r="D6" i="3"/>
  <c r="F19" i="2"/>
  <c r="M19" i="2"/>
  <c r="H19" i="2"/>
  <c r="J9" i="2"/>
  <c r="J21" i="2"/>
  <c r="I23" i="2"/>
  <c r="D15" i="3"/>
  <c r="D18" i="3"/>
  <c r="D22" i="3"/>
  <c r="J23" i="2"/>
  <c r="D11" i="3"/>
  <c r="D14" i="3"/>
  <c r="H21" i="2"/>
  <c r="M21" i="2"/>
  <c r="H17" i="2"/>
  <c r="J19" i="2"/>
  <c r="I21" i="2"/>
  <c r="H23" i="2"/>
  <c r="M23" i="2"/>
  <c r="F21" i="3"/>
  <c r="B26" i="1"/>
  <c r="A5" i="2" s="1"/>
  <c r="H9" i="2"/>
  <c r="J11" i="2"/>
  <c r="J13" i="2"/>
  <c r="I15" i="2"/>
  <c r="G17" i="2"/>
  <c r="K17" i="2"/>
  <c r="D23" i="3"/>
  <c r="H13" i="2"/>
  <c r="M13" i="2"/>
  <c r="F15" i="2"/>
  <c r="I17" i="2"/>
  <c r="M17" i="2"/>
  <c r="F5" i="3"/>
  <c r="F9" i="3"/>
  <c r="F13" i="3"/>
  <c r="F17" i="3"/>
  <c r="F11" i="2"/>
  <c r="F9" i="2"/>
  <c r="H11" i="2"/>
  <c r="I13" i="2"/>
  <c r="H15" i="2"/>
  <c r="M15" i="2"/>
  <c r="F17" i="2"/>
  <c r="G19" i="2"/>
  <c r="H20" i="2"/>
  <c r="G21" i="2"/>
  <c r="H22" i="2"/>
  <c r="G23" i="2"/>
  <c r="H24" i="2"/>
  <c r="H8" i="2"/>
  <c r="H10" i="2"/>
  <c r="F6" i="2"/>
  <c r="J6" i="2"/>
  <c r="F8" i="2"/>
  <c r="J8" i="2"/>
  <c r="F10" i="2"/>
  <c r="J10" i="2"/>
  <c r="F12" i="2"/>
  <c r="J12" i="2"/>
  <c r="F14" i="2"/>
  <c r="J14" i="2"/>
  <c r="F16" i="2"/>
  <c r="J16" i="2"/>
  <c r="F18" i="2"/>
  <c r="J18" i="2"/>
  <c r="F20" i="2"/>
  <c r="J20" i="2"/>
  <c r="F22" i="2"/>
  <c r="J22" i="2"/>
  <c r="F24" i="2"/>
  <c r="J24" i="2"/>
  <c r="G6" i="2"/>
  <c r="K6" i="2"/>
  <c r="G8" i="2"/>
  <c r="K8" i="2"/>
  <c r="I9" i="2"/>
  <c r="M9" i="2"/>
  <c r="G10" i="2"/>
  <c r="K10" i="2"/>
  <c r="I11" i="2"/>
  <c r="M11" i="2"/>
  <c r="G12" i="2"/>
  <c r="K12" i="2"/>
  <c r="G14" i="2"/>
  <c r="K14" i="2"/>
  <c r="G16" i="2"/>
  <c r="K16" i="2"/>
  <c r="G18" i="2"/>
  <c r="K18" i="2"/>
  <c r="G20" i="2"/>
  <c r="K20" i="2"/>
  <c r="G22" i="2"/>
  <c r="K22" i="2"/>
  <c r="G24" i="2"/>
  <c r="K24" i="2"/>
  <c r="D8" i="3"/>
  <c r="D12" i="3"/>
  <c r="D16" i="3"/>
  <c r="D20" i="3"/>
  <c r="D24" i="3"/>
  <c r="H14" i="2"/>
  <c r="H6" i="2"/>
  <c r="H12" i="2"/>
  <c r="H16" i="2"/>
  <c r="H18" i="2"/>
  <c r="I6" i="2"/>
  <c r="I8" i="2"/>
  <c r="G9" i="2"/>
  <c r="I10" i="2"/>
  <c r="G11" i="2"/>
  <c r="I12" i="2"/>
  <c r="G13" i="2"/>
  <c r="I14" i="2"/>
  <c r="G15" i="2"/>
  <c r="I16" i="2"/>
  <c r="I18" i="2"/>
  <c r="I20" i="2"/>
  <c r="I22" i="2"/>
  <c r="I24" i="2"/>
  <c r="B19" i="1" l="1"/>
  <c r="C5" i="2" s="1"/>
  <c r="B5" i="2"/>
  <c r="L5" i="2" l="1"/>
  <c r="I5" i="2" s="1"/>
  <c r="C24" i="2"/>
  <c r="L7" i="2"/>
  <c r="C9" i="2"/>
  <c r="C21" i="2"/>
  <c r="C18" i="2"/>
  <c r="B22" i="1"/>
  <c r="C19" i="2"/>
  <c r="C13" i="2"/>
  <c r="C15" i="2"/>
  <c r="C12" i="2"/>
  <c r="C7" i="2"/>
  <c r="C16" i="2"/>
  <c r="C11" i="2"/>
  <c r="C22" i="2"/>
  <c r="C6" i="2"/>
  <c r="C23" i="2"/>
  <c r="C20" i="2"/>
  <c r="C8" i="2"/>
  <c r="C17" i="2"/>
  <c r="C14" i="2"/>
  <c r="B21" i="1"/>
  <c r="B20" i="1" s="1"/>
  <c r="C10" i="2"/>
  <c r="M5" i="2"/>
  <c r="G5" i="2"/>
  <c r="H5" i="2"/>
  <c r="F5" i="2"/>
  <c r="K5" i="2" s="1"/>
  <c r="K7" i="2" l="1"/>
  <c r="G7" i="2"/>
  <c r="M7" i="2"/>
  <c r="B27" i="1" s="1"/>
  <c r="B24" i="1" s="1"/>
  <c r="B12" i="1" s="1"/>
  <c r="B25" i="1" s="1"/>
  <c r="H7" i="2"/>
  <c r="J7" i="2"/>
  <c r="F7" i="2"/>
  <c r="I7" i="2"/>
  <c r="J5" i="2"/>
</calcChain>
</file>

<file path=xl/sharedStrings.xml><?xml version="1.0" encoding="utf-8"?>
<sst xmlns="http://schemas.openxmlformats.org/spreadsheetml/2006/main" count="135" uniqueCount="115">
  <si>
    <t>Параметр</t>
  </si>
  <si>
    <t>Значение</t>
  </si>
  <si>
    <t>Как заполнить</t>
  </si>
  <si>
    <t>Дата КС-2</t>
  </si>
  <si>
    <t>Справочно. Срок определяет событие в строке 6.</t>
  </si>
  <si>
    <t>Дата КС-3</t>
  </si>
  <si>
    <t>Справочно. Не складывайте КС-2 и накопительную КС-3.</t>
  </si>
  <si>
    <t>Срок оплаты, дней</t>
  </si>
  <si>
    <t>Целое число от 0. День события не входит.</t>
  </si>
  <si>
    <t>Тип срока</t>
  </si>
  <si>
    <t>календарные</t>
  </si>
  <si>
    <t>рабочие / календарные / дата</t>
  </si>
  <si>
    <t>Дата договорного события</t>
  </si>
  <si>
    <t>Укажите подтверждённое событие, предусмотренное договором.</t>
  </si>
  <si>
    <t>Крайний день оплаты</t>
  </si>
  <si>
    <t>Перенос на рабочий день включён для календаря 2026.</t>
  </si>
  <si>
    <t>Календарных дней просрочки</t>
  </si>
  <si>
    <t>С первого дня после срока по дату расчёта включительно.</t>
  </si>
  <si>
    <t>Дата окончания расчёта</t>
  </si>
  <si>
    <t>Фиксированная дата. TODAY() не используется.</t>
  </si>
  <si>
    <t>Договорная пеня, % в день</t>
  </si>
  <si>
    <t>Введите 0,1% как 0,1%. Не годовая ставка.</t>
  </si>
  <si>
    <t>Сумма обязательства, руб.</t>
  </si>
  <si>
    <t>Основной долг до внесённых оплат, без санкций.</t>
  </si>
  <si>
    <t>Выбранная санкция, руб.</t>
  </si>
  <si>
    <t>Только один режим из строки 13.</t>
  </si>
  <si>
    <t>Режим расчёта</t>
  </si>
  <si>
    <t>395 / пеня / без санкций. Одновременного начисления нет.</t>
  </si>
  <si>
    <t>Есть неустойка за это нарушение</t>
  </si>
  <si>
    <t>да / нет / неизвестно. Учитывайте закон и договор.</t>
  </si>
  <si>
    <t>Ставка 395, % годовых</t>
  </si>
  <si>
    <t>На каждый период проверьте ставку Банка России.</t>
  </si>
  <si>
    <t>Крайняя дата проверена</t>
  </si>
  <si>
    <t>да — проверены договор, календарь и применимость ст. 193.</t>
  </si>
  <si>
    <t>Основание и ставки проверены</t>
  </si>
  <si>
    <t>да — проверены выбранная санкция, база и все её периоды.</t>
  </si>
  <si>
    <t>Крайняя дата вручную</t>
  </si>
  <si>
    <t>Для типа «дата»: окончательная дата после правовой проверки.</t>
  </si>
  <si>
    <t>Исходные данные</t>
  </si>
  <si>
    <t>Платежи: до 20 строк, только отнесённая на основной долг сумма.</t>
  </si>
  <si>
    <t>Остаток основного долга</t>
  </si>
  <si>
    <t>Оплаты по дату расчёта включительно вычитаются один раз.</t>
  </si>
  <si>
    <t>Учтено оплат</t>
  </si>
  <si>
    <t>Будущие оплаты не уменьшают текущий остаток.</t>
  </si>
  <si>
    <t>Оплаты после даты расчёта</t>
  </si>
  <si>
    <t>Показаны отдельно, в расчёт текущего периода не входят.</t>
  </si>
  <si>
    <t>Проценты по ст. 395</t>
  </si>
  <si>
    <t>В режиме пени не начисляются. Без капитализации.</t>
  </si>
  <si>
    <t>Договорная пеня</t>
  </si>
  <si>
    <t>Простая дневная пеня на остаток. Иные модели — отдельный расчёт.</t>
  </si>
  <si>
    <t>Долг и выбранная санкция</t>
  </si>
  <si>
    <t>Это две разные составляющие. Перенесите их в письмо раздельно.</t>
  </si>
  <si>
    <t>Первый день просрочки</t>
  </si>
  <si>
    <t>Следующий день после подтверждённого срока оплаты.</t>
  </si>
  <si>
    <t>Периоды и основание</t>
  </si>
  <si>
    <t>Если ошибка — числовой итог санкции не выдаётся.</t>
  </si>
  <si>
    <t>Как разделить периоды</t>
  </si>
  <si>
    <t>Новая строка: день изменения ставки или день после частичной оплаты.</t>
  </si>
  <si>
    <t>Дата фактической оплаты</t>
  </si>
  <si>
    <t>В платеже укажите дату исполнения обязательства и подтверждение банка.</t>
  </si>
  <si>
    <t>Границы модели</t>
  </si>
  <si>
    <t>Рубли, периоды с 01.08.2016, 20 оплат и 20 периодов. Особые режимы — отдельно.</t>
  </si>
  <si>
    <t>Связь</t>
  </si>
  <si>
    <t>nastoronepodryadchika@yandex.ru; тема ДЕНЬГИ, файл, лист, ячейка.</t>
  </si>
  <si>
    <t>Порядок работы</t>
  </si>
  <si>
    <t>Сначала инструкция 01, затем платежи/периоды, список 03 и письмо 04.</t>
  </si>
  <si>
    <t>Начисления по периодам</t>
  </si>
  <si>
    <t>Вводите новые начала в A6:A24 по возрастанию. D/E пусто — ставка из главного листа.</t>
  </si>
  <si>
    <t>Частичная оплата внутри строки блокирует итог: добавьте начало следующего дня. Новая ставка — с даты её действия.</t>
  </si>
  <si>
    <t>Начало</t>
  </si>
  <si>
    <t>Конец</t>
  </si>
  <si>
    <t>База, руб.</t>
  </si>
  <si>
    <t>395, % год.</t>
  </si>
  <si>
    <t>Пеня, %/день</t>
  </si>
  <si>
    <t>Дней</t>
  </si>
  <si>
    <t>Дней 1-го года</t>
  </si>
  <si>
    <t>Полных лет</t>
  </si>
  <si>
    <t>Дней посл. года</t>
  </si>
  <si>
    <t>Проценты 395, руб.</t>
  </si>
  <si>
    <t>Пеня, руб.</t>
  </si>
  <si>
    <t>Контроль периода</t>
  </si>
  <si>
    <t>Ошибок</t>
  </si>
  <si>
    <t>Годовая ставка вводится как 14%, дневная — как 0,1%. Ноль допустим; текст и отрицательная выбранная ставка блокируют итог.</t>
  </si>
  <si>
    <t>395: дни делятся на 365/366 по соответствующему календарному году; внутри периода учитываются полные промежуточные годы.</t>
  </si>
  <si>
    <t>Начисления складываются без округления по дням/строкам. Итог округляется до копеек на главном листе.</t>
  </si>
  <si>
    <t>20 периодов и 20 оплат — предел готового макета. Не вводите дополнительные строки за его пределами.</t>
  </si>
  <si>
    <t>Работает для обычного рублёвого долга без капитализации. Лимиты пени, моратории, особая база или иной день начала — отдельная модель.</t>
  </si>
  <si>
    <t>Платежи по одному обязательству</t>
  </si>
  <si>
    <t>Только суммы, отнесённые на основной долг. Подтвердите распределение платежа.</t>
  </si>
  <si>
    <t>Дата исполнения</t>
  </si>
  <si>
    <t>Основной долг, руб.</t>
  </si>
  <si>
    <t>Документ и назначение</t>
  </si>
  <si>
    <t>Учёт на дату расчёта</t>
  </si>
  <si>
    <t>Контроль ввода</t>
  </si>
  <si>
    <t>Одна операция — одна строка. Повторный платёж не вносите дважды.</t>
  </si>
  <si>
    <t>По п. 48 Пленума № 7 день оплаты входит в расчёт; база уменьшается со следующего дня.</t>
  </si>
  <si>
    <t>Для другого порядка по специальной норме или договору нужен отдельный расчёт.</t>
  </si>
  <si>
    <t>Календарь срока оплаты 2026</t>
  </si>
  <si>
    <t>Пятидневка 2026. Иной календарь — ручная дата.</t>
  </si>
  <si>
    <t>Нерабочая дата</t>
  </si>
  <si>
    <t>Основание</t>
  </si>
  <si>
    <t>Источники и условия</t>
  </si>
  <si>
    <t>ТК РФ ст. 112 и перенос</t>
  </si>
  <si>
    <t>ТК РФ ст. 112</t>
  </si>
  <si>
    <t>ПП РФ № 1466</t>
  </si>
  <si>
    <t>ГК РФ ст. 191</t>
  </si>
  <si>
    <t>ГК РФ ст. 193</t>
  </si>
  <si>
    <t>Ключевая ставка Банка России</t>
  </si>
  <si>
    <t>Автоматический срок — только внутри 2026 года.</t>
  </si>
  <si>
    <t>Для иных лет используйте проверенную конечную дату.</t>
  </si>
  <si>
    <t>Не переносите день начала просрочки автоматически на рабочий: после срока считаются календарные дни.</t>
  </si>
  <si>
    <t>В строке 16 главного листа подтвердите применимость календаря к вашему обязательству.</t>
  </si>
  <si>
    <t>Ставки не загружаются из сети. Проверяйте все даты изменений по источнику.</t>
  </si>
  <si>
    <t>пеня</t>
  </si>
  <si>
    <t>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</si>
</sst>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6" x14ac:knownFonts="1">
    <font>
      <sz val="11"/>
      <color theme="1"/>
      <name val="Calibri"/>
      <family val="2"/>
      <scheme val="minor"/>
    </font>
    <font>
      <sz val="10"/>
      <color rgb="FF252A3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252A30"/>
      <name val="Calibri"/>
      <family val="2"/>
      <scheme val="minor"/>
    </font>
    <font>
      <sz val="9"/>
      <color rgb="FF252A3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52A30"/>
      </patternFill>
    </fill>
    <fill>
      <patternFill patternType="solid">
        <fgColor rgb="FFFFF2CC"/>
      </patternFill>
    </fill>
    <fill>
      <patternFill patternType="solid">
        <fgColor rgb="FFF2F3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1" fillId="0" borderId="0" xfId="1" applyNumberFormat="1" applyFont="1" applyFill="1" applyBorder="1" applyAlignment="1">
      <alignment vertical="center"/>
    </xf>
    <xf numFmtId="0" fontId="2" fillId="2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 wrapText="1"/>
    </xf>
    <xf numFmtId="0" fontId="1" fillId="4" borderId="0" xfId="1" applyNumberFormat="1" applyFont="1" applyFill="1" applyBorder="1" applyAlignment="1">
      <alignment vertical="center" wrapText="1"/>
    </xf>
    <xf numFmtId="164" fontId="1" fillId="4" borderId="0" xfId="1" applyNumberFormat="1" applyFont="1" applyFill="1" applyBorder="1" applyAlignment="1">
      <alignment vertical="center" wrapText="1"/>
    </xf>
    <xf numFmtId="4" fontId="1" fillId="4" borderId="0" xfId="1" applyNumberFormat="1" applyFont="1" applyFill="1" applyBorder="1" applyAlignment="1">
      <alignment vertical="center" wrapText="1"/>
    </xf>
    <xf numFmtId="0" fontId="3" fillId="4" borderId="0" xfId="1" applyNumberFormat="1" applyFont="1" applyFill="1" applyBorder="1" applyAlignment="1">
      <alignment vertical="center" wrapText="1"/>
    </xf>
    <xf numFmtId="4" fontId="3" fillId="4" borderId="0" xfId="1" applyNumberFormat="1" applyFont="1" applyFill="1" applyBorder="1" applyAlignment="1">
      <alignment vertical="center" wrapText="1"/>
    </xf>
    <xf numFmtId="164" fontId="3" fillId="4" borderId="0" xfId="1" applyNumberFormat="1" applyFont="1" applyFill="1" applyBorder="1" applyAlignment="1">
      <alignment vertical="center" wrapText="1"/>
    </xf>
    <xf numFmtId="0" fontId="4" fillId="0" borderId="0" xfId="1" applyNumberFormat="1" applyFont="1" applyFill="1" applyBorder="1" applyAlignment="1">
      <alignment vertical="center" wrapText="1"/>
    </xf>
    <xf numFmtId="164" fontId="1" fillId="0" borderId="0" xfId="1" applyNumberFormat="1" applyFont="1" applyFill="1" applyBorder="1" applyAlignment="1">
      <alignment vertical="center"/>
    </xf>
    <xf numFmtId="4" fontId="1" fillId="0" borderId="0" xfId="1" applyNumberFormat="1" applyFont="1" applyFill="1" applyBorder="1" applyAlignment="1">
      <alignment vertical="center"/>
    </xf>
    <xf numFmtId="164" fontId="1" fillId="3" borderId="0" xfId="1" applyNumberFormat="1" applyFont="1" applyFill="1" applyBorder="1" applyAlignment="1" applyProtection="1">
      <alignment vertical="center" wrapText="1"/>
      <protection locked="0"/>
    </xf>
    <xf numFmtId="0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 wrapText="1"/>
      <protection locked="0"/>
    </xf>
    <xf numFmtId="4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/>
      <protection locked="0"/>
    </xf>
    <xf numFmtId="164" fontId="1" fillId="3" borderId="0" xfId="1" applyNumberFormat="1" applyFont="1" applyFill="1" applyBorder="1" applyAlignment="1" applyProtection="1">
      <alignment vertical="center"/>
      <protection locked="0"/>
    </xf>
    <xf numFmtId="4" fontId="1" fillId="3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5142/60f6af8755cda8e568604f21cd44e823c3407d8f/" TargetMode="External"/><Relationship Id="rId2" Type="http://schemas.openxmlformats.org/officeDocument/2006/relationships/hyperlink" Target="https://www.consultant.ru/document/cons_doc_LAW_515170/" TargetMode="External"/><Relationship Id="rId1" Type="http://schemas.openxmlformats.org/officeDocument/2006/relationships/hyperlink" Target="https://www.consultant.ru/document/cons_doc_LAW_34683/98ef2900507766e70ff29c0b9d8e2353ea80a1cf/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www.cbr.ru/hd_base/keyrate/" TargetMode="External"/><Relationship Id="rId4" Type="http://schemas.openxmlformats.org/officeDocument/2006/relationships/hyperlink" Target="https://www.consultant.ru/document/cons_doc_LAW_5142/8aaa310a192d916fce0327f6226a59ffe5b49b9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2A30"/>
    <pageSetUpPr autoPageBreaks="0" fitToPage="1"/>
  </sheetPr>
  <dimension ref="A1:C32"/>
  <sheetViews>
    <sheetView showGridLines="0" tabSelected="1" workbookViewId="0"/>
  </sheetViews>
  <sheetFormatPr defaultRowHeight="15" x14ac:dyDescent="0.25"/>
  <cols>
    <col min="1" max="1" width="34" customWidth="1"/>
    <col min="2" max="2" width="27" customWidth="1"/>
    <col min="3" max="3" width="54" customWidth="1"/>
  </cols>
  <sheetData>
    <row r="1" spans="1:3" ht="24.95" customHeight="1" x14ac:dyDescent="0.25">
      <c r="A1" s="2" t="s">
        <v>0</v>
      </c>
      <c r="B1" s="2" t="s">
        <v>1</v>
      </c>
      <c r="C1" s="2" t="s">
        <v>2</v>
      </c>
    </row>
    <row r="2" spans="1:3" ht="24.95" customHeight="1" x14ac:dyDescent="0.25">
      <c r="A2" s="3" t="s">
        <v>3</v>
      </c>
      <c r="B2" s="13"/>
      <c r="C2" s="3" t="s">
        <v>4</v>
      </c>
    </row>
    <row r="3" spans="1:3" ht="24.95" customHeight="1" x14ac:dyDescent="0.25">
      <c r="A3" s="3" t="s">
        <v>5</v>
      </c>
      <c r="B3" s="13"/>
      <c r="C3" s="3" t="s">
        <v>6</v>
      </c>
    </row>
    <row r="4" spans="1:3" ht="24.95" customHeight="1" x14ac:dyDescent="0.25">
      <c r="A4" s="3" t="s">
        <v>7</v>
      </c>
      <c r="B4" s="14">
        <v>2</v>
      </c>
      <c r="C4" s="3" t="s">
        <v>8</v>
      </c>
    </row>
    <row r="5" spans="1:3" ht="24.95" customHeight="1" x14ac:dyDescent="0.25">
      <c r="A5" s="3" t="s">
        <v>9</v>
      </c>
      <c r="B5" s="14" t="s">
        <v>10</v>
      </c>
      <c r="C5" s="3" t="s">
        <v>11</v>
      </c>
    </row>
    <row r="6" spans="1:3" ht="24.95" customHeight="1" x14ac:dyDescent="0.25">
      <c r="A6" s="3" t="s">
        <v>12</v>
      </c>
      <c r="B6" s="13">
        <v>46311</v>
      </c>
      <c r="C6" s="3" t="s">
        <v>13</v>
      </c>
    </row>
    <row r="7" spans="1:3" ht="24.95" customHeight="1" x14ac:dyDescent="0.25">
      <c r="A7" s="3" t="s">
        <v>14</v>
      </c>
      <c r="B7" s="5">
        <f>IF(B16&lt;&gt;"да","ПОДТВЕРДИТЕ ДАТУ",IF(B5="дата",IF(IF(ISNUMBER(B18),AND(B18&gt;=DATE(2016,8,1),B18&lt;=DATE(2100,12,31),MOD(B18,1)=0),FALSE),B18,"УКАЖИТЕ ДАТУ"),IF(AND(B5&lt;&gt;"рабочие",B5&lt;&gt;"календарные"),"ТИП СРОКА",IF(NOT(IF(ISNUMBER(B6),AND(B6&gt;=DATE(2016,8,1),B6&lt;=DATE(2100,12,31),MOD(B6,1)=0),FALSE)),"ДАТА СОБЫТИЯ",IF(NOT(IF(ISNUMBER(B4),AND(B4&gt;=0,B4&lt;=366,MOD(B4,1)=0),FALSE)),"ЦЕЛЫЕ ДНИ 0–366",IF(YEAR(B6)&lt;&gt;2026,"НУЖНА РУЧНАЯ ДАТА",IF(YEAR(WORKDAY((IF(B5="рабочие",WORKDAY(B6,B4,Календарь!$A$5:$A$22),B6+B4))-1,1,Календарь!$A$5:$A$22))&lt;&gt;2026,"НУЖНА РУЧНАЯ ДАТА",WORKDAY((IF(B5="рабочие",WORKDAY(B6,B4,Календарь!$A$5:$A$22),B6+B4))-1,1,Календарь!$A$5:$A$22))))))))</f>
        <v>46314</v>
      </c>
      <c r="C7" s="3" t="s">
        <v>15</v>
      </c>
    </row>
    <row r="8" spans="1:3" ht="24.95" customHeight="1" x14ac:dyDescent="0.25">
      <c r="A8" s="3" t="s">
        <v>16</v>
      </c>
      <c r="B8" s="4">
        <f>IF(AND(ISNUMBER(B7),IF(ISNUMBER(B9),AND(B9&gt;=DATE(2016,8,1),B9&lt;=DATE(2100,12,31),MOD(B9,1)=0),FALSE)),MAX(0,B9-B7),"ПРОВЕРЬТЕ ДАТЫ")</f>
        <v>2</v>
      </c>
      <c r="C8" s="3" t="s">
        <v>17</v>
      </c>
    </row>
    <row r="9" spans="1:3" ht="24.95" customHeight="1" x14ac:dyDescent="0.25">
      <c r="A9" s="3" t="s">
        <v>18</v>
      </c>
      <c r="B9" s="13">
        <v>46316</v>
      </c>
      <c r="C9" s="3" t="s">
        <v>19</v>
      </c>
    </row>
    <row r="10" spans="1:3" ht="24.95" customHeight="1" x14ac:dyDescent="0.25">
      <c r="A10" s="3" t="s">
        <v>20</v>
      </c>
      <c r="B10" s="15">
        <v>1E-3</v>
      </c>
      <c r="C10" s="3" t="s">
        <v>21</v>
      </c>
    </row>
    <row r="11" spans="1:3" ht="24.95" customHeight="1" x14ac:dyDescent="0.25">
      <c r="A11" s="3" t="s">
        <v>22</v>
      </c>
      <c r="B11" s="16">
        <v>100000</v>
      </c>
      <c r="C11" s="3" t="s">
        <v>23</v>
      </c>
    </row>
    <row r="12" spans="1:3" ht="24.95" customHeight="1" x14ac:dyDescent="0.25">
      <c r="A12" s="3" t="s">
        <v>24</v>
      </c>
      <c r="B12" s="6" t="str">
        <f>IF(B13="проценты 395",B23,IF(B13="пеня",B24,IF(B13="без санкций",0,"ВЫБЕРИТЕ РЕЖИМ")))</f>
        <v>ПРОВЕРЬТЕ ПЕРИОДЫ</v>
      </c>
      <c r="C12" s="3" t="s">
        <v>25</v>
      </c>
    </row>
    <row r="13" spans="1:3" ht="24.95" customHeight="1" x14ac:dyDescent="0.25">
      <c r="A13" s="3" t="s">
        <v>26</v>
      </c>
      <c r="B13" s="14" t="s">
        <v>113</v>
      </c>
      <c r="C13" s="3" t="s">
        <v>27</v>
      </c>
    </row>
    <row r="14" spans="1:3" ht="24.95" customHeight="1" x14ac:dyDescent="0.25">
      <c r="A14" s="3" t="s">
        <v>28</v>
      </c>
      <c r="B14" s="14" t="s">
        <v>114</v>
      </c>
      <c r="C14" s="3" t="s">
        <v>29</v>
      </c>
    </row>
    <row r="15" spans="1:3" ht="24.95" customHeight="1" x14ac:dyDescent="0.25">
      <c r="A15" s="3" t="s">
        <v>30</v>
      </c>
      <c r="B15" s="15"/>
      <c r="C15" s="3" t="s">
        <v>31</v>
      </c>
    </row>
    <row r="16" spans="1:3" ht="24.95" customHeight="1" x14ac:dyDescent="0.25">
      <c r="A16" s="3" t="s">
        <v>32</v>
      </c>
      <c r="B16" s="14" t="s">
        <v>114</v>
      </c>
      <c r="C16" s="3" t="s">
        <v>33</v>
      </c>
    </row>
    <row r="17" spans="1:3" ht="24.95" customHeight="1" x14ac:dyDescent="0.25">
      <c r="A17" s="3" t="s">
        <v>34</v>
      </c>
      <c r="B17" s="14" t="s">
        <v>114</v>
      </c>
      <c r="C17" s="3" t="s">
        <v>35</v>
      </c>
    </row>
    <row r="18" spans="1:3" ht="24.95" customHeight="1" x14ac:dyDescent="0.25">
      <c r="A18" s="3" t="s">
        <v>36</v>
      </c>
      <c r="B18" s="13"/>
      <c r="C18" s="3" t="s">
        <v>37</v>
      </c>
    </row>
    <row r="19" spans="1:3" ht="24.95" customHeight="1" x14ac:dyDescent="0.25">
      <c r="A19" s="3" t="s">
        <v>38</v>
      </c>
      <c r="B19" s="7" t="str">
        <f>IF(NOT(ISNUMBER(B7)),"ПРОВЕРЬТЕ СРОК",IF(NOT(IF(ISNUMBER(B9),AND(B9&gt;=DATE(2016,8,1),B9&lt;=DATE(2100,12,31),MOD(B9,1)=0),FALSE)),"ДАТА РАСЧЁТА",IF(NOT(IF(ISNUMBER(B11),AND(B11&gt;=0,ROUND(B11,2)=B11),FALSE)),"СУММА ДОЛГА",IF(SUM(Платежи!$F$5:$F$24)&gt;0,"ПРОВЕРЬТЕ ПЛАТЕЖИ","ГОТОВО"))))</f>
        <v>ГОТОВО</v>
      </c>
      <c r="C19" s="3" t="s">
        <v>39</v>
      </c>
    </row>
    <row r="20" spans="1:3" ht="24.95" customHeight="1" x14ac:dyDescent="0.25">
      <c r="A20" s="3" t="s">
        <v>40</v>
      </c>
      <c r="B20" s="8">
        <f>IF(B19&lt;&gt;"ГОТОВО",B19,IF(B21&gt;B11,"ОПЛАТЫ БОЛЬШЕ ДОЛГА",ROUND(B11-B21,2)))</f>
        <v>100000</v>
      </c>
      <c r="C20" s="3" t="s">
        <v>41</v>
      </c>
    </row>
    <row r="21" spans="1:3" ht="24.95" customHeight="1" x14ac:dyDescent="0.25">
      <c r="A21" s="3" t="s">
        <v>42</v>
      </c>
      <c r="B21" s="8">
        <f>IF(B19&lt;&gt;"ГОТОВО",B19,SUMIFS(Платежи!$B$5:$B$24,Платежи!$A$5:$A$24,"&lt;="&amp;B9))</f>
        <v>0</v>
      </c>
      <c r="C21" s="3" t="s">
        <v>43</v>
      </c>
    </row>
    <row r="22" spans="1:3" ht="24.95" customHeight="1" x14ac:dyDescent="0.25">
      <c r="A22" s="3" t="s">
        <v>44</v>
      </c>
      <c r="B22" s="8">
        <f>IF(B19&lt;&gt;"ГОТОВО",B19,SUMIFS(Платежи!$B$5:$B$24,Платежи!$A$5:$A$24,"&gt;"&amp;B9))</f>
        <v>0</v>
      </c>
      <c r="C22" s="3" t="s">
        <v>45</v>
      </c>
    </row>
    <row r="23" spans="1:3" ht="24.95" customHeight="1" x14ac:dyDescent="0.25">
      <c r="A23" s="3" t="s">
        <v>46</v>
      </c>
      <c r="B23" s="8" t="str">
        <f>IF(B13&lt;&gt;"проценты 395","НЕ ВЫБРАНО",IF(B27="ГОТОВО",ROUND(SUM(Периоды!$J$5:$J$24),2),IF(B27="ПРОСРОЧКИ НЕТ",0,B27)))</f>
        <v>НЕ ВЫБРАНО</v>
      </c>
      <c r="C23" s="3" t="s">
        <v>47</v>
      </c>
    </row>
    <row r="24" spans="1:3" ht="24.95" customHeight="1" x14ac:dyDescent="0.25">
      <c r="A24" s="3" t="s">
        <v>48</v>
      </c>
      <c r="B24" s="8" t="str">
        <f>IF(B13&lt;&gt;"пеня","НЕ ВЫБРАНО",IF(B27="ГОТОВО",ROUND(SUM(Периоды!$K$5:$K$24),2),IF(B27="ПРОСРОЧКИ НЕТ",0,B27)))</f>
        <v>ПРОВЕРЬТЕ ПЕРИОДЫ</v>
      </c>
      <c r="C24" s="3" t="s">
        <v>49</v>
      </c>
    </row>
    <row r="25" spans="1:3" ht="24.95" customHeight="1" x14ac:dyDescent="0.25">
      <c r="A25" s="3" t="s">
        <v>50</v>
      </c>
      <c r="B25" s="8" t="str">
        <f>IF(AND(ISNUMBER(B20),ISNUMBER(B12)),SUM(B20,B12),"ПРОВЕРЬТЕ ВВОД")</f>
        <v>ПРОВЕРЬТЕ ВВОД</v>
      </c>
      <c r="C25" s="3" t="s">
        <v>51</v>
      </c>
    </row>
    <row r="26" spans="1:3" ht="24.95" customHeight="1" x14ac:dyDescent="0.25">
      <c r="A26" s="3" t="s">
        <v>52</v>
      </c>
      <c r="B26" s="9">
        <f>IF(ISNUMBER(B7),B7+1,"ПРОВЕРЬТЕ СРОК")</f>
        <v>46315</v>
      </c>
      <c r="C26" s="3" t="s">
        <v>53</v>
      </c>
    </row>
    <row r="27" spans="1:3" ht="24.95" customHeight="1" x14ac:dyDescent="0.25">
      <c r="A27" s="3" t="s">
        <v>54</v>
      </c>
      <c r="B27" s="7" t="str">
        <f>IF(B19&lt;&gt;"ГОТОВО",B19,IF(AND(B13&lt;&gt;"проценты 395",B13&lt;&gt;"пеня",B13&lt;&gt;"без санкций"),"ВЫБЕРИТЕ РЕЖИМ",IF(B13="без санкций","НЕ ТРЕБУЮТСЯ",IF(B17&lt;&gt;"да","ПОДТВЕРДИТЕ ОСНОВАНИЕ",IF(OR(AND(B13="проценты 395",B14&lt;&gt;"нет"),AND(B13="пеня",B14&lt;&gt;"да")),"ПРОВЕРЬТЕ НЕУСТОЙКУ",IF(B9&lt;=B7,"ПРОСРОЧКИ НЕТ",IF(SUM(Периоды!$M$5:$M$24)&gt;0,"ПРОВЕРЬТЕ ПЕРИОДЫ",IF(SUM(Периоды!$F$5:$F$24)&lt;&gt;B8,"НЕПОЛНОЕ ПОКРЫТИЕ","ГОТОВО"))))))))</f>
        <v>ПРОВЕРЬТЕ ПЕРИОДЫ</v>
      </c>
      <c r="C27" s="3" t="s">
        <v>55</v>
      </c>
    </row>
    <row r="28" spans="1:3" ht="24.95" customHeight="1" x14ac:dyDescent="0.25">
      <c r="A28" s="3" t="s">
        <v>56</v>
      </c>
      <c r="B28" s="3"/>
      <c r="C28" s="3" t="s">
        <v>57</v>
      </c>
    </row>
    <row r="29" spans="1:3" ht="24.95" customHeight="1" x14ac:dyDescent="0.25">
      <c r="A29" s="3" t="s">
        <v>58</v>
      </c>
      <c r="B29" s="3"/>
      <c r="C29" s="3" t="s">
        <v>59</v>
      </c>
    </row>
    <row r="30" spans="1:3" ht="24.95" customHeight="1" x14ac:dyDescent="0.25">
      <c r="A30" s="10" t="s">
        <v>60</v>
      </c>
      <c r="B30" s="10"/>
      <c r="C30" s="10" t="s">
        <v>61</v>
      </c>
    </row>
    <row r="31" spans="1:3" ht="24.95" customHeight="1" x14ac:dyDescent="0.25">
      <c r="A31" s="10" t="s">
        <v>62</v>
      </c>
      <c r="B31" s="10"/>
      <c r="C31" s="10" t="s">
        <v>63</v>
      </c>
    </row>
    <row r="32" spans="1:3" ht="24.95" customHeight="1" x14ac:dyDescent="0.25">
      <c r="A32" s="10" t="s">
        <v>64</v>
      </c>
      <c r="B32" s="10"/>
      <c r="C32" s="10" t="s">
        <v>65</v>
      </c>
    </row>
  </sheetData>
  <sheetProtection sheet="1" objects="1" scenarios="1"/>
  <dataValidations count="6">
    <dataValidation type="list" sqref="B5">
      <formula1>"рабочие,календарные,дата"</formula1>
    </dataValidation>
    <dataValidation type="list" sqref="B13">
      <formula1>"проценты 395,пеня,без санкций"</formula1>
    </dataValidation>
    <dataValidation type="list" sqref="B14">
      <formula1>"да,нет,неизвестно"</formula1>
    </dataValidation>
    <dataValidation type="list" sqref="B16">
      <formula1>"да,нет"</formula1>
    </dataValidation>
    <dataValidation type="list" sqref="B17">
      <formula1>"да,нет"</formula1>
    </dataValidation>
    <dataValidation type="whole" sqref="B4">
      <formula1>0</formula1>
      <formula2>366</formula2>
    </dataValidation>
  </dataValidations>
  <printOptions horizontalCentered="1"/>
  <pageMargins left="0.25" right="0.25" top="0.3" bottom="0.3" header="0.1" footer="0.1"/>
  <pageSetup paperSize="9"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M30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2" width="15" customWidth="1"/>
    <col min="3" max="3" width="18" customWidth="1"/>
    <col min="4" max="5" width="12" customWidth="1"/>
    <col min="6" max="6" width="8" customWidth="1"/>
    <col min="7" max="7" width="10" customWidth="1"/>
    <col min="8" max="8" width="9" customWidth="1"/>
    <col min="9" max="9" width="10" customWidth="1"/>
    <col min="10" max="11" width="18" customWidth="1"/>
    <col min="12" max="12" width="32" customWidth="1"/>
    <col min="13" max="13" width="8" customWidth="1"/>
  </cols>
  <sheetData>
    <row r="1" spans="1:13" ht="21.95" customHeight="1" x14ac:dyDescent="0.25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1.95" customHeight="1" x14ac:dyDescent="0.25">
      <c r="A2" s="1" t="s">
        <v>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1.95" customHeight="1" x14ac:dyDescent="0.25">
      <c r="A3" s="1" t="s">
        <v>68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48" customHeight="1" x14ac:dyDescent="0.25">
      <c r="A4" s="2" t="s">
        <v>69</v>
      </c>
      <c r="B4" s="2" t="s">
        <v>70</v>
      </c>
      <c r="C4" s="2" t="s">
        <v>71</v>
      </c>
      <c r="D4" s="2" t="s">
        <v>72</v>
      </c>
      <c r="E4" s="2" t="s">
        <v>73</v>
      </c>
      <c r="F4" s="2" t="s">
        <v>74</v>
      </c>
      <c r="G4" s="2" t="s">
        <v>75</v>
      </c>
      <c r="H4" s="2" t="s">
        <v>76</v>
      </c>
      <c r="I4" s="2" t="s">
        <v>77</v>
      </c>
      <c r="J4" s="2" t="s">
        <v>78</v>
      </c>
      <c r="K4" s="2" t="s">
        <v>79</v>
      </c>
      <c r="L4" s="2" t="s">
        <v>80</v>
      </c>
      <c r="M4" s="2" t="s">
        <v>81</v>
      </c>
    </row>
    <row r="5" spans="1:13" ht="27.95" customHeight="1" x14ac:dyDescent="0.25">
      <c r="A5" s="11">
        <f>IF(ISNUMBER('Калькулятор срока оплаты'!$B$26),'Калькулятор срока оплаты'!$B$26,"")</f>
        <v>46315</v>
      </c>
      <c r="B5" s="11">
        <f>IF(AND(IF(ISNUMBER(A5),AND(A5&gt;=DATE(2016,8,1),A5&lt;=DATE(2100,12,31),MOD(A5,1)=0),FALSE),IF(ISNUMBER('Калькулятор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оплаты'!$B$9,1)=0),FALSE)),IF(ISNUMBER(A6),MIN(A6-1,'Калькулятор срока оплаты'!$B$9),'Калькулятор срока оплаты'!$B$9),"")</f>
        <v>46316</v>
      </c>
      <c r="C5" s="12">
        <f>IF(AND(IF(ISNUMBER(A5),AND(A5&gt;=DATE(2016,8,1),A5&lt;=DATE(2100,12,31),MOD(A5,1)=0),FALSE),'Калькулятор срока оплаты'!$B$19="ГОТОВО"),'Калькулятор срока оплаты'!$B$11-SUMIFS(Платежи!$B$5:$B$24,Платежи!$A$5:$A$24,"&lt;"&amp;A5),"")</f>
        <v>100000</v>
      </c>
      <c r="D5" s="17"/>
      <c r="E5" s="17"/>
      <c r="F5" s="1">
        <f t="shared" ref="F5:F24" si="0">IF(L5="ГОТОВО",B5-A5+1,"")</f>
        <v>2</v>
      </c>
      <c r="G5" s="1">
        <f t="shared" ref="G5:G24" si="1">IF(L5="ГОТОВО",MIN(B5,DATE(YEAR(A5)+1,1,1)-1)-A5+1,"")</f>
        <v>2</v>
      </c>
      <c r="H5" s="1">
        <f t="shared" ref="H5:H24" si="2">IF(L5="ГОТОВО",MAX(0,YEAR(B5)-YEAR(A5)-1),"")</f>
        <v>0</v>
      </c>
      <c r="I5" s="1">
        <f t="shared" ref="I5:I24" si="3">IF(L5="ГОТОВО",IF(YEAR(B5)&gt;YEAR(A5),B5-DATE(YEAR(B5),1,1)+1,0),"")</f>
        <v>0</v>
      </c>
      <c r="J5" s="12" t="str">
        <f>IF(AND(L5="ГОТОВО",'Калькулятор срока оплаты'!$B$13="проценты 395"),C5*IF(D5="",'Калькулятор срока оплаты'!$B$15,D5)*(G5/(DATE(YEAR(A5)+1,1,1)-DATE(YEAR(A5),1,1))+H5+I5/(DATE(YEAR(B5)+1,1,1)-DATE(YEAR(B5),1,1))),"")</f>
        <v/>
      </c>
      <c r="K5" s="12">
        <f>IF(AND(L5="ГОТОВО",'Калькулятор срока оплаты'!$B$13="пеня"),C5*IF(E5="",'Калькулятор срока оплаты'!$B$10,E5)*F5,"")</f>
        <v>200</v>
      </c>
      <c r="L5" s="3" t="str">
        <f>IF(AND(A5="",D5="",E5=""),"",IF(NOT(IF(ISNUMBER(A5),AND(A5&gt;=DATE(2016,8,1),A5&lt;=DATE(2100,12,31),MOD(A5,1)=0),FALSE)),"ОШИБКА: дата",IF('Калькулятор срока оплаты'!$B$19&lt;&gt;"ГОТОВО","ОШИБКА: входные данные",IF(A5&gt;'Калькулятор срока оплаты'!$B$9,"НЕ УЧТЁН",IF(A5&lt;'Калькулятор срока оплаты'!$B$26,"ОШИБКА: начало до просрочки",IF(B5&lt;A5,"ОШИБКА: границы",IF(C5&lt;0,"ОШИБКА: переплата",IF(COUNTIFS(Платежи!$A$5:$A$24,"&gt;="&amp;A5,Платежи!$A$5:$A$24,"&lt;"&amp;B5)&gt;0,"ОШИБКА: разделите после оплаты",IF(AND('Калькулятор срока оплаты'!$B$13="проценты 395",NOT(IF(ISNUMBER(IF(D5="",'Калькулятор срока оплаты'!$B$15,D5)),IF(D5="",'Калькулятор срока оплаты'!$B$15,D5)&gt;=0,FALSE))),"ОШИБКА: ставка 395",IF(AND('Калькулятор срока оплаты'!$B$13="пеня",NOT(IF(ISNUMBER(IF(E5="",'Калькулятор срока оплаты'!$B$10,E5)),IF(E5="",'Калькулятор срока оплаты'!$B$10,E5)&gt;=0,FALSE))),"ОШИБКА: ставка пени","ГОТОВО"))))))))))</f>
        <v>ГОТОВО</v>
      </c>
      <c r="M5" s="1">
        <f t="shared" ref="M5:M24" si="4">IF(OR(L5="",L5="ГОТОВО",L5="НЕ УЧТЁН"),0,1)</f>
        <v>0</v>
      </c>
    </row>
    <row r="6" spans="1:13" ht="27.95" customHeight="1" x14ac:dyDescent="0.25">
      <c r="A6" s="18"/>
      <c r="B6" s="11" t="str">
        <f>IF(AND(IF(ISNUMBER(A6),AND(A6&gt;=DATE(2016,8,1),A6&lt;=DATE(2100,12,31),MOD(A6,1)=0),FALSE),IF(ISNUMBER('Калькулятор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оплаты'!$B$9,1)=0),FALSE)),IF(ISNUMBER(A7),MIN(A7-1,'Калькулятор срока оплаты'!$B$9),'Калькулятор срока оплаты'!$B$9),"")</f>
        <v/>
      </c>
      <c r="C6" s="12" t="str">
        <f>IF(AND(IF(ISNUMBER(A6),AND(A6&gt;=DATE(2016,8,1),A6&lt;=DATE(2100,12,31),MOD(A6,1)=0),FALSE),'Калькулятор срока оплаты'!$B$19="ГОТОВО"),'Калькулятор срока оплаты'!$B$11-SUMIFS(Платежи!$B$5:$B$24,Платежи!$A$5:$A$24,"&lt;"&amp;A6),"")</f>
        <v/>
      </c>
      <c r="D6" s="17"/>
      <c r="E6" s="17"/>
      <c r="F6" s="1" t="str">
        <f t="shared" si="0"/>
        <v/>
      </c>
      <c r="G6" s="1" t="str">
        <f t="shared" si="1"/>
        <v/>
      </c>
      <c r="H6" s="1" t="str">
        <f t="shared" si="2"/>
        <v/>
      </c>
      <c r="I6" s="1" t="str">
        <f t="shared" si="3"/>
        <v/>
      </c>
      <c r="J6" s="12" t="str">
        <f>IF(AND(L6="ГОТОВО",'Калькулятор срока оплаты'!$B$13="проценты 395"),C6*IF(D6="",'Калькулятор срока оплаты'!$B$15,D6)*(G6/(DATE(YEAR(A6)+1,1,1)-DATE(YEAR(A6),1,1))+H6+I6/(DATE(YEAR(B6)+1,1,1)-DATE(YEAR(B6),1,1))),"")</f>
        <v/>
      </c>
      <c r="K6" s="12" t="str">
        <f>IF(AND(L6="ГОТОВО",'Калькулятор срока оплаты'!$B$13="пеня"),C6*IF(E6="",'Калькулятор срока оплаты'!$B$10,E6)*F6,"")</f>
        <v/>
      </c>
      <c r="L6" s="3" t="str">
        <f>IF(AND(A6="",D6="",E6=""),"",IF(NOT(IF(ISNUMBER(A6),AND(A6&gt;=DATE(2016,8,1),A6&lt;=DATE(2100,12,31),MOD(A6,1)=0),FALSE)),"ОШИБКА: дата",IF('Калькулятор срока оплаты'!$B$19&lt;&gt;"ГОТОВО","ОШИБКА: входные данные",IF(A6&gt;'Калькулятор срока оплаты'!$B$9,"НЕ УЧТЁН",IF(A6&lt;'Калькулятор срока оплаты'!$B$26,"ОШИБКА: начало до просрочки",IF(NOT(ISNUMBER(A5)),"ОШИБКА: пропуск строки",IF(A6&lt;=A5,"ОШИБКА: порядок",IF(B6&lt;A6,"ОШИБКА: границы",IF(C6&lt;0,"ОШИБКА: переплата",IF(COUNTIFS(Платежи!$A$5:$A$24,"&gt;="&amp;A6,Платежи!$A$5:$A$24,"&lt;"&amp;B6)&gt;0,"ОШИБКА: разделите после оплаты",IF(AND('Калькулятор срока оплаты'!$B$13="проценты 395",NOT(IF(ISNUMBER(IF(D6="",'Калькулятор срока оплаты'!$B$15,D6)),IF(D6="",'Калькулятор срока оплаты'!$B$15,D6)&gt;=0,FALSE))),"ОШИБКА: ставка 395",IF(AND('Калькулятор срока оплаты'!$B$13="пеня",NOT(IF(ISNUMBER(IF(E6="",'Калькулятор срока оплаты'!$B$10,E6)),IF(E6="",'Калькулятор срока оплаты'!$B$10,E6)&gt;=0,FALSE))),"ОШИБКА: ставка пени","ГОТОВО"))))))))))))</f>
        <v/>
      </c>
      <c r="M6" s="1">
        <f t="shared" si="4"/>
        <v>0</v>
      </c>
    </row>
    <row r="7" spans="1:13" ht="27.95" customHeight="1" x14ac:dyDescent="0.25">
      <c r="A7" s="18">
        <v>46316</v>
      </c>
      <c r="B7" s="11">
        <f>IF(AND(IF(ISNUMBER(A7),AND(A7&gt;=DATE(2016,8,1),A7&lt;=DATE(2100,12,31),MOD(A7,1)=0),FALSE),IF(ISNUMBER('Калькулятор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оплаты'!$B$9,1)=0),FALSE)),IF(ISNUMBER(A8),MIN(A8-1,'Калькулятор срока оплаты'!$B$9),'Калькулятор срока оплаты'!$B$9),"")</f>
        <v>46316</v>
      </c>
      <c r="C7" s="12">
        <f>IF(AND(IF(ISNUMBER(A7),AND(A7&gt;=DATE(2016,8,1),A7&lt;=DATE(2100,12,31),MOD(A7,1)=0),FALSE),'Калькулятор срока оплаты'!$B$19="ГОТОВО"),'Калькулятор срока оплаты'!$B$11-SUMIFS(Платежи!$B$5:$B$24,Платежи!$A$5:$A$24,"&lt;"&amp;A7),"")</f>
        <v>100000</v>
      </c>
      <c r="D7" s="17"/>
      <c r="E7" s="17"/>
      <c r="F7" s="1" t="str">
        <f t="shared" si="0"/>
        <v/>
      </c>
      <c r="G7" s="1" t="str">
        <f t="shared" si="1"/>
        <v/>
      </c>
      <c r="H7" s="1" t="str">
        <f t="shared" si="2"/>
        <v/>
      </c>
      <c r="I7" s="1" t="str">
        <f t="shared" si="3"/>
        <v/>
      </c>
      <c r="J7" s="12" t="str">
        <f>IF(AND(L7="ГОТОВО",'Калькулятор срока оплаты'!$B$13="проценты 395"),C7*IF(D7="",'Калькулятор срока оплаты'!$B$15,D7)*(G7/(DATE(YEAR(A7)+1,1,1)-DATE(YEAR(A7),1,1))+H7+I7/(DATE(YEAR(B7)+1,1,1)-DATE(YEAR(B7),1,1))),"")</f>
        <v/>
      </c>
      <c r="K7" s="12" t="str">
        <f>IF(AND(L7="ГОТОВО",'Калькулятор срока оплаты'!$B$13="пеня"),C7*IF(E7="",'Калькулятор срока оплаты'!$B$10,E7)*F7,"")</f>
        <v/>
      </c>
      <c r="L7" s="3" t="str">
        <f>IF(AND(A7="",D7="",E7=""),"",IF(NOT(IF(ISNUMBER(A7),AND(A7&gt;=DATE(2016,8,1),A7&lt;=DATE(2100,12,31),MOD(A7,1)=0),FALSE)),"ОШИБКА: дата",IF('Калькулятор срока оплаты'!$B$19&lt;&gt;"ГОТОВО","ОШИБКА: входные данные",IF(A7&gt;'Калькулятор срока оплаты'!$B$9,"НЕ УЧТЁН",IF(A7&lt;'Калькулятор срока оплаты'!$B$26,"ОШИБКА: начало до просрочки",IF(NOT(ISNUMBER(A6)),"ОШИБКА: пропуск строки",IF(A7&lt;=A6,"ОШИБКА: порядок",IF(B7&lt;A7,"ОШИБКА: границы",IF(C7&lt;0,"ОШИБКА: переплата",IF(COUNTIFS(Платежи!$A$5:$A$24,"&gt;="&amp;A7,Платежи!$A$5:$A$24,"&lt;"&amp;B7)&gt;0,"ОШИБКА: разделите после оплаты",IF(AND('Калькулятор срока оплаты'!$B$13="проценты 395",NOT(IF(ISNUMBER(IF(D7="",'Калькулятор срока оплаты'!$B$15,D7)),IF(D7="",'Калькулятор срока оплаты'!$B$15,D7)&gt;=0,FALSE))),"ОШИБКА: ставка 395",IF(AND('Калькулятор срока оплаты'!$B$13="пеня",NOT(IF(ISNUMBER(IF(E7="",'Калькулятор срока оплаты'!$B$10,E7)),IF(E7="",'Калькулятор срока оплаты'!$B$10,E7)&gt;=0,FALSE))),"ОШИБКА: ставка пени","ГОТОВО"))))))))))))</f>
        <v>ОШИБКА: пропуск строки</v>
      </c>
      <c r="M7" s="1">
        <f t="shared" si="4"/>
        <v>1</v>
      </c>
    </row>
    <row r="8" spans="1:13" ht="27.95" customHeight="1" x14ac:dyDescent="0.25">
      <c r="A8" s="18"/>
      <c r="B8" s="11" t="str">
        <f>IF(AND(IF(ISNUMBER(A8),AND(A8&gt;=DATE(2016,8,1),A8&lt;=DATE(2100,12,31),MOD(A8,1)=0),FALSE),IF(ISNUMBER('Калькулятор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оплаты'!$B$9,1)=0),FALSE)),IF(ISNUMBER(A9),MIN(A9-1,'Калькулятор срока оплаты'!$B$9),'Калькулятор срока оплаты'!$B$9),"")</f>
        <v/>
      </c>
      <c r="C8" s="12" t="str">
        <f>IF(AND(IF(ISNUMBER(A8),AND(A8&gt;=DATE(2016,8,1),A8&lt;=DATE(2100,12,31),MOD(A8,1)=0),FALSE),'Калькулятор срока оплаты'!$B$19="ГОТОВО"),'Калькулятор срока оплаты'!$B$11-SUMIFS(Платежи!$B$5:$B$24,Платежи!$A$5:$A$24,"&lt;"&amp;A8),"")</f>
        <v/>
      </c>
      <c r="D8" s="17"/>
      <c r="E8" s="17"/>
      <c r="F8" s="1" t="str">
        <f t="shared" si="0"/>
        <v/>
      </c>
      <c r="G8" s="1" t="str">
        <f t="shared" si="1"/>
        <v/>
      </c>
      <c r="H8" s="1" t="str">
        <f t="shared" si="2"/>
        <v/>
      </c>
      <c r="I8" s="1" t="str">
        <f t="shared" si="3"/>
        <v/>
      </c>
      <c r="J8" s="12" t="str">
        <f>IF(AND(L8="ГОТОВО",'Калькулятор срока оплаты'!$B$13="проценты 395"),C8*IF(D8="",'Калькулятор срока оплаты'!$B$15,D8)*(G8/(DATE(YEAR(A8)+1,1,1)-DATE(YEAR(A8),1,1))+H8+I8/(DATE(YEAR(B8)+1,1,1)-DATE(YEAR(B8),1,1))),"")</f>
        <v/>
      </c>
      <c r="K8" s="12" t="str">
        <f>IF(AND(L8="ГОТОВО",'Калькулятор срока оплаты'!$B$13="пеня"),C8*IF(E8="",'Калькулятор срока оплаты'!$B$10,E8)*F8,"")</f>
        <v/>
      </c>
      <c r="L8" s="3" t="str">
        <f>IF(AND(A8="",D8="",E8=""),"",IF(NOT(IF(ISNUMBER(A8),AND(A8&gt;=DATE(2016,8,1),A8&lt;=DATE(2100,12,31),MOD(A8,1)=0),FALSE)),"ОШИБКА: дата",IF('Калькулятор срока оплаты'!$B$19&lt;&gt;"ГОТОВО","ОШИБКА: входные данные",IF(A8&gt;'Калькулятор срока оплаты'!$B$9,"НЕ УЧТЁН",IF(A8&lt;'Калькулятор срока оплаты'!$B$26,"ОШИБКА: начало до просрочки",IF(NOT(ISNUMBER(A7)),"ОШИБКА: пропуск строки",IF(A8&lt;=A7,"ОШИБКА: порядок",IF(B8&lt;A8,"ОШИБКА: границы",IF(C8&lt;0,"ОШИБКА: переплата",IF(COUNTIFS(Платежи!$A$5:$A$24,"&gt;="&amp;A8,Платежи!$A$5:$A$24,"&lt;"&amp;B8)&gt;0,"ОШИБКА: разделите после оплаты",IF(AND('Калькулятор срока оплаты'!$B$13="проценты 395",NOT(IF(ISNUMBER(IF(D8="",'Калькулятор срока оплаты'!$B$15,D8)),IF(D8="",'Калькулятор срока оплаты'!$B$15,D8)&gt;=0,FALSE))),"ОШИБКА: ставка 395",IF(AND('Калькулятор срока оплаты'!$B$13="пеня",NOT(IF(ISNUMBER(IF(E8="",'Калькулятор срока оплаты'!$B$10,E8)),IF(E8="",'Калькулятор срока оплаты'!$B$10,E8)&gt;=0,FALSE))),"ОШИБКА: ставка пени","ГОТОВО"))))))))))))</f>
        <v/>
      </c>
      <c r="M8" s="1">
        <f t="shared" si="4"/>
        <v>0</v>
      </c>
    </row>
    <row r="9" spans="1:13" ht="27.95" customHeight="1" x14ac:dyDescent="0.25">
      <c r="A9" s="18"/>
      <c r="B9" s="11" t="str">
        <f>IF(AND(IF(ISNUMBER(A9),AND(A9&gt;=DATE(2016,8,1),A9&lt;=DATE(2100,12,31),MOD(A9,1)=0),FALSE),IF(ISNUMBER('Калькулятор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оплаты'!$B$9,1)=0),FALSE)),IF(ISNUMBER(A10),MIN(A10-1,'Калькулятор срока оплаты'!$B$9),'Калькулятор срока оплаты'!$B$9),"")</f>
        <v/>
      </c>
      <c r="C9" s="12" t="str">
        <f>IF(AND(IF(ISNUMBER(A9),AND(A9&gt;=DATE(2016,8,1),A9&lt;=DATE(2100,12,31),MOD(A9,1)=0),FALSE),'Калькулятор срока оплаты'!$B$19="ГОТОВО"),'Калькулятор срока оплаты'!$B$11-SUMIFS(Платежи!$B$5:$B$24,Платежи!$A$5:$A$24,"&lt;"&amp;A9),"")</f>
        <v/>
      </c>
      <c r="D9" s="17"/>
      <c r="E9" s="17"/>
      <c r="F9" s="1" t="str">
        <f t="shared" si="0"/>
        <v/>
      </c>
      <c r="G9" s="1" t="str">
        <f t="shared" si="1"/>
        <v/>
      </c>
      <c r="H9" s="1" t="str">
        <f t="shared" si="2"/>
        <v/>
      </c>
      <c r="I9" s="1" t="str">
        <f t="shared" si="3"/>
        <v/>
      </c>
      <c r="J9" s="12" t="str">
        <f>IF(AND(L9="ГОТОВО",'Калькулятор срока оплаты'!$B$13="проценты 395"),C9*IF(D9="",'Калькулятор срока оплаты'!$B$15,D9)*(G9/(DATE(YEAR(A9)+1,1,1)-DATE(YEAR(A9),1,1))+H9+I9/(DATE(YEAR(B9)+1,1,1)-DATE(YEAR(B9),1,1))),"")</f>
        <v/>
      </c>
      <c r="K9" s="12" t="str">
        <f>IF(AND(L9="ГОТОВО",'Калькулятор срока оплаты'!$B$13="пеня"),C9*IF(E9="",'Калькулятор срока оплаты'!$B$10,E9)*F9,"")</f>
        <v/>
      </c>
      <c r="L9" s="3" t="str">
        <f>IF(AND(A9="",D9="",E9=""),"",IF(NOT(IF(ISNUMBER(A9),AND(A9&gt;=DATE(2016,8,1),A9&lt;=DATE(2100,12,31),MOD(A9,1)=0),FALSE)),"ОШИБКА: дата",IF('Калькулятор срока оплаты'!$B$19&lt;&gt;"ГОТОВО","ОШИБКА: входные данные",IF(A9&gt;'Калькулятор срока оплаты'!$B$9,"НЕ УЧТЁН",IF(A9&lt;'Калькулятор срока оплаты'!$B$26,"ОШИБКА: начало до просрочки",IF(NOT(ISNUMBER(A8)),"ОШИБКА: пропуск строки",IF(A9&lt;=A8,"ОШИБКА: порядок",IF(B9&lt;A9,"ОШИБКА: границы",IF(C9&lt;0,"ОШИБКА: переплата",IF(COUNTIFS(Платежи!$A$5:$A$24,"&gt;="&amp;A9,Платежи!$A$5:$A$24,"&lt;"&amp;B9)&gt;0,"ОШИБКА: разделите после оплаты",IF(AND('Калькулятор срока оплаты'!$B$13="проценты 395",NOT(IF(ISNUMBER(IF(D9="",'Калькулятор срока оплаты'!$B$15,D9)),IF(D9="",'Калькулятор срока оплаты'!$B$15,D9)&gt;=0,FALSE))),"ОШИБКА: ставка 395",IF(AND('Калькулятор срока оплаты'!$B$13="пеня",NOT(IF(ISNUMBER(IF(E9="",'Калькулятор срока оплаты'!$B$10,E9)),IF(E9="",'Калькулятор срока оплаты'!$B$10,E9)&gt;=0,FALSE))),"ОШИБКА: ставка пени","ГОТОВО"))))))))))))</f>
        <v/>
      </c>
      <c r="M9" s="1">
        <f t="shared" si="4"/>
        <v>0</v>
      </c>
    </row>
    <row r="10" spans="1:13" ht="27.95" customHeight="1" x14ac:dyDescent="0.25">
      <c r="A10" s="18"/>
      <c r="B10" s="11" t="str">
        <f>IF(AND(IF(ISNUMBER(A10),AND(A10&gt;=DATE(2016,8,1),A10&lt;=DATE(2100,12,31),MOD(A10,1)=0),FALSE),IF(ISNUMBER('Калькулятор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оплаты'!$B$9,1)=0),FALSE)),IF(ISNUMBER(A11),MIN(A11-1,'Калькулятор срока оплаты'!$B$9),'Калькулятор срока оплаты'!$B$9),"")</f>
        <v/>
      </c>
      <c r="C10" s="12" t="str">
        <f>IF(AND(IF(ISNUMBER(A10),AND(A10&gt;=DATE(2016,8,1),A10&lt;=DATE(2100,12,31),MOD(A10,1)=0),FALSE),'Калькулятор срока оплаты'!$B$19="ГОТОВО"),'Калькулятор срока оплаты'!$B$11-SUMIFS(Платежи!$B$5:$B$24,Платежи!$A$5:$A$24,"&lt;"&amp;A10),"")</f>
        <v/>
      </c>
      <c r="D10" s="17"/>
      <c r="E10" s="17"/>
      <c r="F10" s="1" t="str">
        <f t="shared" si="0"/>
        <v/>
      </c>
      <c r="G10" s="1" t="str">
        <f t="shared" si="1"/>
        <v/>
      </c>
      <c r="H10" s="1" t="str">
        <f t="shared" si="2"/>
        <v/>
      </c>
      <c r="I10" s="1" t="str">
        <f t="shared" si="3"/>
        <v/>
      </c>
      <c r="J10" s="12" t="str">
        <f>IF(AND(L10="ГОТОВО",'Калькулятор срока оплаты'!$B$13="проценты 395"),C10*IF(D10="",'Калькулятор срока оплаты'!$B$15,D10)*(G10/(DATE(YEAR(A10)+1,1,1)-DATE(YEAR(A10),1,1))+H10+I10/(DATE(YEAR(B10)+1,1,1)-DATE(YEAR(B10),1,1))),"")</f>
        <v/>
      </c>
      <c r="K10" s="12" t="str">
        <f>IF(AND(L10="ГОТОВО",'Калькулятор срока оплаты'!$B$13="пеня"),C10*IF(E10="",'Калькулятор срока оплаты'!$B$10,E10)*F10,"")</f>
        <v/>
      </c>
      <c r="L10" s="3" t="str">
        <f>IF(AND(A10="",D10="",E10=""),"",IF(NOT(IF(ISNUMBER(A10),AND(A10&gt;=DATE(2016,8,1),A10&lt;=DATE(2100,12,31),MOD(A10,1)=0),FALSE)),"ОШИБКА: дата",IF('Калькулятор срока оплаты'!$B$19&lt;&gt;"ГОТОВО","ОШИБКА: входные данные",IF(A10&gt;'Калькулятор срока оплаты'!$B$9,"НЕ УЧТЁН",IF(A10&lt;'Калькулятор срока оплаты'!$B$26,"ОШИБКА: начало до просрочки",IF(NOT(ISNUMBER(A9)),"ОШИБКА: пропуск строки",IF(A10&lt;=A9,"ОШИБКА: порядок",IF(B10&lt;A10,"ОШИБКА: границы",IF(C10&lt;0,"ОШИБКА: переплата",IF(COUNTIFS(Платежи!$A$5:$A$24,"&gt;="&amp;A10,Платежи!$A$5:$A$24,"&lt;"&amp;B10)&gt;0,"ОШИБКА: разделите после оплаты",IF(AND('Калькулятор срока оплаты'!$B$13="проценты 395",NOT(IF(ISNUMBER(IF(D10="",'Калькулятор срока оплаты'!$B$15,D10)),IF(D10="",'Калькулятор срока оплаты'!$B$15,D10)&gt;=0,FALSE))),"ОШИБКА: ставка 395",IF(AND('Калькулятор срока оплаты'!$B$13="пеня",NOT(IF(ISNUMBER(IF(E10="",'Калькулятор срока оплаты'!$B$10,E10)),IF(E10="",'Калькулятор срока оплаты'!$B$10,E10)&gt;=0,FALSE))),"ОШИБКА: ставка пени","ГОТОВО"))))))))))))</f>
        <v/>
      </c>
      <c r="M10" s="1">
        <f t="shared" si="4"/>
        <v>0</v>
      </c>
    </row>
    <row r="11" spans="1:13" ht="27.95" customHeight="1" x14ac:dyDescent="0.25">
      <c r="A11" s="18"/>
      <c r="B11" s="11" t="str">
        <f>IF(AND(IF(ISNUMBER(A11),AND(A11&gt;=DATE(2016,8,1),A11&lt;=DATE(2100,12,31),MOD(A11,1)=0),FALSE),IF(ISNUMBER('Калькулятор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оплаты'!$B$9,1)=0),FALSE)),IF(ISNUMBER(A12),MIN(A12-1,'Калькулятор срока оплаты'!$B$9),'Калькулятор срока оплаты'!$B$9),"")</f>
        <v/>
      </c>
      <c r="C11" s="12" t="str">
        <f>IF(AND(IF(ISNUMBER(A11),AND(A11&gt;=DATE(2016,8,1),A11&lt;=DATE(2100,12,31),MOD(A11,1)=0),FALSE),'Калькулятор срока оплаты'!$B$19="ГОТОВО"),'Калькулятор срока оплаты'!$B$11-SUMIFS(Платежи!$B$5:$B$24,Платежи!$A$5:$A$24,"&lt;"&amp;A11),"")</f>
        <v/>
      </c>
      <c r="D11" s="17"/>
      <c r="E11" s="17"/>
      <c r="F11" s="1" t="str">
        <f t="shared" si="0"/>
        <v/>
      </c>
      <c r="G11" s="1" t="str">
        <f t="shared" si="1"/>
        <v/>
      </c>
      <c r="H11" s="1" t="str">
        <f t="shared" si="2"/>
        <v/>
      </c>
      <c r="I11" s="1" t="str">
        <f t="shared" si="3"/>
        <v/>
      </c>
      <c r="J11" s="12" t="str">
        <f>IF(AND(L11="ГОТОВО",'Калькулятор срока оплаты'!$B$13="проценты 395"),C11*IF(D11="",'Калькулятор срока оплаты'!$B$15,D11)*(G11/(DATE(YEAR(A11)+1,1,1)-DATE(YEAR(A11),1,1))+H11+I11/(DATE(YEAR(B11)+1,1,1)-DATE(YEAR(B11),1,1))),"")</f>
        <v/>
      </c>
      <c r="K11" s="12" t="str">
        <f>IF(AND(L11="ГОТОВО",'Калькулятор срока оплаты'!$B$13="пеня"),C11*IF(E11="",'Калькулятор срока оплаты'!$B$10,E11)*F11,"")</f>
        <v/>
      </c>
      <c r="L11" s="3" t="str">
        <f>IF(AND(A11="",D11="",E11=""),"",IF(NOT(IF(ISNUMBER(A11),AND(A11&gt;=DATE(2016,8,1),A11&lt;=DATE(2100,12,31),MOD(A11,1)=0),FALSE)),"ОШИБКА: дата",IF('Калькулятор срока оплаты'!$B$19&lt;&gt;"ГОТОВО","ОШИБКА: входные данные",IF(A11&gt;'Калькулятор срока оплаты'!$B$9,"НЕ УЧТЁН",IF(A11&lt;'Калькулятор срока оплаты'!$B$26,"ОШИБКА: начало до просрочки",IF(NOT(ISNUMBER(A10)),"ОШИБКА: пропуск строки",IF(A11&lt;=A10,"ОШИБКА: порядок",IF(B11&lt;A11,"ОШИБКА: границы",IF(C11&lt;0,"ОШИБКА: переплата",IF(COUNTIFS(Платежи!$A$5:$A$24,"&gt;="&amp;A11,Платежи!$A$5:$A$24,"&lt;"&amp;B11)&gt;0,"ОШИБКА: разделите после оплаты",IF(AND('Калькулятор срока оплаты'!$B$13="проценты 395",NOT(IF(ISNUMBER(IF(D11="",'Калькулятор срока оплаты'!$B$15,D11)),IF(D11="",'Калькулятор срока оплаты'!$B$15,D11)&gt;=0,FALSE))),"ОШИБКА: ставка 395",IF(AND('Калькулятор срока оплаты'!$B$13="пеня",NOT(IF(ISNUMBER(IF(E11="",'Калькулятор срока оплаты'!$B$10,E11)),IF(E11="",'Калькулятор срока оплаты'!$B$10,E11)&gt;=0,FALSE))),"ОШИБКА: ставка пени","ГОТОВО"))))))))))))</f>
        <v/>
      </c>
      <c r="M11" s="1">
        <f t="shared" si="4"/>
        <v>0</v>
      </c>
    </row>
    <row r="12" spans="1:13" ht="27.95" customHeight="1" x14ac:dyDescent="0.25">
      <c r="A12" s="18"/>
      <c r="B12" s="11" t="str">
        <f>IF(AND(IF(ISNUMBER(A12),AND(A12&gt;=DATE(2016,8,1),A12&lt;=DATE(2100,12,31),MOD(A12,1)=0),FALSE),IF(ISNUMBER('Калькулятор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оплаты'!$B$9,1)=0),FALSE)),IF(ISNUMBER(A13),MIN(A13-1,'Калькулятор срока оплаты'!$B$9),'Калькулятор срока оплаты'!$B$9),"")</f>
        <v/>
      </c>
      <c r="C12" s="12" t="str">
        <f>IF(AND(IF(ISNUMBER(A12),AND(A12&gt;=DATE(2016,8,1),A12&lt;=DATE(2100,12,31),MOD(A12,1)=0),FALSE),'Калькулятор срока оплаты'!$B$19="ГОТОВО"),'Калькулятор срока оплаты'!$B$11-SUMIFS(Платежи!$B$5:$B$24,Платежи!$A$5:$A$24,"&lt;"&amp;A12),"")</f>
        <v/>
      </c>
      <c r="D12" s="17"/>
      <c r="E12" s="17"/>
      <c r="F12" s="1" t="str">
        <f t="shared" si="0"/>
        <v/>
      </c>
      <c r="G12" s="1" t="str">
        <f t="shared" si="1"/>
        <v/>
      </c>
      <c r="H12" s="1" t="str">
        <f t="shared" si="2"/>
        <v/>
      </c>
      <c r="I12" s="1" t="str">
        <f t="shared" si="3"/>
        <v/>
      </c>
      <c r="J12" s="12" t="str">
        <f>IF(AND(L12="ГОТОВО",'Калькулятор срока оплаты'!$B$13="проценты 395"),C12*IF(D12="",'Калькулятор срока оплаты'!$B$15,D12)*(G12/(DATE(YEAR(A12)+1,1,1)-DATE(YEAR(A12),1,1))+H12+I12/(DATE(YEAR(B12)+1,1,1)-DATE(YEAR(B12),1,1))),"")</f>
        <v/>
      </c>
      <c r="K12" s="12" t="str">
        <f>IF(AND(L12="ГОТОВО",'Калькулятор срока оплаты'!$B$13="пеня"),C12*IF(E12="",'Калькулятор срока оплаты'!$B$10,E12)*F12,"")</f>
        <v/>
      </c>
      <c r="L12" s="3" t="str">
        <f>IF(AND(A12="",D12="",E12=""),"",IF(NOT(IF(ISNUMBER(A12),AND(A12&gt;=DATE(2016,8,1),A12&lt;=DATE(2100,12,31),MOD(A12,1)=0),FALSE)),"ОШИБКА: дата",IF('Калькулятор срока оплаты'!$B$19&lt;&gt;"ГОТОВО","ОШИБКА: входные данные",IF(A12&gt;'Калькулятор срока оплаты'!$B$9,"НЕ УЧТЁН",IF(A12&lt;'Калькулятор срока оплаты'!$B$26,"ОШИБКА: начало до просрочки",IF(NOT(ISNUMBER(A11)),"ОШИБКА: пропуск строки",IF(A12&lt;=A11,"ОШИБКА: порядок",IF(B12&lt;A12,"ОШИБКА: границы",IF(C12&lt;0,"ОШИБКА: переплата",IF(COUNTIFS(Платежи!$A$5:$A$24,"&gt;="&amp;A12,Платежи!$A$5:$A$24,"&lt;"&amp;B12)&gt;0,"ОШИБКА: разделите после оплаты",IF(AND('Калькулятор срока оплаты'!$B$13="проценты 395",NOT(IF(ISNUMBER(IF(D12="",'Калькулятор срока оплаты'!$B$15,D12)),IF(D12="",'Калькулятор срока оплаты'!$B$15,D12)&gt;=0,FALSE))),"ОШИБКА: ставка 395",IF(AND('Калькулятор срока оплаты'!$B$13="пеня",NOT(IF(ISNUMBER(IF(E12="",'Калькулятор срока оплаты'!$B$10,E12)),IF(E12="",'Калькулятор срока оплаты'!$B$10,E12)&gt;=0,FALSE))),"ОШИБКА: ставка пени","ГОТОВО"))))))))))))</f>
        <v/>
      </c>
      <c r="M12" s="1">
        <f t="shared" si="4"/>
        <v>0</v>
      </c>
    </row>
    <row r="13" spans="1:13" ht="27.95" customHeight="1" x14ac:dyDescent="0.25">
      <c r="A13" s="18"/>
      <c r="B13" s="11" t="str">
        <f>IF(AND(IF(ISNUMBER(A13),AND(A13&gt;=DATE(2016,8,1),A13&lt;=DATE(2100,12,31),MOD(A13,1)=0),FALSE),IF(ISNUMBER('Калькулятор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оплаты'!$B$9,1)=0),FALSE)),IF(ISNUMBER(A14),MIN(A14-1,'Калькулятор срока оплаты'!$B$9),'Калькулятор срока оплаты'!$B$9),"")</f>
        <v/>
      </c>
      <c r="C13" s="12" t="str">
        <f>IF(AND(IF(ISNUMBER(A13),AND(A13&gt;=DATE(2016,8,1),A13&lt;=DATE(2100,12,31),MOD(A13,1)=0),FALSE),'Калькулятор срока оплаты'!$B$19="ГОТОВО"),'Калькулятор срока оплаты'!$B$11-SUMIFS(Платежи!$B$5:$B$24,Платежи!$A$5:$A$24,"&lt;"&amp;A13),"")</f>
        <v/>
      </c>
      <c r="D13" s="17"/>
      <c r="E13" s="17"/>
      <c r="F13" s="1" t="str">
        <f t="shared" si="0"/>
        <v/>
      </c>
      <c r="G13" s="1" t="str">
        <f t="shared" si="1"/>
        <v/>
      </c>
      <c r="H13" s="1" t="str">
        <f t="shared" si="2"/>
        <v/>
      </c>
      <c r="I13" s="1" t="str">
        <f t="shared" si="3"/>
        <v/>
      </c>
      <c r="J13" s="12" t="str">
        <f>IF(AND(L13="ГОТОВО",'Калькулятор срока оплаты'!$B$13="проценты 395"),C13*IF(D13="",'Калькулятор срока оплаты'!$B$15,D13)*(G13/(DATE(YEAR(A13)+1,1,1)-DATE(YEAR(A13),1,1))+H13+I13/(DATE(YEAR(B13)+1,1,1)-DATE(YEAR(B13),1,1))),"")</f>
        <v/>
      </c>
      <c r="K13" s="12" t="str">
        <f>IF(AND(L13="ГОТОВО",'Калькулятор срока оплаты'!$B$13="пеня"),C13*IF(E13="",'Калькулятор срока оплаты'!$B$10,E13)*F13,"")</f>
        <v/>
      </c>
      <c r="L13" s="3" t="str">
        <f>IF(AND(A13="",D13="",E13=""),"",IF(NOT(IF(ISNUMBER(A13),AND(A13&gt;=DATE(2016,8,1),A13&lt;=DATE(2100,12,31),MOD(A13,1)=0),FALSE)),"ОШИБКА: дата",IF('Калькулятор срока оплаты'!$B$19&lt;&gt;"ГОТОВО","ОШИБКА: входные данные",IF(A13&gt;'Калькулятор срока оплаты'!$B$9,"НЕ УЧТЁН",IF(A13&lt;'Калькулятор срока оплаты'!$B$26,"ОШИБКА: начало до просрочки",IF(NOT(ISNUMBER(A12)),"ОШИБКА: пропуск строки",IF(A13&lt;=A12,"ОШИБКА: порядок",IF(B13&lt;A13,"ОШИБКА: границы",IF(C13&lt;0,"ОШИБКА: переплата",IF(COUNTIFS(Платежи!$A$5:$A$24,"&gt;="&amp;A13,Платежи!$A$5:$A$24,"&lt;"&amp;B13)&gt;0,"ОШИБКА: разделите после оплаты",IF(AND('Калькулятор срока оплаты'!$B$13="проценты 395",NOT(IF(ISNUMBER(IF(D13="",'Калькулятор срока оплаты'!$B$15,D13)),IF(D13="",'Калькулятор срока оплаты'!$B$15,D13)&gt;=0,FALSE))),"ОШИБКА: ставка 395",IF(AND('Калькулятор срока оплаты'!$B$13="пеня",NOT(IF(ISNUMBER(IF(E13="",'Калькулятор срока оплаты'!$B$10,E13)),IF(E13="",'Калькулятор срока оплаты'!$B$10,E13)&gt;=0,FALSE))),"ОШИБКА: ставка пени","ГОТОВО"))))))))))))</f>
        <v/>
      </c>
      <c r="M13" s="1">
        <f t="shared" si="4"/>
        <v>0</v>
      </c>
    </row>
    <row r="14" spans="1:13" ht="27.95" customHeight="1" x14ac:dyDescent="0.25">
      <c r="A14" s="18"/>
      <c r="B14" s="11" t="str">
        <f>IF(AND(IF(ISNUMBER(A14),AND(A14&gt;=DATE(2016,8,1),A14&lt;=DATE(2100,12,31),MOD(A14,1)=0),FALSE),IF(ISNUMBER('Калькулятор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оплаты'!$B$9,1)=0),FALSE)),IF(ISNUMBER(A15),MIN(A15-1,'Калькулятор срока оплаты'!$B$9),'Калькулятор срока оплаты'!$B$9),"")</f>
        <v/>
      </c>
      <c r="C14" s="12" t="str">
        <f>IF(AND(IF(ISNUMBER(A14),AND(A14&gt;=DATE(2016,8,1),A14&lt;=DATE(2100,12,31),MOD(A14,1)=0),FALSE),'Калькулятор срока оплаты'!$B$19="ГОТОВО"),'Калькулятор срока оплаты'!$B$11-SUMIFS(Платежи!$B$5:$B$24,Платежи!$A$5:$A$24,"&lt;"&amp;A14),"")</f>
        <v/>
      </c>
      <c r="D14" s="17"/>
      <c r="E14" s="17"/>
      <c r="F14" s="1" t="str">
        <f t="shared" si="0"/>
        <v/>
      </c>
      <c r="G14" s="1" t="str">
        <f t="shared" si="1"/>
        <v/>
      </c>
      <c r="H14" s="1" t="str">
        <f t="shared" si="2"/>
        <v/>
      </c>
      <c r="I14" s="1" t="str">
        <f t="shared" si="3"/>
        <v/>
      </c>
      <c r="J14" s="12" t="str">
        <f>IF(AND(L14="ГОТОВО",'Калькулятор срока оплаты'!$B$13="проценты 395"),C14*IF(D14="",'Калькулятор срока оплаты'!$B$15,D14)*(G14/(DATE(YEAR(A14)+1,1,1)-DATE(YEAR(A14),1,1))+H14+I14/(DATE(YEAR(B14)+1,1,1)-DATE(YEAR(B14),1,1))),"")</f>
        <v/>
      </c>
      <c r="K14" s="12" t="str">
        <f>IF(AND(L14="ГОТОВО",'Калькулятор срока оплаты'!$B$13="пеня"),C14*IF(E14="",'Калькулятор срока оплаты'!$B$10,E14)*F14,"")</f>
        <v/>
      </c>
      <c r="L14" s="3" t="str">
        <f>IF(AND(A14="",D14="",E14=""),"",IF(NOT(IF(ISNUMBER(A14),AND(A14&gt;=DATE(2016,8,1),A14&lt;=DATE(2100,12,31),MOD(A14,1)=0),FALSE)),"ОШИБКА: дата",IF('Калькулятор срока оплаты'!$B$19&lt;&gt;"ГОТОВО","ОШИБКА: входные данные",IF(A14&gt;'Калькулятор срока оплаты'!$B$9,"НЕ УЧТЁН",IF(A14&lt;'Калькулятор срока оплаты'!$B$26,"ОШИБКА: начало до просрочки",IF(NOT(ISNUMBER(A13)),"ОШИБКА: пропуск строки",IF(A14&lt;=A13,"ОШИБКА: порядок",IF(B14&lt;A14,"ОШИБКА: границы",IF(C14&lt;0,"ОШИБКА: переплата",IF(COUNTIFS(Платежи!$A$5:$A$24,"&gt;="&amp;A14,Платежи!$A$5:$A$24,"&lt;"&amp;B14)&gt;0,"ОШИБКА: разделите после оплаты",IF(AND('Калькулятор срока оплаты'!$B$13="проценты 395",NOT(IF(ISNUMBER(IF(D14="",'Калькулятор срока оплаты'!$B$15,D14)),IF(D14="",'Калькулятор срока оплаты'!$B$15,D14)&gt;=0,FALSE))),"ОШИБКА: ставка 395",IF(AND('Калькулятор срока оплаты'!$B$13="пеня",NOT(IF(ISNUMBER(IF(E14="",'Калькулятор срока оплаты'!$B$10,E14)),IF(E14="",'Калькулятор срока оплаты'!$B$10,E14)&gt;=0,FALSE))),"ОШИБКА: ставка пени","ГОТОВО"))))))))))))</f>
        <v/>
      </c>
      <c r="M14" s="1">
        <f t="shared" si="4"/>
        <v>0</v>
      </c>
    </row>
    <row r="15" spans="1:13" ht="27.95" customHeight="1" x14ac:dyDescent="0.25">
      <c r="A15" s="18"/>
      <c r="B15" s="11" t="str">
        <f>IF(AND(IF(ISNUMBER(A15),AND(A15&gt;=DATE(2016,8,1),A15&lt;=DATE(2100,12,31),MOD(A15,1)=0),FALSE),IF(ISNUMBER('Калькулятор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оплаты'!$B$9,1)=0),FALSE)),IF(ISNUMBER(A16),MIN(A16-1,'Калькулятор срока оплаты'!$B$9),'Калькулятор срока оплаты'!$B$9),"")</f>
        <v/>
      </c>
      <c r="C15" s="12" t="str">
        <f>IF(AND(IF(ISNUMBER(A15),AND(A15&gt;=DATE(2016,8,1),A15&lt;=DATE(2100,12,31),MOD(A15,1)=0),FALSE),'Калькулятор срока оплаты'!$B$19="ГОТОВО"),'Калькулятор срока оплаты'!$B$11-SUMIFS(Платежи!$B$5:$B$24,Платежи!$A$5:$A$24,"&lt;"&amp;A15),"")</f>
        <v/>
      </c>
      <c r="D15" s="17"/>
      <c r="E15" s="17"/>
      <c r="F15" s="1" t="str">
        <f t="shared" si="0"/>
        <v/>
      </c>
      <c r="G15" s="1" t="str">
        <f t="shared" si="1"/>
        <v/>
      </c>
      <c r="H15" s="1" t="str">
        <f t="shared" si="2"/>
        <v/>
      </c>
      <c r="I15" s="1" t="str">
        <f t="shared" si="3"/>
        <v/>
      </c>
      <c r="J15" s="12" t="str">
        <f>IF(AND(L15="ГОТОВО",'Калькулятор срока оплаты'!$B$13="проценты 395"),C15*IF(D15="",'Калькулятор срока оплаты'!$B$15,D15)*(G15/(DATE(YEAR(A15)+1,1,1)-DATE(YEAR(A15),1,1))+H15+I15/(DATE(YEAR(B15)+1,1,1)-DATE(YEAR(B15),1,1))),"")</f>
        <v/>
      </c>
      <c r="K15" s="12" t="str">
        <f>IF(AND(L15="ГОТОВО",'Калькулятор срока оплаты'!$B$13="пеня"),C15*IF(E15="",'Калькулятор срока оплаты'!$B$10,E15)*F15,"")</f>
        <v/>
      </c>
      <c r="L15" s="3" t="str">
        <f>IF(AND(A15="",D15="",E15=""),"",IF(NOT(IF(ISNUMBER(A15),AND(A15&gt;=DATE(2016,8,1),A15&lt;=DATE(2100,12,31),MOD(A15,1)=0),FALSE)),"ОШИБКА: дата",IF('Калькулятор срока оплаты'!$B$19&lt;&gt;"ГОТОВО","ОШИБКА: входные данные",IF(A15&gt;'Калькулятор срока оплаты'!$B$9,"НЕ УЧТЁН",IF(A15&lt;'Калькулятор срока оплаты'!$B$26,"ОШИБКА: начало до просрочки",IF(NOT(ISNUMBER(A14)),"ОШИБКА: пропуск строки",IF(A15&lt;=A14,"ОШИБКА: порядок",IF(B15&lt;A15,"ОШИБКА: границы",IF(C15&lt;0,"ОШИБКА: переплата",IF(COUNTIFS(Платежи!$A$5:$A$24,"&gt;="&amp;A15,Платежи!$A$5:$A$24,"&lt;"&amp;B15)&gt;0,"ОШИБКА: разделите после оплаты",IF(AND('Калькулятор срока оплаты'!$B$13="проценты 395",NOT(IF(ISNUMBER(IF(D15="",'Калькулятор срока оплаты'!$B$15,D15)),IF(D15="",'Калькулятор срока оплаты'!$B$15,D15)&gt;=0,FALSE))),"ОШИБКА: ставка 395",IF(AND('Калькулятор срока оплаты'!$B$13="пеня",NOT(IF(ISNUMBER(IF(E15="",'Калькулятор срока оплаты'!$B$10,E15)),IF(E15="",'Калькулятор срока оплаты'!$B$10,E15)&gt;=0,FALSE))),"ОШИБКА: ставка пени","ГОТОВО"))))))))))))</f>
        <v/>
      </c>
      <c r="M15" s="1">
        <f t="shared" si="4"/>
        <v>0</v>
      </c>
    </row>
    <row r="16" spans="1:13" ht="27.95" customHeight="1" x14ac:dyDescent="0.25">
      <c r="A16" s="18"/>
      <c r="B16" s="11" t="str">
        <f>IF(AND(IF(ISNUMBER(A16),AND(A16&gt;=DATE(2016,8,1),A16&lt;=DATE(2100,12,31),MOD(A16,1)=0),FALSE),IF(ISNUMBER('Калькулятор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оплаты'!$B$9,1)=0),FALSE)),IF(ISNUMBER(A17),MIN(A17-1,'Калькулятор срока оплаты'!$B$9),'Калькулятор срока оплаты'!$B$9),"")</f>
        <v/>
      </c>
      <c r="C16" s="12" t="str">
        <f>IF(AND(IF(ISNUMBER(A16),AND(A16&gt;=DATE(2016,8,1),A16&lt;=DATE(2100,12,31),MOD(A16,1)=0),FALSE),'Калькулятор срока оплаты'!$B$19="ГОТОВО"),'Калькулятор срока оплаты'!$B$11-SUMIFS(Платежи!$B$5:$B$24,Платежи!$A$5:$A$24,"&lt;"&amp;A16),"")</f>
        <v/>
      </c>
      <c r="D16" s="17"/>
      <c r="E16" s="17"/>
      <c r="F16" s="1" t="str">
        <f t="shared" si="0"/>
        <v/>
      </c>
      <c r="G16" s="1" t="str">
        <f t="shared" si="1"/>
        <v/>
      </c>
      <c r="H16" s="1" t="str">
        <f t="shared" si="2"/>
        <v/>
      </c>
      <c r="I16" s="1" t="str">
        <f t="shared" si="3"/>
        <v/>
      </c>
      <c r="J16" s="12" t="str">
        <f>IF(AND(L16="ГОТОВО",'Калькулятор срока оплаты'!$B$13="проценты 395"),C16*IF(D16="",'Калькулятор срока оплаты'!$B$15,D16)*(G16/(DATE(YEAR(A16)+1,1,1)-DATE(YEAR(A16),1,1))+H16+I16/(DATE(YEAR(B16)+1,1,1)-DATE(YEAR(B16),1,1))),"")</f>
        <v/>
      </c>
      <c r="K16" s="12" t="str">
        <f>IF(AND(L16="ГОТОВО",'Калькулятор срока оплаты'!$B$13="пеня"),C16*IF(E16="",'Калькулятор срока оплаты'!$B$10,E16)*F16,"")</f>
        <v/>
      </c>
      <c r="L16" s="3" t="str">
        <f>IF(AND(A16="",D16="",E16=""),"",IF(NOT(IF(ISNUMBER(A16),AND(A16&gt;=DATE(2016,8,1),A16&lt;=DATE(2100,12,31),MOD(A16,1)=0),FALSE)),"ОШИБКА: дата",IF('Калькулятор срока оплаты'!$B$19&lt;&gt;"ГОТОВО","ОШИБКА: входные данные",IF(A16&gt;'Калькулятор срока оплаты'!$B$9,"НЕ УЧТЁН",IF(A16&lt;'Калькулятор срока оплаты'!$B$26,"ОШИБКА: начало до просрочки",IF(NOT(ISNUMBER(A15)),"ОШИБКА: пропуск строки",IF(A16&lt;=A15,"ОШИБКА: порядок",IF(B16&lt;A16,"ОШИБКА: границы",IF(C16&lt;0,"ОШИБКА: переплата",IF(COUNTIFS(Платежи!$A$5:$A$24,"&gt;="&amp;A16,Платежи!$A$5:$A$24,"&lt;"&amp;B16)&gt;0,"ОШИБКА: разделите после оплаты",IF(AND('Калькулятор срока оплаты'!$B$13="проценты 395",NOT(IF(ISNUMBER(IF(D16="",'Калькулятор срока оплаты'!$B$15,D16)),IF(D16="",'Калькулятор срока оплаты'!$B$15,D16)&gt;=0,FALSE))),"ОШИБКА: ставка 395",IF(AND('Калькулятор срока оплаты'!$B$13="пеня",NOT(IF(ISNUMBER(IF(E16="",'Калькулятор срока оплаты'!$B$10,E16)),IF(E16="",'Калькулятор срока оплаты'!$B$10,E16)&gt;=0,FALSE))),"ОШИБКА: ставка пени","ГОТОВО"))))))))))))</f>
        <v/>
      </c>
      <c r="M16" s="1">
        <f t="shared" si="4"/>
        <v>0</v>
      </c>
    </row>
    <row r="17" spans="1:13" ht="27.95" customHeight="1" x14ac:dyDescent="0.25">
      <c r="A17" s="18"/>
      <c r="B17" s="11" t="str">
        <f>IF(AND(IF(ISNUMBER(A17),AND(A17&gt;=DATE(2016,8,1),A17&lt;=DATE(2100,12,31),MOD(A17,1)=0),FALSE),IF(ISNUMBER('Калькулятор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оплаты'!$B$9,1)=0),FALSE)),IF(ISNUMBER(A18),MIN(A18-1,'Калькулятор срока оплаты'!$B$9),'Калькулятор срока оплаты'!$B$9),"")</f>
        <v/>
      </c>
      <c r="C17" s="12" t="str">
        <f>IF(AND(IF(ISNUMBER(A17),AND(A17&gt;=DATE(2016,8,1),A17&lt;=DATE(2100,12,31),MOD(A17,1)=0),FALSE),'Калькулятор срока оплаты'!$B$19="ГОТОВО"),'Калькулятор срока оплаты'!$B$11-SUMIFS(Платежи!$B$5:$B$24,Платежи!$A$5:$A$24,"&lt;"&amp;A17),"")</f>
        <v/>
      </c>
      <c r="D17" s="17"/>
      <c r="E17" s="17"/>
      <c r="F17" s="1" t="str">
        <f t="shared" si="0"/>
        <v/>
      </c>
      <c r="G17" s="1" t="str">
        <f t="shared" si="1"/>
        <v/>
      </c>
      <c r="H17" s="1" t="str">
        <f t="shared" si="2"/>
        <v/>
      </c>
      <c r="I17" s="1" t="str">
        <f t="shared" si="3"/>
        <v/>
      </c>
      <c r="J17" s="12" t="str">
        <f>IF(AND(L17="ГОТОВО",'Калькулятор срока оплаты'!$B$13="проценты 395"),C17*IF(D17="",'Калькулятор срока оплаты'!$B$15,D17)*(G17/(DATE(YEAR(A17)+1,1,1)-DATE(YEAR(A17),1,1))+H17+I17/(DATE(YEAR(B17)+1,1,1)-DATE(YEAR(B17),1,1))),"")</f>
        <v/>
      </c>
      <c r="K17" s="12" t="str">
        <f>IF(AND(L17="ГОТОВО",'Калькулятор срока оплаты'!$B$13="пеня"),C17*IF(E17="",'Калькулятор срока оплаты'!$B$10,E17)*F17,"")</f>
        <v/>
      </c>
      <c r="L17" s="3" t="str">
        <f>IF(AND(A17="",D17="",E17=""),"",IF(NOT(IF(ISNUMBER(A17),AND(A17&gt;=DATE(2016,8,1),A17&lt;=DATE(2100,12,31),MOD(A17,1)=0),FALSE)),"ОШИБКА: дата",IF('Калькулятор срока оплаты'!$B$19&lt;&gt;"ГОТОВО","ОШИБКА: входные данные",IF(A17&gt;'Калькулятор срока оплаты'!$B$9,"НЕ УЧТЁН",IF(A17&lt;'Калькулятор срока оплаты'!$B$26,"ОШИБКА: начало до просрочки",IF(NOT(ISNUMBER(A16)),"ОШИБКА: пропуск строки",IF(A17&lt;=A16,"ОШИБКА: порядок",IF(B17&lt;A17,"ОШИБКА: границы",IF(C17&lt;0,"ОШИБКА: переплата",IF(COUNTIFS(Платежи!$A$5:$A$24,"&gt;="&amp;A17,Платежи!$A$5:$A$24,"&lt;"&amp;B17)&gt;0,"ОШИБКА: разделите после оплаты",IF(AND('Калькулятор срока оплаты'!$B$13="проценты 395",NOT(IF(ISNUMBER(IF(D17="",'Калькулятор срока оплаты'!$B$15,D17)),IF(D17="",'Калькулятор срока оплаты'!$B$15,D17)&gt;=0,FALSE))),"ОШИБКА: ставка 395",IF(AND('Калькулятор срока оплаты'!$B$13="пеня",NOT(IF(ISNUMBER(IF(E17="",'Калькулятор срока оплаты'!$B$10,E17)),IF(E17="",'Калькулятор срока оплаты'!$B$10,E17)&gt;=0,FALSE))),"ОШИБКА: ставка пени","ГОТОВО"))))))))))))</f>
        <v/>
      </c>
      <c r="M17" s="1">
        <f t="shared" si="4"/>
        <v>0</v>
      </c>
    </row>
    <row r="18" spans="1:13" ht="27.95" customHeight="1" x14ac:dyDescent="0.25">
      <c r="A18" s="18"/>
      <c r="B18" s="11" t="str">
        <f>IF(AND(IF(ISNUMBER(A18),AND(A18&gt;=DATE(2016,8,1),A18&lt;=DATE(2100,12,31),MOD(A18,1)=0),FALSE),IF(ISNUMBER('Калькулятор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оплаты'!$B$9,1)=0),FALSE)),IF(ISNUMBER(A19),MIN(A19-1,'Калькулятор срока оплаты'!$B$9),'Калькулятор срока оплаты'!$B$9),"")</f>
        <v/>
      </c>
      <c r="C18" s="12" t="str">
        <f>IF(AND(IF(ISNUMBER(A18),AND(A18&gt;=DATE(2016,8,1),A18&lt;=DATE(2100,12,31),MOD(A18,1)=0),FALSE),'Калькулятор срока оплаты'!$B$19="ГОТОВО"),'Калькулятор срока оплаты'!$B$11-SUMIFS(Платежи!$B$5:$B$24,Платежи!$A$5:$A$24,"&lt;"&amp;A18),"")</f>
        <v/>
      </c>
      <c r="D18" s="17"/>
      <c r="E18" s="17"/>
      <c r="F18" s="1" t="str">
        <f t="shared" si="0"/>
        <v/>
      </c>
      <c r="G18" s="1" t="str">
        <f t="shared" si="1"/>
        <v/>
      </c>
      <c r="H18" s="1" t="str">
        <f t="shared" si="2"/>
        <v/>
      </c>
      <c r="I18" s="1" t="str">
        <f t="shared" si="3"/>
        <v/>
      </c>
      <c r="J18" s="12" t="str">
        <f>IF(AND(L18="ГОТОВО",'Калькулятор срока оплаты'!$B$13="проценты 395"),C18*IF(D18="",'Калькулятор срока оплаты'!$B$15,D18)*(G18/(DATE(YEAR(A18)+1,1,1)-DATE(YEAR(A18),1,1))+H18+I18/(DATE(YEAR(B18)+1,1,1)-DATE(YEAR(B18),1,1))),"")</f>
        <v/>
      </c>
      <c r="K18" s="12" t="str">
        <f>IF(AND(L18="ГОТОВО",'Калькулятор срока оплаты'!$B$13="пеня"),C18*IF(E18="",'Калькулятор срока оплаты'!$B$10,E18)*F18,"")</f>
        <v/>
      </c>
      <c r="L18" s="3" t="str">
        <f>IF(AND(A18="",D18="",E18=""),"",IF(NOT(IF(ISNUMBER(A18),AND(A18&gt;=DATE(2016,8,1),A18&lt;=DATE(2100,12,31),MOD(A18,1)=0),FALSE)),"ОШИБКА: дата",IF('Калькулятор срока оплаты'!$B$19&lt;&gt;"ГОТОВО","ОШИБКА: входные данные",IF(A18&gt;'Калькулятор срока оплаты'!$B$9,"НЕ УЧТЁН",IF(A18&lt;'Калькулятор срока оплаты'!$B$26,"ОШИБКА: начало до просрочки",IF(NOT(ISNUMBER(A17)),"ОШИБКА: пропуск строки",IF(A18&lt;=A17,"ОШИБКА: порядок",IF(B18&lt;A18,"ОШИБКА: границы",IF(C18&lt;0,"ОШИБКА: переплата",IF(COUNTIFS(Платежи!$A$5:$A$24,"&gt;="&amp;A18,Платежи!$A$5:$A$24,"&lt;"&amp;B18)&gt;0,"ОШИБКА: разделите после оплаты",IF(AND('Калькулятор срока оплаты'!$B$13="проценты 395",NOT(IF(ISNUMBER(IF(D18="",'Калькулятор срока оплаты'!$B$15,D18)),IF(D18="",'Калькулятор срока оплаты'!$B$15,D18)&gt;=0,FALSE))),"ОШИБКА: ставка 395",IF(AND('Калькулятор срока оплаты'!$B$13="пеня",NOT(IF(ISNUMBER(IF(E18="",'Калькулятор срока оплаты'!$B$10,E18)),IF(E18="",'Калькулятор срока оплаты'!$B$10,E18)&gt;=0,FALSE))),"ОШИБКА: ставка пени","ГОТОВО"))))))))))))</f>
        <v/>
      </c>
      <c r="M18" s="1">
        <f t="shared" si="4"/>
        <v>0</v>
      </c>
    </row>
    <row r="19" spans="1:13" ht="27.95" customHeight="1" x14ac:dyDescent="0.25">
      <c r="A19" s="18"/>
      <c r="B19" s="11" t="str">
        <f>IF(AND(IF(ISNUMBER(A19),AND(A19&gt;=DATE(2016,8,1),A19&lt;=DATE(2100,12,31),MOD(A19,1)=0),FALSE),IF(ISNUMBER('Калькулятор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оплаты'!$B$9,1)=0),FALSE)),IF(ISNUMBER(A20),MIN(A20-1,'Калькулятор срока оплаты'!$B$9),'Калькулятор срока оплаты'!$B$9),"")</f>
        <v/>
      </c>
      <c r="C19" s="12" t="str">
        <f>IF(AND(IF(ISNUMBER(A19),AND(A19&gt;=DATE(2016,8,1),A19&lt;=DATE(2100,12,31),MOD(A19,1)=0),FALSE),'Калькулятор срока оплаты'!$B$19="ГОТОВО"),'Калькулятор срока оплаты'!$B$11-SUMIFS(Платежи!$B$5:$B$24,Платежи!$A$5:$A$24,"&lt;"&amp;A19),"")</f>
        <v/>
      </c>
      <c r="D19" s="17"/>
      <c r="E19" s="17"/>
      <c r="F19" s="1" t="str">
        <f t="shared" si="0"/>
        <v/>
      </c>
      <c r="G19" s="1" t="str">
        <f t="shared" si="1"/>
        <v/>
      </c>
      <c r="H19" s="1" t="str">
        <f t="shared" si="2"/>
        <v/>
      </c>
      <c r="I19" s="1" t="str">
        <f t="shared" si="3"/>
        <v/>
      </c>
      <c r="J19" s="12" t="str">
        <f>IF(AND(L19="ГОТОВО",'Калькулятор срока оплаты'!$B$13="проценты 395"),C19*IF(D19="",'Калькулятор срока оплаты'!$B$15,D19)*(G19/(DATE(YEAR(A19)+1,1,1)-DATE(YEAR(A19),1,1))+H19+I19/(DATE(YEAR(B19)+1,1,1)-DATE(YEAR(B19),1,1))),"")</f>
        <v/>
      </c>
      <c r="K19" s="12" t="str">
        <f>IF(AND(L19="ГОТОВО",'Калькулятор срока оплаты'!$B$13="пеня"),C19*IF(E19="",'Калькулятор срока оплаты'!$B$10,E19)*F19,"")</f>
        <v/>
      </c>
      <c r="L19" s="3" t="str">
        <f>IF(AND(A19="",D19="",E19=""),"",IF(NOT(IF(ISNUMBER(A19),AND(A19&gt;=DATE(2016,8,1),A19&lt;=DATE(2100,12,31),MOD(A19,1)=0),FALSE)),"ОШИБКА: дата",IF('Калькулятор срока оплаты'!$B$19&lt;&gt;"ГОТОВО","ОШИБКА: входные данные",IF(A19&gt;'Калькулятор срока оплаты'!$B$9,"НЕ УЧТЁН",IF(A19&lt;'Калькулятор срока оплаты'!$B$26,"ОШИБКА: начало до просрочки",IF(NOT(ISNUMBER(A18)),"ОШИБКА: пропуск строки",IF(A19&lt;=A18,"ОШИБКА: порядок",IF(B19&lt;A19,"ОШИБКА: границы",IF(C19&lt;0,"ОШИБКА: переплата",IF(COUNTIFS(Платежи!$A$5:$A$24,"&gt;="&amp;A19,Платежи!$A$5:$A$24,"&lt;"&amp;B19)&gt;0,"ОШИБКА: разделите после оплаты",IF(AND('Калькулятор срока оплаты'!$B$13="проценты 395",NOT(IF(ISNUMBER(IF(D19="",'Калькулятор срока оплаты'!$B$15,D19)),IF(D19="",'Калькулятор срока оплаты'!$B$15,D19)&gt;=0,FALSE))),"ОШИБКА: ставка 395",IF(AND('Калькулятор срока оплаты'!$B$13="пеня",NOT(IF(ISNUMBER(IF(E19="",'Калькулятор срока оплаты'!$B$10,E19)),IF(E19="",'Калькулятор срока оплаты'!$B$10,E19)&gt;=0,FALSE))),"ОШИБКА: ставка пени","ГОТОВО"))))))))))))</f>
        <v/>
      </c>
      <c r="M19" s="1">
        <f t="shared" si="4"/>
        <v>0</v>
      </c>
    </row>
    <row r="20" spans="1:13" ht="27.95" customHeight="1" x14ac:dyDescent="0.25">
      <c r="A20" s="18"/>
      <c r="B20" s="11" t="str">
        <f>IF(AND(IF(ISNUMBER(A20),AND(A20&gt;=DATE(2016,8,1),A20&lt;=DATE(2100,12,31),MOD(A20,1)=0),FALSE),IF(ISNUMBER('Калькулятор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оплаты'!$B$9,1)=0),FALSE)),IF(ISNUMBER(A21),MIN(A21-1,'Калькулятор срока оплаты'!$B$9),'Калькулятор срока оплаты'!$B$9),"")</f>
        <v/>
      </c>
      <c r="C20" s="12" t="str">
        <f>IF(AND(IF(ISNUMBER(A20),AND(A20&gt;=DATE(2016,8,1),A20&lt;=DATE(2100,12,31),MOD(A20,1)=0),FALSE),'Калькулятор срока оплаты'!$B$19="ГОТОВО"),'Калькулятор срока оплаты'!$B$11-SUMIFS(Платежи!$B$5:$B$24,Платежи!$A$5:$A$24,"&lt;"&amp;A20),"")</f>
        <v/>
      </c>
      <c r="D20" s="17"/>
      <c r="E20" s="17"/>
      <c r="F20" s="1" t="str">
        <f t="shared" si="0"/>
        <v/>
      </c>
      <c r="G20" s="1" t="str">
        <f t="shared" si="1"/>
        <v/>
      </c>
      <c r="H20" s="1" t="str">
        <f t="shared" si="2"/>
        <v/>
      </c>
      <c r="I20" s="1" t="str">
        <f t="shared" si="3"/>
        <v/>
      </c>
      <c r="J20" s="12" t="str">
        <f>IF(AND(L20="ГОТОВО",'Калькулятор срока оплаты'!$B$13="проценты 395"),C20*IF(D20="",'Калькулятор срока оплаты'!$B$15,D20)*(G20/(DATE(YEAR(A20)+1,1,1)-DATE(YEAR(A20),1,1))+H20+I20/(DATE(YEAR(B20)+1,1,1)-DATE(YEAR(B20),1,1))),"")</f>
        <v/>
      </c>
      <c r="K20" s="12" t="str">
        <f>IF(AND(L20="ГОТОВО",'Калькулятор срока оплаты'!$B$13="пеня"),C20*IF(E20="",'Калькулятор срока оплаты'!$B$10,E20)*F20,"")</f>
        <v/>
      </c>
      <c r="L20" s="3" t="str">
        <f>IF(AND(A20="",D20="",E20=""),"",IF(NOT(IF(ISNUMBER(A20),AND(A20&gt;=DATE(2016,8,1),A20&lt;=DATE(2100,12,31),MOD(A20,1)=0),FALSE)),"ОШИБКА: дата",IF('Калькулятор срока оплаты'!$B$19&lt;&gt;"ГОТОВО","ОШИБКА: входные данные",IF(A20&gt;'Калькулятор срока оплаты'!$B$9,"НЕ УЧТЁН",IF(A20&lt;'Калькулятор срока оплаты'!$B$26,"ОШИБКА: начало до просрочки",IF(NOT(ISNUMBER(A19)),"ОШИБКА: пропуск строки",IF(A20&lt;=A19,"ОШИБКА: порядок",IF(B20&lt;A20,"ОШИБКА: границы",IF(C20&lt;0,"ОШИБКА: переплата",IF(COUNTIFS(Платежи!$A$5:$A$24,"&gt;="&amp;A20,Платежи!$A$5:$A$24,"&lt;"&amp;B20)&gt;0,"ОШИБКА: разделите после оплаты",IF(AND('Калькулятор срока оплаты'!$B$13="проценты 395",NOT(IF(ISNUMBER(IF(D20="",'Калькулятор срока оплаты'!$B$15,D20)),IF(D20="",'Калькулятор срока оплаты'!$B$15,D20)&gt;=0,FALSE))),"ОШИБКА: ставка 395",IF(AND('Калькулятор срока оплаты'!$B$13="пеня",NOT(IF(ISNUMBER(IF(E20="",'Калькулятор срока оплаты'!$B$10,E20)),IF(E20="",'Калькулятор срока оплаты'!$B$10,E20)&gt;=0,FALSE))),"ОШИБКА: ставка пени","ГОТОВО"))))))))))))</f>
        <v/>
      </c>
      <c r="M20" s="1">
        <f t="shared" si="4"/>
        <v>0</v>
      </c>
    </row>
    <row r="21" spans="1:13" ht="27.95" customHeight="1" x14ac:dyDescent="0.25">
      <c r="A21" s="18"/>
      <c r="B21" s="11" t="str">
        <f>IF(AND(IF(ISNUMBER(A21),AND(A21&gt;=DATE(2016,8,1),A21&lt;=DATE(2100,12,31),MOD(A21,1)=0),FALSE),IF(ISNUMBER('Калькулятор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оплаты'!$B$9,1)=0),FALSE)),IF(ISNUMBER(A22),MIN(A22-1,'Калькулятор срока оплаты'!$B$9),'Калькулятор срока оплаты'!$B$9),"")</f>
        <v/>
      </c>
      <c r="C21" s="12" t="str">
        <f>IF(AND(IF(ISNUMBER(A21),AND(A21&gt;=DATE(2016,8,1),A21&lt;=DATE(2100,12,31),MOD(A21,1)=0),FALSE),'Калькулятор срока оплаты'!$B$19="ГОТОВО"),'Калькулятор срока оплаты'!$B$11-SUMIFS(Платежи!$B$5:$B$24,Платежи!$A$5:$A$24,"&lt;"&amp;A21),"")</f>
        <v/>
      </c>
      <c r="D21" s="17"/>
      <c r="E21" s="17"/>
      <c r="F21" s="1" t="str">
        <f t="shared" si="0"/>
        <v/>
      </c>
      <c r="G21" s="1" t="str">
        <f t="shared" si="1"/>
        <v/>
      </c>
      <c r="H21" s="1" t="str">
        <f t="shared" si="2"/>
        <v/>
      </c>
      <c r="I21" s="1" t="str">
        <f t="shared" si="3"/>
        <v/>
      </c>
      <c r="J21" s="12" t="str">
        <f>IF(AND(L21="ГОТОВО",'Калькулятор срока оплаты'!$B$13="проценты 395"),C21*IF(D21="",'Калькулятор срока оплаты'!$B$15,D21)*(G21/(DATE(YEAR(A21)+1,1,1)-DATE(YEAR(A21),1,1))+H21+I21/(DATE(YEAR(B21)+1,1,1)-DATE(YEAR(B21),1,1))),"")</f>
        <v/>
      </c>
      <c r="K21" s="12" t="str">
        <f>IF(AND(L21="ГОТОВО",'Калькулятор срока оплаты'!$B$13="пеня"),C21*IF(E21="",'Калькулятор срока оплаты'!$B$10,E21)*F21,"")</f>
        <v/>
      </c>
      <c r="L21" s="3" t="str">
        <f>IF(AND(A21="",D21="",E21=""),"",IF(NOT(IF(ISNUMBER(A21),AND(A21&gt;=DATE(2016,8,1),A21&lt;=DATE(2100,12,31),MOD(A21,1)=0),FALSE)),"ОШИБКА: дата",IF('Калькулятор срока оплаты'!$B$19&lt;&gt;"ГОТОВО","ОШИБКА: входные данные",IF(A21&gt;'Калькулятор срока оплаты'!$B$9,"НЕ УЧТЁН",IF(A21&lt;'Калькулятор срока оплаты'!$B$26,"ОШИБКА: начало до просрочки",IF(NOT(ISNUMBER(A20)),"ОШИБКА: пропуск строки",IF(A21&lt;=A20,"ОШИБКА: порядок",IF(B21&lt;A21,"ОШИБКА: границы",IF(C21&lt;0,"ОШИБКА: переплата",IF(COUNTIFS(Платежи!$A$5:$A$24,"&gt;="&amp;A21,Платежи!$A$5:$A$24,"&lt;"&amp;B21)&gt;0,"ОШИБКА: разделите после оплаты",IF(AND('Калькулятор срока оплаты'!$B$13="проценты 395",NOT(IF(ISNUMBER(IF(D21="",'Калькулятор срока оплаты'!$B$15,D21)),IF(D21="",'Калькулятор срока оплаты'!$B$15,D21)&gt;=0,FALSE))),"ОШИБКА: ставка 395",IF(AND('Калькулятор срока оплаты'!$B$13="пеня",NOT(IF(ISNUMBER(IF(E21="",'Калькулятор срока оплаты'!$B$10,E21)),IF(E21="",'Калькулятор срока оплаты'!$B$10,E21)&gt;=0,FALSE))),"ОШИБКА: ставка пени","ГОТОВО"))))))))))))</f>
        <v/>
      </c>
      <c r="M21" s="1">
        <f t="shared" si="4"/>
        <v>0</v>
      </c>
    </row>
    <row r="22" spans="1:13" ht="27.95" customHeight="1" x14ac:dyDescent="0.25">
      <c r="A22" s="18"/>
      <c r="B22" s="11" t="str">
        <f>IF(AND(IF(ISNUMBER(A22),AND(A22&gt;=DATE(2016,8,1),A22&lt;=DATE(2100,12,31),MOD(A22,1)=0),FALSE),IF(ISNUMBER('Калькулятор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оплаты'!$B$9,1)=0),FALSE)),IF(ISNUMBER(A23),MIN(A23-1,'Калькулятор срока оплаты'!$B$9),'Калькулятор срока оплаты'!$B$9),"")</f>
        <v/>
      </c>
      <c r="C22" s="12" t="str">
        <f>IF(AND(IF(ISNUMBER(A22),AND(A22&gt;=DATE(2016,8,1),A22&lt;=DATE(2100,12,31),MOD(A22,1)=0),FALSE),'Калькулятор срока оплаты'!$B$19="ГОТОВО"),'Калькулятор срока оплаты'!$B$11-SUMIFS(Платежи!$B$5:$B$24,Платежи!$A$5:$A$24,"&lt;"&amp;A22),"")</f>
        <v/>
      </c>
      <c r="D22" s="17"/>
      <c r="E22" s="17"/>
      <c r="F22" s="1" t="str">
        <f t="shared" si="0"/>
        <v/>
      </c>
      <c r="G22" s="1" t="str">
        <f t="shared" si="1"/>
        <v/>
      </c>
      <c r="H22" s="1" t="str">
        <f t="shared" si="2"/>
        <v/>
      </c>
      <c r="I22" s="1" t="str">
        <f t="shared" si="3"/>
        <v/>
      </c>
      <c r="J22" s="12" t="str">
        <f>IF(AND(L22="ГОТОВО",'Калькулятор срока оплаты'!$B$13="проценты 395"),C22*IF(D22="",'Калькулятор срока оплаты'!$B$15,D22)*(G22/(DATE(YEAR(A22)+1,1,1)-DATE(YEAR(A22),1,1))+H22+I22/(DATE(YEAR(B22)+1,1,1)-DATE(YEAR(B22),1,1))),"")</f>
        <v/>
      </c>
      <c r="K22" s="12" t="str">
        <f>IF(AND(L22="ГОТОВО",'Калькулятор срока оплаты'!$B$13="пеня"),C22*IF(E22="",'Калькулятор срока оплаты'!$B$10,E22)*F22,"")</f>
        <v/>
      </c>
      <c r="L22" s="3" t="str">
        <f>IF(AND(A22="",D22="",E22=""),"",IF(NOT(IF(ISNUMBER(A22),AND(A22&gt;=DATE(2016,8,1),A22&lt;=DATE(2100,12,31),MOD(A22,1)=0),FALSE)),"ОШИБКА: дата",IF('Калькулятор срока оплаты'!$B$19&lt;&gt;"ГОТОВО","ОШИБКА: входные данные",IF(A22&gt;'Калькулятор срока оплаты'!$B$9,"НЕ УЧТЁН",IF(A22&lt;'Калькулятор срока оплаты'!$B$26,"ОШИБКА: начало до просрочки",IF(NOT(ISNUMBER(A21)),"ОШИБКА: пропуск строки",IF(A22&lt;=A21,"ОШИБКА: порядок",IF(B22&lt;A22,"ОШИБКА: границы",IF(C22&lt;0,"ОШИБКА: переплата",IF(COUNTIFS(Платежи!$A$5:$A$24,"&gt;="&amp;A22,Платежи!$A$5:$A$24,"&lt;"&amp;B22)&gt;0,"ОШИБКА: разделите после оплаты",IF(AND('Калькулятор срока оплаты'!$B$13="проценты 395",NOT(IF(ISNUMBER(IF(D22="",'Калькулятор срока оплаты'!$B$15,D22)),IF(D22="",'Калькулятор срока оплаты'!$B$15,D22)&gt;=0,FALSE))),"ОШИБКА: ставка 395",IF(AND('Калькулятор срока оплаты'!$B$13="пеня",NOT(IF(ISNUMBER(IF(E22="",'Калькулятор срока оплаты'!$B$10,E22)),IF(E22="",'Калькулятор срока оплаты'!$B$10,E22)&gt;=0,FALSE))),"ОШИБКА: ставка пени","ГОТОВО"))))))))))))</f>
        <v/>
      </c>
      <c r="M22" s="1">
        <f t="shared" si="4"/>
        <v>0</v>
      </c>
    </row>
    <row r="23" spans="1:13" ht="27.95" customHeight="1" x14ac:dyDescent="0.25">
      <c r="A23" s="18"/>
      <c r="B23" s="11" t="str">
        <f>IF(AND(IF(ISNUMBER(A23),AND(A23&gt;=DATE(2016,8,1),A23&lt;=DATE(2100,12,31),MOD(A23,1)=0),FALSE),IF(ISNUMBER('Калькулятор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оплаты'!$B$9,1)=0),FALSE)),IF(ISNUMBER(A24),MIN(A24-1,'Калькулятор срока оплаты'!$B$9),'Калькулятор срока оплаты'!$B$9),"")</f>
        <v/>
      </c>
      <c r="C23" s="12" t="str">
        <f>IF(AND(IF(ISNUMBER(A23),AND(A23&gt;=DATE(2016,8,1),A23&lt;=DATE(2100,12,31),MOD(A23,1)=0),FALSE),'Калькулятор срока оплаты'!$B$19="ГОТОВО"),'Калькулятор срока оплаты'!$B$11-SUMIFS(Платежи!$B$5:$B$24,Платежи!$A$5:$A$24,"&lt;"&amp;A23),"")</f>
        <v/>
      </c>
      <c r="D23" s="17"/>
      <c r="E23" s="17"/>
      <c r="F23" s="1" t="str">
        <f t="shared" si="0"/>
        <v/>
      </c>
      <c r="G23" s="1" t="str">
        <f t="shared" si="1"/>
        <v/>
      </c>
      <c r="H23" s="1" t="str">
        <f t="shared" si="2"/>
        <v/>
      </c>
      <c r="I23" s="1" t="str">
        <f t="shared" si="3"/>
        <v/>
      </c>
      <c r="J23" s="12" t="str">
        <f>IF(AND(L23="ГОТОВО",'Калькулятор срока оплаты'!$B$13="проценты 395"),C23*IF(D23="",'Калькулятор срока оплаты'!$B$15,D23)*(G23/(DATE(YEAR(A23)+1,1,1)-DATE(YEAR(A23),1,1))+H23+I23/(DATE(YEAR(B23)+1,1,1)-DATE(YEAR(B23),1,1))),"")</f>
        <v/>
      </c>
      <c r="K23" s="12" t="str">
        <f>IF(AND(L23="ГОТОВО",'Калькулятор срока оплаты'!$B$13="пеня"),C23*IF(E23="",'Калькулятор срока оплаты'!$B$10,E23)*F23,"")</f>
        <v/>
      </c>
      <c r="L23" s="3" t="str">
        <f>IF(AND(A23="",D23="",E23=""),"",IF(NOT(IF(ISNUMBER(A23),AND(A23&gt;=DATE(2016,8,1),A23&lt;=DATE(2100,12,31),MOD(A23,1)=0),FALSE)),"ОШИБКА: дата",IF('Калькулятор срока оплаты'!$B$19&lt;&gt;"ГОТОВО","ОШИБКА: входные данные",IF(A23&gt;'Калькулятор срока оплаты'!$B$9,"НЕ УЧТЁН",IF(A23&lt;'Калькулятор срока оплаты'!$B$26,"ОШИБКА: начало до просрочки",IF(NOT(ISNUMBER(A22)),"ОШИБКА: пропуск строки",IF(A23&lt;=A22,"ОШИБКА: порядок",IF(B23&lt;A23,"ОШИБКА: границы",IF(C23&lt;0,"ОШИБКА: переплата",IF(COUNTIFS(Платежи!$A$5:$A$24,"&gt;="&amp;A23,Платежи!$A$5:$A$24,"&lt;"&amp;B23)&gt;0,"ОШИБКА: разделите после оплаты",IF(AND('Калькулятор срока оплаты'!$B$13="проценты 395",NOT(IF(ISNUMBER(IF(D23="",'Калькулятор срока оплаты'!$B$15,D23)),IF(D23="",'Калькулятор срока оплаты'!$B$15,D23)&gt;=0,FALSE))),"ОШИБКА: ставка 395",IF(AND('Калькулятор срока оплаты'!$B$13="пеня",NOT(IF(ISNUMBER(IF(E23="",'Калькулятор срока оплаты'!$B$10,E23)),IF(E23="",'Калькулятор срока оплаты'!$B$10,E23)&gt;=0,FALSE))),"ОШИБКА: ставка пени","ГОТОВО"))))))))))))</f>
        <v/>
      </c>
      <c r="M23" s="1">
        <f t="shared" si="4"/>
        <v>0</v>
      </c>
    </row>
    <row r="24" spans="1:13" ht="27.95" customHeight="1" x14ac:dyDescent="0.25">
      <c r="A24" s="18"/>
      <c r="B24" s="11" t="str">
        <f>IF(AND(IF(ISNUMBER(A24),AND(A24&gt;=DATE(2016,8,1),A24&lt;=DATE(2100,12,31),MOD(A24,1)=0),FALSE),IF(ISNUMBER('Калькулятор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оплаты'!$B$9,1)=0),FALSE)),'Калькулятор срока оплаты'!$B$9,"")</f>
        <v/>
      </c>
      <c r="C24" s="12" t="str">
        <f>IF(AND(IF(ISNUMBER(A24),AND(A24&gt;=DATE(2016,8,1),A24&lt;=DATE(2100,12,31),MOD(A24,1)=0),FALSE),'Калькулятор срока оплаты'!$B$19="ГОТОВО"),'Калькулятор срока оплаты'!$B$11-SUMIFS(Платежи!$B$5:$B$24,Платежи!$A$5:$A$24,"&lt;"&amp;A24),"")</f>
        <v/>
      </c>
      <c r="D24" s="17"/>
      <c r="E24" s="17"/>
      <c r="F24" s="1" t="str">
        <f t="shared" si="0"/>
        <v/>
      </c>
      <c r="G24" s="1" t="str">
        <f t="shared" si="1"/>
        <v/>
      </c>
      <c r="H24" s="1" t="str">
        <f t="shared" si="2"/>
        <v/>
      </c>
      <c r="I24" s="1" t="str">
        <f t="shared" si="3"/>
        <v/>
      </c>
      <c r="J24" s="12" t="str">
        <f>IF(AND(L24="ГОТОВО",'Калькулятор срока оплаты'!$B$13="проценты 395"),C24*IF(D24="",'Калькулятор срока оплаты'!$B$15,D24)*(G24/(DATE(YEAR(A24)+1,1,1)-DATE(YEAR(A24),1,1))+H24+I24/(DATE(YEAR(B24)+1,1,1)-DATE(YEAR(B24),1,1))),"")</f>
        <v/>
      </c>
      <c r="K24" s="12" t="str">
        <f>IF(AND(L24="ГОТОВО",'Калькулятор срока оплаты'!$B$13="пеня"),C24*IF(E24="",'Калькулятор срока оплаты'!$B$10,E24)*F24,"")</f>
        <v/>
      </c>
      <c r="L24" s="3" t="str">
        <f>IF(AND(A24="",D24="",E24=""),"",IF(NOT(IF(ISNUMBER(A24),AND(A24&gt;=DATE(2016,8,1),A24&lt;=DATE(2100,12,31),MOD(A24,1)=0),FALSE)),"ОШИБКА: дата",IF('Калькулятор срока оплаты'!$B$19&lt;&gt;"ГОТОВО","ОШИБКА: входные данные",IF(A24&gt;'Калькулятор срока оплаты'!$B$9,"НЕ УЧТЁН",IF(A24&lt;'Калькулятор срока оплаты'!$B$26,"ОШИБКА: начало до просрочки",IF(NOT(ISNUMBER(A23)),"ОШИБКА: пропуск строки",IF(A24&lt;=A23,"ОШИБКА: порядок",IF(B24&lt;A24,"ОШИБКА: границы",IF(C24&lt;0,"ОШИБКА: переплата",IF(COUNTIFS(Платежи!$A$5:$A$24,"&gt;="&amp;A24,Платежи!$A$5:$A$24,"&lt;"&amp;B24)&gt;0,"ОШИБКА: разделите после оплаты",IF(AND('Калькулятор срока оплаты'!$B$13="проценты 395",NOT(IF(ISNUMBER(IF(D24="",'Калькулятор срока оплаты'!$B$15,D24)),IF(D24="",'Калькулятор срока оплаты'!$B$15,D24)&gt;=0,FALSE))),"ОШИБКА: ставка 395",IF(AND('Калькулятор срока оплаты'!$B$13="пеня",NOT(IF(ISNUMBER(IF(E24="",'Калькулятор срока оплаты'!$B$10,E24)),IF(E24="",'Калькулятор срока оплаты'!$B$10,E24)&gt;=0,FALSE))),"ОШИБКА: ставка пени","ГОТОВО"))))))))))))</f>
        <v/>
      </c>
      <c r="M24" s="1">
        <f t="shared" si="4"/>
        <v>0</v>
      </c>
    </row>
    <row r="25" spans="1:13" ht="21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1.95" customHeight="1" x14ac:dyDescent="0.25">
      <c r="A26" s="1" t="s">
        <v>82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1.95" customHeight="1" x14ac:dyDescent="0.25">
      <c r="A27" s="1" t="s">
        <v>83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1.95" customHeight="1" x14ac:dyDescent="0.25">
      <c r="A28" s="1" t="s">
        <v>84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1.95" customHeight="1" x14ac:dyDescent="0.25">
      <c r="A29" s="1" t="s">
        <v>85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1.95" customHeight="1" x14ac:dyDescent="0.25">
      <c r="A30" s="1" t="s">
        <v>86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F28"/>
  <sheetViews>
    <sheetView showGridLines="0" workbookViewId="0"/>
  </sheetViews>
  <sheetFormatPr defaultRowHeight="15" x14ac:dyDescent="0.25"/>
  <cols>
    <col min="1" max="1" width="15" customWidth="1"/>
    <col min="2" max="2" width="20" customWidth="1"/>
    <col min="3" max="3" width="46" customWidth="1"/>
    <col min="4" max="4" width="23" customWidth="1"/>
    <col min="5" max="5" width="29" customWidth="1"/>
    <col min="6" max="6" width="8" customWidth="1"/>
  </cols>
  <sheetData>
    <row r="1" spans="1:6" ht="21.95" customHeight="1" x14ac:dyDescent="0.25">
      <c r="A1" s="1" t="s">
        <v>87</v>
      </c>
      <c r="B1" s="1"/>
      <c r="C1" s="1"/>
      <c r="D1" s="1"/>
      <c r="E1" s="1"/>
      <c r="F1" s="1"/>
    </row>
    <row r="2" spans="1:6" ht="21.95" customHeight="1" x14ac:dyDescent="0.25">
      <c r="A2" s="1" t="s">
        <v>88</v>
      </c>
      <c r="B2" s="1"/>
      <c r="C2" s="1"/>
      <c r="D2" s="1"/>
      <c r="E2" s="1"/>
      <c r="F2" s="1"/>
    </row>
    <row r="3" spans="1:6" ht="21.95" customHeight="1" x14ac:dyDescent="0.25">
      <c r="A3" s="1"/>
      <c r="B3" s="1"/>
      <c r="C3" s="1"/>
      <c r="D3" s="1"/>
      <c r="E3" s="1"/>
      <c r="F3" s="1"/>
    </row>
    <row r="4" spans="1:6" ht="36" customHeight="1" x14ac:dyDescent="0.25">
      <c r="A4" s="2" t="s">
        <v>89</v>
      </c>
      <c r="B4" s="2" t="s">
        <v>90</v>
      </c>
      <c r="C4" s="2" t="s">
        <v>91</v>
      </c>
      <c r="D4" s="2" t="s">
        <v>92</v>
      </c>
      <c r="E4" s="2" t="s">
        <v>93</v>
      </c>
      <c r="F4" s="2" t="s">
        <v>81</v>
      </c>
    </row>
    <row r="5" spans="1:6" ht="27.95" customHeight="1" x14ac:dyDescent="0.25">
      <c r="A5" s="18"/>
      <c r="B5" s="19"/>
      <c r="C5" s="14"/>
      <c r="D5" s="3" t="str">
        <f>IF(E5="","",IF(E5&lt;&gt;"ГОТОВО",E5,IF(NOT(IF(ISNUMBER('Калькулятор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РАСЧЁТА",IF(A5&lt;='Калькулятор срока оплаты'!$B$9,"УЧТЁН","ПОСЛЕ ДАТЫ"))))</f>
        <v/>
      </c>
      <c r="E5" s="3" t="str">
        <f t="shared" ref="E5:E24" si="0">IF(AND(A5="",B5="",C5=""),"",IF(NOT(IF(ISNUMBER(A5),AND(A5&gt;=DATE(2016,8,1),A5&lt;=DATE(2100,12,31),MOD(A5,1)=0),FALSE)),"ОШИБКА: дата",IF(NOT(IF(ISNUMBER(B5),AND(B5&gt;=0,ROUND(B5,2)=B5),FALSE)),"ОШИБКА: сумма",IF(C5="","ОШИБКА: документ","ГОТОВО"))))</f>
        <v/>
      </c>
      <c r="F5" s="1">
        <f t="shared" ref="F5:F24" si="1">IF(OR(E5="",E5="ГОТОВО"),0,1)</f>
        <v>0</v>
      </c>
    </row>
    <row r="6" spans="1:6" ht="27.95" customHeight="1" x14ac:dyDescent="0.25">
      <c r="A6" s="18"/>
      <c r="B6" s="19"/>
      <c r="C6" s="14"/>
      <c r="D6" s="3" t="str">
        <f>IF(E6="","",IF(E6&lt;&gt;"ГОТОВО",E6,IF(NOT(IF(ISNUMBER('Калькулятор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РАСЧЁТА",IF(A6&lt;='Калькулятор срока оплаты'!$B$9,"УЧТЁН","ПОСЛЕ ДАТЫ"))))</f>
        <v/>
      </c>
      <c r="E6" s="3" t="str">
        <f t="shared" si="0"/>
        <v/>
      </c>
      <c r="F6" s="1">
        <f t="shared" si="1"/>
        <v>0</v>
      </c>
    </row>
    <row r="7" spans="1:6" ht="27.95" customHeight="1" x14ac:dyDescent="0.25">
      <c r="A7" s="18"/>
      <c r="B7" s="19"/>
      <c r="C7" s="14"/>
      <c r="D7" s="3" t="str">
        <f>IF(E7="","",IF(E7&lt;&gt;"ГОТОВО",E7,IF(NOT(IF(ISNUMBER('Калькулятор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РАСЧЁТА",IF(A7&lt;='Калькулятор срока оплаты'!$B$9,"УЧТЁН","ПОСЛЕ ДАТЫ"))))</f>
        <v/>
      </c>
      <c r="E7" s="3" t="str">
        <f t="shared" si="0"/>
        <v/>
      </c>
      <c r="F7" s="1">
        <f t="shared" si="1"/>
        <v>0</v>
      </c>
    </row>
    <row r="8" spans="1:6" ht="27.95" customHeight="1" x14ac:dyDescent="0.25">
      <c r="A8" s="18"/>
      <c r="B8" s="19"/>
      <c r="C8" s="14"/>
      <c r="D8" s="3" t="str">
        <f>IF(E8="","",IF(E8&lt;&gt;"ГОТОВО",E8,IF(NOT(IF(ISNUMBER('Калькулятор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РАСЧЁТА",IF(A8&lt;='Калькулятор срока оплаты'!$B$9,"УЧТЁН","ПОСЛЕ ДАТЫ"))))</f>
        <v/>
      </c>
      <c r="E8" s="3" t="str">
        <f t="shared" si="0"/>
        <v/>
      </c>
      <c r="F8" s="1">
        <f t="shared" si="1"/>
        <v>0</v>
      </c>
    </row>
    <row r="9" spans="1:6" ht="27.95" customHeight="1" x14ac:dyDescent="0.25">
      <c r="A9" s="18"/>
      <c r="B9" s="19"/>
      <c r="C9" s="14"/>
      <c r="D9" s="3" t="str">
        <f>IF(E9="","",IF(E9&lt;&gt;"ГОТОВО",E9,IF(NOT(IF(ISNUMBER('Калькулятор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РАСЧЁТА",IF(A9&lt;='Калькулятор срока оплаты'!$B$9,"УЧТЁН","ПОСЛЕ ДАТЫ"))))</f>
        <v/>
      </c>
      <c r="E9" s="3" t="str">
        <f t="shared" si="0"/>
        <v/>
      </c>
      <c r="F9" s="1">
        <f t="shared" si="1"/>
        <v>0</v>
      </c>
    </row>
    <row r="10" spans="1:6" ht="27.95" customHeight="1" x14ac:dyDescent="0.25">
      <c r="A10" s="18"/>
      <c r="B10" s="19"/>
      <c r="C10" s="14"/>
      <c r="D10" s="3" t="str">
        <f>IF(E10="","",IF(E10&lt;&gt;"ГОТОВО",E10,IF(NOT(IF(ISNUMBER('Калькулятор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РАСЧЁТА",IF(A10&lt;='Калькулятор срока оплаты'!$B$9,"УЧТЁН","ПОСЛЕ ДАТЫ"))))</f>
        <v/>
      </c>
      <c r="E10" s="3" t="str">
        <f t="shared" si="0"/>
        <v/>
      </c>
      <c r="F10" s="1">
        <f t="shared" si="1"/>
        <v>0</v>
      </c>
    </row>
    <row r="11" spans="1:6" ht="27.95" customHeight="1" x14ac:dyDescent="0.25">
      <c r="A11" s="18"/>
      <c r="B11" s="19"/>
      <c r="C11" s="14"/>
      <c r="D11" s="3" t="str">
        <f>IF(E11="","",IF(E11&lt;&gt;"ГОТОВО",E11,IF(NOT(IF(ISNUMBER('Калькулятор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РАСЧЁТА",IF(A11&lt;='Калькулятор срока оплаты'!$B$9,"УЧТЁН","ПОСЛЕ ДАТЫ"))))</f>
        <v/>
      </c>
      <c r="E11" s="3" t="str">
        <f t="shared" si="0"/>
        <v/>
      </c>
      <c r="F11" s="1">
        <f t="shared" si="1"/>
        <v>0</v>
      </c>
    </row>
    <row r="12" spans="1:6" ht="27.95" customHeight="1" x14ac:dyDescent="0.25">
      <c r="A12" s="18"/>
      <c r="B12" s="19"/>
      <c r="C12" s="14"/>
      <c r="D12" s="3" t="str">
        <f>IF(E12="","",IF(E12&lt;&gt;"ГОТОВО",E12,IF(NOT(IF(ISNUMBER('Калькулятор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РАСЧЁТА",IF(A12&lt;='Калькулятор срока оплаты'!$B$9,"УЧТЁН","ПОСЛЕ ДАТЫ"))))</f>
        <v/>
      </c>
      <c r="E12" s="3" t="str">
        <f t="shared" si="0"/>
        <v/>
      </c>
      <c r="F12" s="1">
        <f t="shared" si="1"/>
        <v>0</v>
      </c>
    </row>
    <row r="13" spans="1:6" ht="27.95" customHeight="1" x14ac:dyDescent="0.25">
      <c r="A13" s="18"/>
      <c r="B13" s="19"/>
      <c r="C13" s="14"/>
      <c r="D13" s="3" t="str">
        <f>IF(E13="","",IF(E13&lt;&gt;"ГОТОВО",E13,IF(NOT(IF(ISNUMBER('Калькулятор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РАСЧЁТА",IF(A13&lt;='Калькулятор срока оплаты'!$B$9,"УЧТЁН","ПОСЛЕ ДАТЫ"))))</f>
        <v/>
      </c>
      <c r="E13" s="3" t="str">
        <f t="shared" si="0"/>
        <v/>
      </c>
      <c r="F13" s="1">
        <f t="shared" si="1"/>
        <v>0</v>
      </c>
    </row>
    <row r="14" spans="1:6" ht="27.95" customHeight="1" x14ac:dyDescent="0.25">
      <c r="A14" s="18"/>
      <c r="B14" s="19"/>
      <c r="C14" s="14"/>
      <c r="D14" s="3" t="str">
        <f>IF(E14="","",IF(E14&lt;&gt;"ГОТОВО",E14,IF(NOT(IF(ISNUMBER('Калькулятор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РАСЧЁТА",IF(A14&lt;='Калькулятор срока оплаты'!$B$9,"УЧТЁН","ПОСЛЕ ДАТЫ"))))</f>
        <v/>
      </c>
      <c r="E14" s="3" t="str">
        <f t="shared" si="0"/>
        <v/>
      </c>
      <c r="F14" s="1">
        <f t="shared" si="1"/>
        <v>0</v>
      </c>
    </row>
    <row r="15" spans="1:6" ht="27.95" customHeight="1" x14ac:dyDescent="0.25">
      <c r="A15" s="18"/>
      <c r="B15" s="19"/>
      <c r="C15" s="14"/>
      <c r="D15" s="3" t="str">
        <f>IF(E15="","",IF(E15&lt;&gt;"ГОТОВО",E15,IF(NOT(IF(ISNUMBER('Калькулятор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РАСЧЁТА",IF(A15&lt;='Калькулятор срока оплаты'!$B$9,"УЧТЁН","ПОСЛЕ ДАТЫ"))))</f>
        <v/>
      </c>
      <c r="E15" s="3" t="str">
        <f t="shared" si="0"/>
        <v/>
      </c>
      <c r="F15" s="1">
        <f t="shared" si="1"/>
        <v>0</v>
      </c>
    </row>
    <row r="16" spans="1:6" ht="27.95" customHeight="1" x14ac:dyDescent="0.25">
      <c r="A16" s="18"/>
      <c r="B16" s="19"/>
      <c r="C16" s="14"/>
      <c r="D16" s="3" t="str">
        <f>IF(E16="","",IF(E16&lt;&gt;"ГОТОВО",E16,IF(NOT(IF(ISNUMBER('Калькулятор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РАСЧЁТА",IF(A16&lt;='Калькулятор срока оплаты'!$B$9,"УЧТЁН","ПОСЛЕ ДАТЫ"))))</f>
        <v/>
      </c>
      <c r="E16" s="3" t="str">
        <f t="shared" si="0"/>
        <v/>
      </c>
      <c r="F16" s="1">
        <f t="shared" si="1"/>
        <v>0</v>
      </c>
    </row>
    <row r="17" spans="1:6" ht="27.95" customHeight="1" x14ac:dyDescent="0.25">
      <c r="A17" s="18"/>
      <c r="B17" s="19"/>
      <c r="C17" s="14"/>
      <c r="D17" s="3" t="str">
        <f>IF(E17="","",IF(E17&lt;&gt;"ГОТОВО",E17,IF(NOT(IF(ISNUMBER('Калькулятор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РАСЧЁТА",IF(A17&lt;='Калькулятор срока оплаты'!$B$9,"УЧТЁН","ПОСЛЕ ДАТЫ"))))</f>
        <v/>
      </c>
      <c r="E17" s="3" t="str">
        <f t="shared" si="0"/>
        <v/>
      </c>
      <c r="F17" s="1">
        <f t="shared" si="1"/>
        <v>0</v>
      </c>
    </row>
    <row r="18" spans="1:6" ht="27.95" customHeight="1" x14ac:dyDescent="0.25">
      <c r="A18" s="18"/>
      <c r="B18" s="19"/>
      <c r="C18" s="14"/>
      <c r="D18" s="3" t="str">
        <f>IF(E18="","",IF(E18&lt;&gt;"ГОТОВО",E18,IF(NOT(IF(ISNUMBER('Калькулятор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РАСЧЁТА",IF(A18&lt;='Калькулятор срока оплаты'!$B$9,"УЧТЁН","ПОСЛЕ ДАТЫ"))))</f>
        <v/>
      </c>
      <c r="E18" s="3" t="str">
        <f t="shared" si="0"/>
        <v/>
      </c>
      <c r="F18" s="1">
        <f t="shared" si="1"/>
        <v>0</v>
      </c>
    </row>
    <row r="19" spans="1:6" ht="27.95" customHeight="1" x14ac:dyDescent="0.25">
      <c r="A19" s="18"/>
      <c r="B19" s="19"/>
      <c r="C19" s="14"/>
      <c r="D19" s="3" t="str">
        <f>IF(E19="","",IF(E19&lt;&gt;"ГОТОВО",E19,IF(NOT(IF(ISNUMBER('Калькулятор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РАСЧЁТА",IF(A19&lt;='Калькулятор срока оплаты'!$B$9,"УЧТЁН","ПОСЛЕ ДАТЫ"))))</f>
        <v/>
      </c>
      <c r="E19" s="3" t="str">
        <f t="shared" si="0"/>
        <v/>
      </c>
      <c r="F19" s="1">
        <f t="shared" si="1"/>
        <v>0</v>
      </c>
    </row>
    <row r="20" spans="1:6" ht="27.95" customHeight="1" x14ac:dyDescent="0.25">
      <c r="A20" s="18"/>
      <c r="B20" s="19"/>
      <c r="C20" s="14"/>
      <c r="D20" s="3" t="str">
        <f>IF(E20="","",IF(E20&lt;&gt;"ГОТОВО",E20,IF(NOT(IF(ISNUMBER('Калькулятор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РАСЧЁТА",IF(A20&lt;='Калькулятор срока оплаты'!$B$9,"УЧТЁН","ПОСЛЕ ДАТЫ"))))</f>
        <v/>
      </c>
      <c r="E20" s="3" t="str">
        <f t="shared" si="0"/>
        <v/>
      </c>
      <c r="F20" s="1">
        <f t="shared" si="1"/>
        <v>0</v>
      </c>
    </row>
    <row r="21" spans="1:6" ht="27.95" customHeight="1" x14ac:dyDescent="0.25">
      <c r="A21" s="18"/>
      <c r="B21" s="19"/>
      <c r="C21" s="14"/>
      <c r="D21" s="3" t="str">
        <f>IF(E21="","",IF(E21&lt;&gt;"ГОТОВО",E21,IF(NOT(IF(ISNUMBER('Калькулятор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РАСЧЁТА",IF(A21&lt;='Калькулятор срока оплаты'!$B$9,"УЧТЁН","ПОСЛЕ ДАТЫ"))))</f>
        <v/>
      </c>
      <c r="E21" s="3" t="str">
        <f t="shared" si="0"/>
        <v/>
      </c>
      <c r="F21" s="1">
        <f t="shared" si="1"/>
        <v>0</v>
      </c>
    </row>
    <row r="22" spans="1:6" ht="27.95" customHeight="1" x14ac:dyDescent="0.25">
      <c r="A22" s="18"/>
      <c r="B22" s="19"/>
      <c r="C22" s="14"/>
      <c r="D22" s="3" t="str">
        <f>IF(E22="","",IF(E22&lt;&gt;"ГОТОВО",E22,IF(NOT(IF(ISNUMBER('Калькулятор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РАСЧЁТА",IF(A22&lt;='Калькулятор срока оплаты'!$B$9,"УЧТЁН","ПОСЛЕ ДАТЫ"))))</f>
        <v/>
      </c>
      <c r="E22" s="3" t="str">
        <f t="shared" si="0"/>
        <v/>
      </c>
      <c r="F22" s="1">
        <f t="shared" si="1"/>
        <v>0</v>
      </c>
    </row>
    <row r="23" spans="1:6" ht="27.95" customHeight="1" x14ac:dyDescent="0.25">
      <c r="A23" s="18"/>
      <c r="B23" s="19"/>
      <c r="C23" s="14"/>
      <c r="D23" s="3" t="str">
        <f>IF(E23="","",IF(E23&lt;&gt;"ГОТОВО",E23,IF(NOT(IF(ISNUMBER('Калькулятор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РАСЧЁТА",IF(A23&lt;='Калькулятор срока оплаты'!$B$9,"УЧТЁН","ПОСЛЕ ДАТЫ"))))</f>
        <v/>
      </c>
      <c r="E23" s="3" t="str">
        <f t="shared" si="0"/>
        <v/>
      </c>
      <c r="F23" s="1">
        <f t="shared" si="1"/>
        <v>0</v>
      </c>
    </row>
    <row r="24" spans="1:6" ht="27.95" customHeight="1" x14ac:dyDescent="0.25">
      <c r="A24" s="18"/>
      <c r="B24" s="19"/>
      <c r="C24" s="14"/>
      <c r="D24" s="3" t="str">
        <f>IF(E24="","",IF(E24&lt;&gt;"ГОТОВО",E24,IF(NOT(IF(ISNUMBER('Калькулятор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РАСЧЁТА",IF(A24&lt;='Калькулятор срока оплаты'!$B$9,"УЧТЁН","ПОСЛЕ ДАТЫ"))))</f>
        <v/>
      </c>
      <c r="E24" s="3" t="str">
        <f t="shared" si="0"/>
        <v/>
      </c>
      <c r="F24" s="1">
        <f t="shared" si="1"/>
        <v>0</v>
      </c>
    </row>
    <row r="25" spans="1:6" ht="21.95" customHeight="1" x14ac:dyDescent="0.25">
      <c r="A25" s="1"/>
      <c r="B25" s="1"/>
      <c r="C25" s="1"/>
      <c r="D25" s="1"/>
      <c r="E25" s="1"/>
      <c r="F25" s="1"/>
    </row>
    <row r="26" spans="1:6" ht="21.95" customHeight="1" x14ac:dyDescent="0.25">
      <c r="A26" s="1" t="s">
        <v>94</v>
      </c>
      <c r="B26" s="1"/>
      <c r="C26" s="1"/>
      <c r="D26" s="1"/>
      <c r="E26" s="1"/>
      <c r="F26" s="1"/>
    </row>
    <row r="27" spans="1:6" ht="21.95" customHeight="1" x14ac:dyDescent="0.25">
      <c r="A27" s="1" t="s">
        <v>95</v>
      </c>
      <c r="B27" s="1"/>
      <c r="C27" s="1"/>
      <c r="D27" s="1"/>
      <c r="E27" s="1"/>
      <c r="F27" s="1"/>
    </row>
    <row r="28" spans="1:6" ht="21.95" customHeight="1" x14ac:dyDescent="0.25">
      <c r="A28" s="1" t="s">
        <v>96</v>
      </c>
      <c r="B28" s="1"/>
      <c r="C28" s="1"/>
      <c r="D28" s="1"/>
      <c r="E28" s="1"/>
      <c r="F28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C22"/>
  <sheetViews>
    <sheetView showGridLines="0" workbookViewId="0"/>
  </sheetViews>
  <sheetFormatPr defaultRowHeight="15" x14ac:dyDescent="0.25"/>
  <cols>
    <col min="1" max="1" width="17" customWidth="1"/>
    <col min="2" max="2" width="28" customWidth="1"/>
    <col min="3" max="3" width="44" customWidth="1"/>
  </cols>
  <sheetData>
    <row r="1" spans="1:3" ht="21.95" customHeight="1" x14ac:dyDescent="0.25">
      <c r="A1" s="1" t="s">
        <v>97</v>
      </c>
      <c r="B1" s="1"/>
      <c r="C1" s="1"/>
    </row>
    <row r="2" spans="1:3" ht="21.95" customHeight="1" x14ac:dyDescent="0.25">
      <c r="A2" s="1" t="s">
        <v>98</v>
      </c>
      <c r="B2" s="1"/>
      <c r="C2" s="1"/>
    </row>
    <row r="3" spans="1:3" ht="21.95" customHeight="1" x14ac:dyDescent="0.25">
      <c r="A3" s="1"/>
      <c r="B3" s="1"/>
      <c r="C3" s="1"/>
    </row>
    <row r="4" spans="1:3" ht="21.95" customHeight="1" x14ac:dyDescent="0.25">
      <c r="A4" s="2" t="s">
        <v>99</v>
      </c>
      <c r="B4" s="2" t="s">
        <v>100</v>
      </c>
      <c r="C4" s="2" t="s">
        <v>101</v>
      </c>
    </row>
    <row r="5" spans="1:3" ht="27.95" customHeight="1" x14ac:dyDescent="0.25">
      <c r="A5" s="11">
        <v>46023</v>
      </c>
      <c r="B5" s="1" t="s">
        <v>102</v>
      </c>
      <c r="C5" s="3" t="s">
        <v>103</v>
      </c>
    </row>
    <row r="6" spans="1:3" ht="27.95" customHeight="1" x14ac:dyDescent="0.25">
      <c r="A6" s="11">
        <v>46024</v>
      </c>
      <c r="B6" s="1" t="s">
        <v>102</v>
      </c>
      <c r="C6" s="3" t="s">
        <v>104</v>
      </c>
    </row>
    <row r="7" spans="1:3" ht="27.95" customHeight="1" x14ac:dyDescent="0.25">
      <c r="A7" s="11">
        <v>46025</v>
      </c>
      <c r="B7" s="1" t="s">
        <v>102</v>
      </c>
      <c r="C7" s="3" t="s">
        <v>105</v>
      </c>
    </row>
    <row r="8" spans="1:3" ht="27.95" customHeight="1" x14ac:dyDescent="0.25">
      <c r="A8" s="11">
        <v>46026</v>
      </c>
      <c r="B8" s="1" t="s">
        <v>102</v>
      </c>
      <c r="C8" s="3" t="s">
        <v>106</v>
      </c>
    </row>
    <row r="9" spans="1:3" ht="27.95" customHeight="1" x14ac:dyDescent="0.25">
      <c r="A9" s="11">
        <v>46027</v>
      </c>
      <c r="B9" s="1" t="s">
        <v>102</v>
      </c>
      <c r="C9" s="3" t="s">
        <v>107</v>
      </c>
    </row>
    <row r="10" spans="1:3" ht="27.95" customHeight="1" x14ac:dyDescent="0.25">
      <c r="A10" s="11">
        <v>46028</v>
      </c>
      <c r="B10" s="1" t="s">
        <v>102</v>
      </c>
      <c r="C10" s="3"/>
    </row>
    <row r="11" spans="1:3" ht="27.95" customHeight="1" x14ac:dyDescent="0.25">
      <c r="A11" s="11">
        <v>46029</v>
      </c>
      <c r="B11" s="1" t="s">
        <v>102</v>
      </c>
      <c r="C11" s="3" t="s">
        <v>108</v>
      </c>
    </row>
    <row r="12" spans="1:3" ht="27.95" customHeight="1" x14ac:dyDescent="0.25">
      <c r="A12" s="11">
        <v>46030</v>
      </c>
      <c r="B12" s="1" t="s">
        <v>102</v>
      </c>
      <c r="C12" s="3"/>
    </row>
    <row r="13" spans="1:3" ht="27.95" customHeight="1" x14ac:dyDescent="0.25">
      <c r="A13" s="11">
        <v>46031</v>
      </c>
      <c r="B13" s="1" t="s">
        <v>104</v>
      </c>
      <c r="C13" s="3" t="s">
        <v>109</v>
      </c>
    </row>
    <row r="14" spans="1:3" ht="27.95" customHeight="1" x14ac:dyDescent="0.25">
      <c r="A14" s="11">
        <v>46076</v>
      </c>
      <c r="B14" s="1" t="s">
        <v>102</v>
      </c>
      <c r="C14" s="3"/>
    </row>
    <row r="15" spans="1:3" ht="45.95" customHeight="1" x14ac:dyDescent="0.25">
      <c r="A15" s="11">
        <v>46089</v>
      </c>
      <c r="B15" s="1" t="s">
        <v>102</v>
      </c>
      <c r="C15" s="3" t="s">
        <v>110</v>
      </c>
    </row>
    <row r="16" spans="1:3" ht="27.95" customHeight="1" x14ac:dyDescent="0.25">
      <c r="A16" s="11">
        <v>46090</v>
      </c>
      <c r="B16" s="1" t="s">
        <v>102</v>
      </c>
      <c r="C16" s="3"/>
    </row>
    <row r="17" spans="1:3" ht="27.95" customHeight="1" x14ac:dyDescent="0.25">
      <c r="A17" s="11">
        <v>46143</v>
      </c>
      <c r="B17" s="1" t="s">
        <v>102</v>
      </c>
      <c r="C17" s="3"/>
    </row>
    <row r="18" spans="1:3" ht="45.95" customHeight="1" x14ac:dyDescent="0.25">
      <c r="A18" s="11">
        <v>46151</v>
      </c>
      <c r="B18" s="1" t="s">
        <v>102</v>
      </c>
      <c r="C18" s="3" t="s">
        <v>111</v>
      </c>
    </row>
    <row r="19" spans="1:3" ht="27.95" customHeight="1" x14ac:dyDescent="0.25">
      <c r="A19" s="11">
        <v>46153</v>
      </c>
      <c r="B19" s="1" t="s">
        <v>102</v>
      </c>
      <c r="C19" s="3"/>
    </row>
    <row r="20" spans="1:3" ht="27.95" customHeight="1" x14ac:dyDescent="0.25">
      <c r="A20" s="11">
        <v>46185</v>
      </c>
      <c r="B20" s="1" t="s">
        <v>102</v>
      </c>
      <c r="C20" s="3"/>
    </row>
    <row r="21" spans="1:3" ht="45.95" customHeight="1" x14ac:dyDescent="0.25">
      <c r="A21" s="11">
        <v>46330</v>
      </c>
      <c r="B21" s="1" t="s">
        <v>102</v>
      </c>
      <c r="C21" s="3" t="s">
        <v>112</v>
      </c>
    </row>
    <row r="22" spans="1:3" ht="27.95" customHeight="1" x14ac:dyDescent="0.25">
      <c r="A22" s="11">
        <v>46387</v>
      </c>
      <c r="B22" s="1" t="s">
        <v>104</v>
      </c>
      <c r="C22" s="3"/>
    </row>
  </sheetData>
  <sheetProtection sheet="1" objects="1" scenarios="1"/>
  <hyperlinks>
    <hyperlink ref="C5" r:id="rId1"/>
    <hyperlink ref="C6" r:id="rId2"/>
    <hyperlink ref="C7" r:id="rId3"/>
    <hyperlink ref="C8" r:id="rId4"/>
    <hyperlink ref="C9" r:id="rId5"/>
  </hyperlinks>
  <printOptions horizontalCentered="1"/>
  <pageMargins left="0.25" right="0.25" top="0.3" bottom="0.3" header="0.1" footer="0.1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Калькулятор срока оплаты</vt:lpstr>
      <vt:lpstr>Периоды</vt:lpstr>
      <vt:lpstr>Платежи</vt:lpstr>
      <vt:lpstr>Календарь</vt:lpstr>
      <vt:lpstr>Календарь!Print_Area</vt:lpstr>
      <vt:lpstr>'Калькулятор срока оплаты'!Print_Area</vt:lpstr>
      <vt:lpstr>Периоды!Print_Area</vt:lpstr>
      <vt:lpstr>Платежи!Print_Area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x6</cp:lastModifiedBy>
  <cp:lastPrinted>2026-10-23T04:29:17Z</cp:lastPrinted>
  <dcterms:created xsi:type="dcterms:W3CDTF">2026-10-23T04:29:17Z</dcterms:created>
  <dcterms:modified xsi:type="dcterms:W3CDTF">2026-10-23T04:29:17Z</dcterms:modified>
</cp:coreProperties>
</file>