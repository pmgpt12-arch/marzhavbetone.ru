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3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D18" i="3" s="1"/>
  <c r="E17" i="3"/>
  <c r="F17" i="3" s="1"/>
  <c r="E16" i="3"/>
  <c r="F16" i="3" s="1"/>
  <c r="E15" i="3"/>
  <c r="F15" i="3" s="1"/>
  <c r="E14" i="3"/>
  <c r="D14" i="3" s="1"/>
  <c r="E13" i="3"/>
  <c r="F13" i="3" s="1"/>
  <c r="E12" i="3"/>
  <c r="F12" i="3" s="1"/>
  <c r="E11" i="3"/>
  <c r="F11" i="3" s="1"/>
  <c r="E10" i="3"/>
  <c r="D10" i="3" s="1"/>
  <c r="E9" i="3"/>
  <c r="F9" i="3" s="1"/>
  <c r="E8" i="3"/>
  <c r="F8" i="3" s="1"/>
  <c r="E7" i="3"/>
  <c r="F7" i="3" s="1"/>
  <c r="E6" i="3"/>
  <c r="D6" i="3" s="1"/>
  <c r="E5" i="3"/>
  <c r="F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B6" i="2"/>
  <c r="B24" i="1"/>
  <c r="B7" i="1"/>
  <c r="B26" i="1" s="1"/>
  <c r="A5" i="2" s="1"/>
  <c r="F7" i="2" l="1"/>
  <c r="J19" i="2"/>
  <c r="F19" i="2"/>
  <c r="D11" i="3"/>
  <c r="D7" i="3"/>
  <c r="F15" i="2"/>
  <c r="J21" i="2"/>
  <c r="D15" i="3"/>
  <c r="F21" i="3"/>
  <c r="B8" i="1"/>
  <c r="H21" i="2"/>
  <c r="F11" i="2"/>
  <c r="J11" i="2"/>
  <c r="H19" i="2"/>
  <c r="J23" i="2"/>
  <c r="D5" i="3"/>
  <c r="D13" i="3"/>
  <c r="D22" i="3"/>
  <c r="J7" i="2"/>
  <c r="J15" i="2"/>
  <c r="D9" i="3"/>
  <c r="J9" i="2"/>
  <c r="J13" i="2"/>
  <c r="J17" i="2"/>
  <c r="F21" i="2"/>
  <c r="H23" i="2"/>
  <c r="H24" i="2"/>
  <c r="D17" i="3"/>
  <c r="D19" i="3"/>
  <c r="D23" i="3"/>
  <c r="F9" i="2"/>
  <c r="F13" i="2"/>
  <c r="F17" i="2"/>
  <c r="F23" i="2"/>
  <c r="B5" i="2"/>
  <c r="F8" i="2"/>
  <c r="J8" i="2"/>
  <c r="F10" i="2"/>
  <c r="J10" i="2"/>
  <c r="F12" i="2"/>
  <c r="J12" i="2"/>
  <c r="F14" i="2"/>
  <c r="J14" i="2"/>
  <c r="F16" i="2"/>
  <c r="J16" i="2"/>
  <c r="F18" i="2"/>
  <c r="J18" i="2"/>
  <c r="F20" i="2"/>
  <c r="J20" i="2"/>
  <c r="F24" i="2"/>
  <c r="J24" i="2"/>
  <c r="H7" i="2"/>
  <c r="H9" i="2"/>
  <c r="H11" i="2"/>
  <c r="H13" i="2"/>
  <c r="H15" i="2"/>
  <c r="H17" i="2"/>
  <c r="F22" i="2"/>
  <c r="J22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I17" i="2"/>
  <c r="M17" i="2"/>
  <c r="G18" i="2"/>
  <c r="K18" i="2"/>
  <c r="I19" i="2"/>
  <c r="M19" i="2"/>
  <c r="G20" i="2"/>
  <c r="K20" i="2"/>
  <c r="I21" i="2"/>
  <c r="M21" i="2"/>
  <c r="G22" i="2"/>
  <c r="K22" i="2"/>
  <c r="I23" i="2"/>
  <c r="M23" i="2"/>
  <c r="G24" i="2"/>
  <c r="K24" i="2"/>
  <c r="F6" i="3"/>
  <c r="D8" i="3"/>
  <c r="F10" i="3"/>
  <c r="D12" i="3"/>
  <c r="F14" i="3"/>
  <c r="D16" i="3"/>
  <c r="F18" i="3"/>
  <c r="D20" i="3"/>
  <c r="D24" i="3"/>
  <c r="H8" i="2"/>
  <c r="H10" i="2"/>
  <c r="H12" i="2"/>
  <c r="H20" i="2"/>
  <c r="H14" i="2"/>
  <c r="H16" i="2"/>
  <c r="H18" i="2"/>
  <c r="H22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G21" i="2"/>
  <c r="I22" i="2"/>
  <c r="G23" i="2"/>
  <c r="I24" i="2"/>
  <c r="B19" i="1" l="1"/>
  <c r="C24" i="2" l="1"/>
  <c r="C9" i="2"/>
  <c r="B21" i="1"/>
  <c r="B20" i="1" s="1"/>
  <c r="C18" i="2"/>
  <c r="C11" i="2"/>
  <c r="B22" i="1"/>
  <c r="C6" i="2"/>
  <c r="L6" i="2" s="1"/>
  <c r="C21" i="2"/>
  <c r="C5" i="2"/>
  <c r="L5" i="2" s="1"/>
  <c r="G5" i="2" s="1"/>
  <c r="C22" i="2"/>
  <c r="C7" i="2"/>
  <c r="C13" i="2"/>
  <c r="C15" i="2"/>
  <c r="C19" i="2"/>
  <c r="C8" i="2"/>
  <c r="C20" i="2"/>
  <c r="C12" i="2"/>
  <c r="C10" i="2"/>
  <c r="C23" i="2"/>
  <c r="C17" i="2"/>
  <c r="C14" i="2"/>
  <c r="C16" i="2"/>
  <c r="M6" i="2" l="1"/>
  <c r="F6" i="2"/>
  <c r="I6" i="2"/>
  <c r="G6" i="2"/>
  <c r="J6" i="2" s="1"/>
  <c r="H6" i="2"/>
  <c r="K6" i="2"/>
  <c r="F5" i="2"/>
  <c r="K5" i="2"/>
  <c r="I5" i="2"/>
  <c r="H5" i="2"/>
  <c r="M5" i="2"/>
  <c r="B27" i="1" s="1"/>
  <c r="J5" i="2"/>
  <c r="B23" i="1" l="1"/>
  <c r="B12" i="1" s="1"/>
  <c r="B25" i="1" s="1"/>
</calcChain>
</file>

<file path=xl/sharedStrings.xml><?xml version="1.0" encoding="utf-8"?>
<sst xmlns="http://schemas.openxmlformats.org/spreadsheetml/2006/main" count="135" uniqueCount="116">
  <si>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</si>
  <si>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</si>
  <si>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</si>
  <si>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</si>
  <si>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</si>
  <si>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</si>
  <si>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</si>
  <si>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</si>
  <si>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</si>
  <si>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</si>
  <si>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</si>
  <si>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</si>
  <si>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</si>
  <si>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</si>
  <si>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</si>
  <si>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</si>
  <si>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</si>
  <si>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</si>
  <si>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</si>
  <si>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</si>
  <si>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</si>
  <si>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</si>
  <si>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</si>
  <si>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</si>
  <si>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</si>
  <si>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</si>
  <si>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</si>
  <si>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</si>
  <si>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</si>
  <si>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</si>
  <si>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</si>
  <si>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</si>
  <si>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</si>
  <si>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</si>
  <si>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</si>
  <si>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</si>
  <si>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</si>
  <si>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</si>
  <si>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</si>
  <si>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</si>
  <si>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</si>
  <si>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</si>
  <si>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</si>
  <si>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</si>
  <si>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</si>
  <si>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</si>
  <si>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</si>
  <si>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</si>
  <si>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</si>
  <si>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</si>
  <si>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</si>
  <si>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</si>
  <si>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</si>
  <si>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</si>
  <si>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</si>
  <si>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</si>
  <si>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</si>
  <si>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</si>
  <si>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</si>
  <si>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</si>
  <si>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</si>
  <si>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</si>
  <si>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</si>
  <si>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</si>
  <si>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</si>
  <si>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</si>
  <si>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</si>
  <si>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</si>
  <si>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</si>
  <si>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</si>
  <si>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</si>
  <si>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</si>
  <si>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</si>
  <si>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</si>
  <si>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</si>
  <si>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</si>
  <si>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</si>
  <si>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</si>
  <si>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</si>
  <si>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</si>
  <si>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</si>
  <si>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</si>
  <si>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</si>
  <si>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</si>
  <si>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</si>
  <si>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</si>
  <si>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</si>
  <si>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</si>
  <si>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</si>
  <si>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</si>
  <si>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</si>
  <si>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</si>
  <si>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</si>
  <si>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</si>
  <si>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</si>
  <si>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</si>
  <si>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</si>
  <si>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</si>
  <si>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</si>
  <si>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</si>
  <si>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</si>
  <si>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</si>
  <si>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</si>
  <si>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</si>
  <si>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</si>
  <si>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</si>
  <si>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</si>
  <si>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</si>
  <si>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</si>
  <si>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</si>
  <si>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</si>
  <si>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</si>
  <si>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</si>
  <si>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проценты 395</t>
  </si>
  <si>
    <t>нет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</si>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</sst>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82.19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>
        <v>0.1</v>
      </c>
      <c r="C15" s="3" t="s">
        <v>31</v>
      </c>
    </row>
    <row r="16" spans="1:3" ht="24.95" customHeight="1" x14ac:dyDescent="0.25">
      <c r="A16" s="3" t="s">
        <v>32</v>
      </c>
      <c r="B16" s="14" t="s">
        <v>115</v>
      </c>
      <c r="C16" s="3" t="s">
        <v>33</v>
      </c>
    </row>
    <row r="17" spans="1:3" ht="24.95" customHeight="1" x14ac:dyDescent="0.25">
      <c r="A17" s="3" t="s">
        <v>34</v>
      </c>
      <c r="B17" s="14" t="s">
        <v>115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100000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>
        <f>IF(B13&lt;&gt;"проценты 395","НЕ ВЫБРАНО",IF(B27="ГОТОВО",ROUND(SUM(Периоды!$J$5:$J$24),2),IF(B27="ПРОСРОЧКИ НЕТ",0,B27)))</f>
        <v>82.19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НЕ ВЫБРАНО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100082.19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46315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1</v>
      </c>
      <c r="G5" s="1">
        <f t="shared" ref="G5:G24" si="1">IF(L5="ГОТОВО",MIN(B5,DATE(YEAR(A5)+1,1,1)-1)-A5+1,"")</f>
        <v>1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>27.397260273972602</v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46316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100000</v>
      </c>
      <c r="D6" s="17">
        <v>0.2</v>
      </c>
      <c r="E6" s="17"/>
      <c r="F6" s="1">
        <f t="shared" si="0"/>
        <v>1</v>
      </c>
      <c r="G6" s="1">
        <f t="shared" si="1"/>
        <v>1</v>
      </c>
      <c r="H6" s="1">
        <f t="shared" si="2"/>
        <v>0</v>
      </c>
      <c r="I6" s="1">
        <f t="shared" si="3"/>
        <v>0</v>
      </c>
      <c r="J6" s="12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>54.794520547945204</v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ГОТОВО</v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/>
      <c r="B5" s="19"/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/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/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2026-10-23T04:27:03Z</cp:lastPrinted>
  <dcterms:created xsi:type="dcterms:W3CDTF">2026-10-23T04:27:03Z</dcterms:created>
  <dcterms:modified xsi:type="dcterms:W3CDTF">2026-10-23T04:27:03Z</dcterms:modified>
</cp:coreProperties>
</file>