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38bc7326c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тор срока оплаты" sheetId="1" r:id="R8504acb168394e28"/>
    <x:sheet xmlns:r="http://schemas.openxmlformats.org/officeDocument/2006/relationships" name="Периоды" sheetId="2" r:id="Rc5a749c502d14f12"/>
    <x:sheet xmlns:r="http://schemas.openxmlformats.org/officeDocument/2006/relationships" name="Платежи" sheetId="3" r:id="R639261ce6747473b"/>
    <x:sheet xmlns:r="http://schemas.openxmlformats.org/officeDocument/2006/relationships" name="Календарь" sheetId="4" r:id="R66b256a34a69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.00%"/>
    <x:numFmt numFmtId="202" formatCode="#,##0.00 &quot;₽&quot;"/>
    <x:numFmt numFmtId="203" formatCode="#,##0.00"/>
  </x:numFmts>
  <x:fonts count="6">
    <x:font>
      <x:sz val="11"/>
      <x:color theme="1"/>
      <x:name val="Calibri"/>
      <x:family val="2"/>
      <x:scheme val="minor"/>
    </x:font>
    <x:font>
      <x:b/>
      <x:sz val="11"/>
      <x:color rgb="FFFFFFFF"/>
    </x:font>
    <x:font>
      <x:sz val="10"/>
      <x:color rgb="FF252A30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252A30"/>
      <x:name val="Arial"/>
      <x:family val="2"/>
      <x:scheme val="minor"/>
    </x:font>
    <x:font>
      <x:sz val="9"/>
      <x:color rgb="FF252A30"/>
      <x:name val="Arial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252A30"/>
      </x:patternFill>
    </x:fill>
    <x:fill>
      <x:patternFill patternType="solid">
        <x:fgColor rgb="FFFFF2CC"/>
      </x:patternFill>
    </x:fill>
    <x:fill>
      <x:patternFill patternType="solid">
        <x:fgColor rgb="FFF2F3F5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3" fontId="2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3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e7883778e48f3" /><Relationship Type="http://schemas.openxmlformats.org/officeDocument/2006/relationships/theme" Target="/xl/theme/theme1.xml" Id="R12784c2051694dca" /><Relationship Type="http://schemas.openxmlformats.org/officeDocument/2006/relationships/sharedStrings" Target="/xl/sharedStrings.xml" Id="R13aaf3ef9e4e4b35" /><Relationship Type="http://schemas.openxmlformats.org/officeDocument/2006/relationships/worksheet" Target="/xl/worksheets/sheet1.xml" Id="R8504acb168394e28" /><Relationship Type="http://schemas.openxmlformats.org/officeDocument/2006/relationships/worksheet" Target="/xl/worksheets/sheet2.xml" Id="Rc5a749c502d14f12" /><Relationship Type="http://schemas.openxmlformats.org/officeDocument/2006/relationships/worksheet" Target="/xl/worksheets/sheet3.xml" Id="R639261ce6747473b" /><Relationship Type="http://schemas.openxmlformats.org/officeDocument/2006/relationships/worksheet" Target="/xl/worksheets/sheet4.xml" Id="R66b256a34a6944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2A30"/>
  </x:sheetPr>
  <x:sheetViews>
    <x:sheetView showGridLines="0" workbookViewId="0"/>
  </x:sheetViews>
  <x:sheetFormatPr baseColWidth="8" defaultRowHeight="15"/>
  <x:cols>
    <x:col min="1" max="1" width="34" hidden="0" customWidth="1"/>
    <x:col min="2" max="2" width="27" hidden="0" customWidth="1"/>
    <x:col min="3" max="3" width="54" hidden="0" customWidth="1"/>
  </x:cols>
  <x:sheetData>
    <x:row r="1" ht="25" customHeight="1">
      <x:c r="A1" s="11" t="str">
        <x:v>Параметр</x:v>
      </x:c>
      <x:c r="B1" s="11" t="str">
        <x:v>Значение</x:v>
      </x:c>
      <x:c r="C1" s="11" t="str">
        <x:v>Как заполнить</x:v>
      </x:c>
    </x:row>
    <x:row r="2" ht="25" customHeight="1">
      <x:c r="A2" s="12" t="str">
        <x:v>Дата КС-2</x:v>
      </x:c>
      <x:c r="B2" s="15"/>
      <x:c r="C2" s="12" t="str">
        <x:v>Справочно. Срок определяет событие в строке 6.</x:v>
      </x:c>
    </x:row>
    <x:row r="3" ht="25" customHeight="1">
      <x:c r="A3" s="12" t="str">
        <x:v>Дата КС-3</x:v>
      </x:c>
      <x:c r="B3" s="15"/>
      <x:c r="C3" s="12" t="str">
        <x:v>Справочно. Не складывайте КС-2 и накопительную КС-3.</x:v>
      </x:c>
    </x:row>
    <x:row r="4" ht="25" customHeight="1">
      <x:c r="A4" s="12" t="str">
        <x:v>Срок оплаты, дней</x:v>
      </x:c>
      <x:c r="B4" s="13"/>
      <x:c r="C4" s="12" t="str">
        <x:v>Целое число от 0. День события не входит.</x:v>
      </x:c>
    </x:row>
    <x:row r="5" ht="25" customHeight="1">
      <x:c r="A5" s="12" t="str">
        <x:v>Тип срока</x:v>
      </x:c>
      <x:c r="B5" s="13" t="str">
        <x:v>календарные</x:v>
      </x:c>
      <x:c r="C5" s="12" t="str">
        <x:v>рабочие / календарные / дата</x:v>
      </x:c>
    </x:row>
    <x:row r="6" ht="25" customHeight="1">
      <x:c r="A6" s="12" t="str">
        <x:v>Дата договорного события</x:v>
      </x:c>
      <x:c r="B6" s="15"/>
      <x:c r="C6" s="12" t="str">
        <x:v>Укажите подтверждённое событие, предусмотренное договором.</x:v>
      </x:c>
    </x:row>
    <x:row r="7" ht="25" customHeight="1">
      <x:c r="A7" s="12" t="str">
        <x:v>Крайний день оплаты</x:v>
      </x:c>
      <x:c r="B7" s="16" t="str">
        <x: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ДАТА",IF(YEAR(WORKDAY((IF(B5="рабочие",WORKDAY(B6,B4,'Календарь'!$A$5:$A$22),B6+B4))-1,1,'Календарь'!$A$5:$A$22))&lt;&gt;2026,"НУЖНА РУЧНАЯ ДАТА",WORKDAY((IF(B5="рабочие",WORKDAY(B6,B4,'Календарь'!$A$5:$A$22),B6+B4))-1,1,'Календарь'!$A$5:$A$22))))))))</x:f>
        <x:v>ПОДТВЕРДИТЕ ДАТУ</x:v>
      </x:c>
      <x:c r="C7" s="12" t="str">
        <x:v>Перенос на рабочий день включён для календаря 2026.</x:v>
      </x:c>
    </x:row>
    <x:row r="8" ht="25" customHeight="1">
      <x:c r="A8" s="12" t="str">
        <x:v>Календарных дней просрочки</x:v>
      </x:c>
      <x:c r="B8" s="14" t="str">
        <x:f>IF(AND(ISNUMBER(B7),IF(ISNUMBER(B9),AND(B9&gt;=DATE(2016,8,1),B9&lt;=DATE(2100,12,31),MOD(B9,1)=0),FALSE)),MAX(0,B9-B7),"ПРОВЕРЬТЕ ДАТЫ")</x:f>
        <x:v>ПРОВЕРЬТЕ ДАТЫ</x:v>
      </x:c>
      <x:c r="C8" s="12" t="str">
        <x:v>С первого дня после срока по дату расчёта включительно.</x:v>
      </x:c>
    </x:row>
    <x:row r="9" ht="25" customHeight="1">
      <x:c r="A9" s="12" t="str">
        <x:v>Дата окончания расчёта</x:v>
      </x:c>
      <x:c r="B9" s="15"/>
      <x:c r="C9" s="12" t="str">
        <x:v>Фиксированная дата. TODAY() не используется.</x:v>
      </x:c>
    </x:row>
    <x:row r="10" ht="25" customHeight="1">
      <x:c r="A10" s="12" t="str">
        <x:v>Договорная пеня, % в день</x:v>
      </x:c>
      <x:c r="B10" s="17"/>
      <x:c r="C10" s="12" t="str">
        <x:v>Введите 0,1% как 0,1%. Не годовая ставка.</x:v>
      </x:c>
    </x:row>
    <x:row r="11" ht="25" customHeight="1">
      <x:c r="A11" s="12" t="str">
        <x:v>Сумма обязательства, руб.</x:v>
      </x:c>
      <x:c r="B11" s="18"/>
      <x:c r="C11" s="12" t="str">
        <x:v>Основной долг до внесённых оплат, без санкций.</x:v>
      </x:c>
    </x:row>
    <x:row r="12" ht="25" customHeight="1">
      <x:c r="A12" s="12" t="str">
        <x:v>Выбранная санкция, руб.</x:v>
      </x:c>
      <x:c r="B12" s="19" t="str">
        <x:f>IF(B13="проценты 395",B23,IF(B13="пеня",B24,IF(B13="без санкций",0,"ВЫБЕРИТЕ РЕЖИМ")))</x:f>
        <x:v>ВЫБЕРИТЕ РЕЖИМ</x:v>
      </x:c>
      <x:c r="C12" s="12" t="str">
        <x:v>Только один режим из строки 13.</x:v>
      </x:c>
    </x:row>
    <x:row r="13" ht="25" customHeight="1">
      <x:c r="A13" s="12" t="str">
        <x:v>Режим расчёта</x:v>
      </x:c>
      <x:c r="B13" s="13"/>
      <x:c r="C13" s="12" t="str">
        <x:v>395 / пеня / без санкций. Одновременного начисления нет.</x:v>
      </x:c>
    </x:row>
    <x:row r="14" ht="25" customHeight="1">
      <x:c r="A14" s="12" t="str">
        <x:v>Есть неустойка за это нарушение</x:v>
      </x:c>
      <x:c r="B14" s="13"/>
      <x:c r="C14" s="12" t="str">
        <x:v>да / нет / неизвестно. Учитывайте закон и договор.</x:v>
      </x:c>
    </x:row>
    <x:row r="15" ht="25" customHeight="1">
      <x:c r="A15" s="12" t="str">
        <x:v>Ставка 395, % годовых</x:v>
      </x:c>
      <x:c r="B15" s="17"/>
      <x:c r="C15" s="12" t="str">
        <x:v>На каждый период проверьте ставку Банка России.</x:v>
      </x:c>
    </x:row>
    <x:row r="16" ht="25" customHeight="1">
      <x:c r="A16" s="12" t="str">
        <x:v>Крайняя дата проверена</x:v>
      </x:c>
      <x:c r="B16" s="13"/>
      <x:c r="C16" s="12" t="str">
        <x:v>да — проверены договор, календарь и применимость ст. 193.</x:v>
      </x:c>
    </x:row>
    <x:row r="17" ht="25" customHeight="1">
      <x:c r="A17" s="12" t="str">
        <x:v>Основание и ставки проверены</x:v>
      </x:c>
      <x:c r="B17" s="13"/>
      <x:c r="C17" s="12" t="str">
        <x:v>да — проверены выбранная санкция, база и все её периоды.</x:v>
      </x:c>
    </x:row>
    <x:row r="18" ht="25" customHeight="1">
      <x:c r="A18" s="12" t="str">
        <x:v>Крайняя дата вручную</x:v>
      </x:c>
      <x:c r="B18" s="15"/>
      <x:c r="C18" s="12" t="str">
        <x:v>Для типа «дата»: окончательная дата после правовой проверки.</x:v>
      </x:c>
    </x:row>
    <x:row r="19" ht="25" customHeight="1">
      <x:c r="A19" s="12" t="str">
        <x:v>Исходные данные</x:v>
      </x:c>
      <x:c r="B19" s="20" t="str">
        <x:f>IF(NOT(ISNUMBER(B7)),"ПРОВЕРЬТЕ СРОК",IF(NOT(IF(ISNUMBER(B9),AND(B9&gt;=DATE(2016,8,1),B9&lt;=DATE(2100,12,31),MOD(B9,1)=0),FALSE)),"ДАТА РАСЧЁТА",IF(NOT(IF(ISNUMBER(B11),AND(B11&gt;=0,ROUND(B11,2)=B11),FALSE)),"СУММА ДОЛГА",IF(SUM('Платежи'!$F$5:$F$24)&gt;0,"ПРОВЕРЬТЕ ПЛАТЕЖИ","ГОТОВО"))))</x:f>
        <x:v>ПРОВЕРЬТЕ СРОК</x:v>
      </x:c>
      <x:c r="C19" s="12" t="str">
        <x:v>Платежи: до 20 строк, только отнесённая на основной долг сумма.</x:v>
      </x:c>
    </x:row>
    <x:row r="20" ht="25" customHeight="1">
      <x:c r="A20" s="12" t="str">
        <x:v>Остаток основного долга</x:v>
      </x:c>
      <x:c r="B20" s="21" t="str">
        <x:f>IF(B19&lt;&gt;"ГОТОВО",B19,IF(B21&gt;B11,"ОПЛАТЫ БОЛЬШЕ ДОЛГА",ROUND(B11-B21,2)))</x:f>
        <x:v>ПРОВЕРЬТЕ СРОК</x:v>
      </x:c>
      <x:c r="C20" s="12" t="str">
        <x:v>Оплаты по дату расчёта включительно вычитаются один раз.</x:v>
      </x:c>
    </x:row>
    <x:row r="21" ht="25" customHeight="1">
      <x:c r="A21" s="12" t="str">
        <x:v>Учтено оплат</x:v>
      </x:c>
      <x:c r="B21" s="21" t="str">
        <x:f>IF(B19&lt;&gt;"ГОТОВО",B19,SUMIFS('Платежи'!$B$5:$B$24,'Платежи'!$A$5:$A$24,"&lt;="&amp;B9))</x:f>
        <x:v>ПРОВЕРЬТЕ СРОК</x:v>
      </x:c>
      <x:c r="C21" s="12" t="str">
        <x:v>Будущие оплаты не уменьшают текущий остаток.</x:v>
      </x:c>
    </x:row>
    <x:row r="22" ht="25" customHeight="1">
      <x:c r="A22" s="12" t="str">
        <x:v>Оплаты после даты расчёта</x:v>
      </x:c>
      <x:c r="B22" s="21" t="str">
        <x:f>IF(B19&lt;&gt;"ГОТОВО",B19,SUMIFS('Платежи'!$B$5:$B$24,'Платежи'!$A$5:$A$24,"&gt;"&amp;B9))</x:f>
        <x:v>ПРОВЕРЬТЕ СРОК</x:v>
      </x:c>
      <x:c r="C22" s="12" t="str">
        <x:v>Показаны отдельно, в расчёт текущего периода не входят.</x:v>
      </x:c>
    </x:row>
    <x:row r="23" ht="25" customHeight="1">
      <x:c r="A23" s="12" t="str">
        <x:v>Проценты по ст. 395</x:v>
      </x:c>
      <x:c r="B23" s="21" t="str">
        <x:f>IF(B13&lt;&gt;"проценты 395","НЕ ВЫБРАНО",IF(B27="ГОТОВО",ROUND(SUM('Периоды'!$J$5:$J$24),2),IF(B27="ПРОСРОЧКИ НЕТ",0,B27)))</x:f>
        <x:v>НЕ ВЫБРАНО</x:v>
      </x:c>
      <x:c r="C23" s="12" t="str">
        <x:v>В режиме пени не начисляются. Без капитализации.</x:v>
      </x:c>
    </x:row>
    <x:row r="24" ht="25" customHeight="1">
      <x:c r="A24" s="12" t="str">
        <x:v>Договорная пеня</x:v>
      </x:c>
      <x:c r="B24" s="21" t="str">
        <x:f>IF(B13&lt;&gt;"пеня","НЕ ВЫБРАНО",IF(B27="ГОТОВО",ROUND(SUM('Периоды'!$K$5:$K$24),2),IF(B27="ПРОСРОЧКИ НЕТ",0,B27)))</x:f>
        <x:v>НЕ ВЫБРАНО</x:v>
      </x:c>
      <x:c r="C24" s="12" t="str">
        <x:v>Простая дневная пеня на остаток. Иные модели — отдельный расчёт.</x:v>
      </x:c>
    </x:row>
    <x:row r="25" ht="25" customHeight="1">
      <x:c r="A25" s="12" t="str">
        <x:v>Долг и выбранная санкция</x:v>
      </x:c>
      <x:c r="B25" s="21" t="str">
        <x:f>IF(AND(ISNUMBER(B20),ISNUMBER(B12)),SUM(B20,B12),"ПРОВЕРЬТЕ ВВОД")</x:f>
        <x:v>ПРОВЕРЬТЕ ВВОД</x:v>
      </x:c>
      <x:c r="C25" s="12" t="str">
        <x:v>Это две разные составляющие. Перенесите их в письмо раздельно.</x:v>
      </x:c>
    </x:row>
    <x:row r="26" ht="25" customHeight="1">
      <x:c r="A26" s="12" t="str">
        <x:v>Первый день просрочки</x:v>
      </x:c>
      <x:c r="B26" s="22" t="str">
        <x:f>IF(ISNUMBER(B7),B7+1,"ПРОВЕРЬТЕ СРОК")</x:f>
        <x:v>ПРОВЕРЬТЕ СРОК</x:v>
      </x:c>
      <x:c r="C26" s="12" t="str">
        <x:v>Следующий день после подтверждённого срока оплаты.</x:v>
      </x:c>
    </x:row>
    <x:row r="27" ht="25" customHeight="1">
      <x:c r="A27" s="12" t="str">
        <x:v>Периоды и основание</x:v>
      </x:c>
      <x:c r="B27" s="20" t="str">
        <x: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НЕТ",IF(SUM('Периоды'!$M$5:$M$24)&gt;0,"ПРОВЕРЬТЕ ПЕРИОДЫ",IF(SUM('Периоды'!$F$5:$F$24)&lt;&gt;B8,"НЕПОЛНОЕ ПОКРЫТИЕ","ГОТОВО"))))))))</x:f>
        <x:v>ПРОВЕРЬТЕ СРОК</x:v>
      </x:c>
      <x:c r="C27" s="12" t="str">
        <x:v>Если ошибка — числовой итог санкции не выдаётся.</x:v>
      </x:c>
    </x:row>
    <x:row r="28" ht="25" customHeight="1">
      <x:c r="A28" s="12" t="str">
        <x:v>Как разделить периоды</x:v>
      </x:c>
      <x:c r="B28" s="12"/>
      <x:c r="C28" s="12" t="str">
        <x:v>Новая строка: день изменения ставки или день после частичной оплаты.</x:v>
      </x:c>
    </x:row>
    <x:row r="29" ht="25" customHeight="1">
      <x:c r="A29" s="12" t="str">
        <x:v>Дата фактической оплаты</x:v>
      </x:c>
      <x:c r="B29" s="12"/>
      <x:c r="C29" s="12" t="str">
        <x:v>В платеже укажите дату исполнения обязательства и подтверждение банка.</x:v>
      </x:c>
    </x:row>
    <x:row r="30" ht="25" customHeight="1">
      <x:c r="A30" s="23" t="str">
        <x:v>Границы модели</x:v>
      </x:c>
      <x:c r="B30" s="23"/>
      <x:c r="C30" s="23" t="str">
        <x:v>Рубли, периоды с 01.08.2016, 20 оплат и 20 периодов. Особые режимы — отдельно.</x:v>
      </x:c>
    </x:row>
    <x:row r="31" ht="25" customHeight="1">
      <x:c r="A31" s="23" t="str">
        <x:v>Связь</x:v>
      </x:c>
      <x:c r="B31" s="23"/>
      <x:c r="C31" s="23" t="str">
        <x:v>nastoronepodryadchika@yandex.ru; тема ДЕНЬГИ, файл, лист, ячейка.</x:v>
      </x:c>
    </x:row>
    <x:row r="32" ht="25" customHeight="1">
      <x:c r="A32" s="23" t="str">
        <x:v>Порядок работы</x:v>
      </x:c>
      <x:c r="B32" s="23"/>
      <x:c r="C32" s="23" t="str">
        <x:v>Сначала инструкция 01, затем платежи/периоды, список 03 и письмо 04.</x:v>
      </x:c>
    </x:row>
  </x:sheetData>
  <x:dataValidations count="6">
    <x:dataValidation type="list" sqref="B5">
      <x:formula1>"рабочие,календарные,дата"</x:formula1>
    </x:dataValidation>
    <x:dataValidation type="list" sqref="B13">
      <x:formula1>"проценты 395,пеня,без санкций"</x:formula1>
    </x:dataValidation>
    <x:dataValidation type="list" sqref="B14">
      <x:formula1>"да,нет,неизвестно"</x:formula1>
    </x:dataValidation>
    <x:dataValidation type="list" sqref="B16">
      <x:formula1>"да,нет"</x:formula1>
    </x:dataValidation>
    <x:dataValidation type="list" sqref="B17">
      <x:formula1>"да,нет"</x:formula1>
    </x:dataValidation>
    <x:dataValidation type="whole" operator="between" sqref="B4">
      <x:formula1>0</x:formula1>
      <x:formula2>366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2" hidden="0" customWidth="1"/>
    <x:col min="5" max="5" width="12" hidden="0" customWidth="1"/>
    <x:col min="6" max="6" width="8" hidden="0" customWidth="1"/>
    <x:col min="7" max="7" width="10" hidden="0" customWidth="1"/>
    <x:col min="8" max="8" width="9" hidden="0" customWidth="1"/>
    <x:col min="9" max="9" width="10" hidden="0" customWidth="1"/>
    <x:col min="10" max="10" width="18" hidden="0" customWidth="1"/>
    <x:col min="11" max="11" width="18" hidden="0" customWidth="1"/>
    <x:col min="12" max="12" width="32" hidden="0" customWidth="1"/>
    <x:col min="13" max="13" width="8" hidden="0" customWidth="1"/>
  </x:cols>
  <x:sheetData>
    <x:row r="1" ht="22" customHeight="1">
      <x:c r="A1" s="8" t="str">
        <x:v>Начисления по периодам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2" customHeight="1">
      <x:c r="A2" s="8" t="str">
        <x:v>Вводите новые начала в A6:A24 по возрастанию. D/E пусто — ставка из главного листа.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2" customHeight="1">
      <x:c r="A3" s="8" t="str">
        <x:v>Частичная оплата внутри строки блокирует итог: добавьте начало следующего дня. Новая ставка — с даты её действия.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48" customHeight="1">
      <x:c r="A4" s="11" t="str">
        <x:v>Начало</x:v>
      </x:c>
      <x:c r="B4" s="11" t="str">
        <x:v>Конец</x:v>
      </x:c>
      <x:c r="C4" s="11" t="str">
        <x:v>База, руб.</x:v>
      </x:c>
      <x:c r="D4" s="11" t="str">
        <x:v>395, % год.</x:v>
      </x:c>
      <x:c r="E4" s="11" t="str">
        <x:v>Пеня, %/день</x:v>
      </x:c>
      <x:c r="F4" s="11" t="str">
        <x:v>Дней</x:v>
      </x:c>
      <x:c r="G4" s="11" t="str">
        <x:v>Дней 1-го года</x:v>
      </x:c>
      <x:c r="H4" s="11" t="str">
        <x:v>Полных лет</x:v>
      </x:c>
      <x:c r="I4" s="11" t="str">
        <x:v>Дней посл. года</x:v>
      </x:c>
      <x:c r="J4" s="11" t="str">
        <x:v>Проценты 395, руб.</x:v>
      </x:c>
      <x:c r="K4" s="11" t="str">
        <x:v>Пеня, руб.</x:v>
      </x:c>
      <x:c r="L4" s="11" t="str">
        <x:v>Контроль периода</x:v>
      </x:c>
      <x:c r="M4" s="11" t="str">
        <x:v>Ошибок</x:v>
      </x:c>
    </x:row>
    <x:row r="5" ht="28" customHeight="1">
      <x:c r="A5" s="24" t="str">
        <x:f>IF(ISNUMBER('Калькулятор срока оплаты'!$B$26),'Калькулятор срока оплаты'!$B$26,"")</x:f>
      </x:c>
      <x:c r="B5" s="24" t="str">
        <x: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x:f>
      </x:c>
      <x:c r="C5" s="26" t="str">
        <x:f>IF(AND(IF(ISNUMBER(A5),AND(A5&gt;=DATE(2016,8,1),A5&lt;=DATE(2100,12,31),MOD(A5,1)=0),FALSE),'Калькулятор срока оплаты'!$B$19="ГОТОВО"),'Калькулятор срока оплаты'!$B$11-SUMIFS('Платежи'!$B$5:$B$24,'Платежи'!$A$5:$A$24,"&lt;"&amp;A5),"")</x:f>
      </x:c>
      <x:c r="D5" s="28"/>
      <x:c r="E5" s="28"/>
      <x:c r="F5" s="8" t="str">
        <x:f>IF(L5="ГОТОВО",B5-A5+1,"")</x:f>
      </x:c>
      <x:c r="G5" s="8" t="str">
        <x:f>IF(L5="ГОТОВО",MIN(B5,DATE(YEAR(A5)+1,1,1)-1)-A5+1,"")</x:f>
      </x:c>
      <x:c r="H5" s="8" t="str">
        <x:f>IF(L5="ГОТОВО",MAX(0,YEAR(B5)-YEAR(A5)-1),"")</x:f>
      </x:c>
      <x:c r="I5" s="8" t="str">
        <x:f>IF(L5="ГОТОВО",IF(YEAR(B5)&gt;YEAR(A5),B5-DATE(YEAR(B5),1,1)+1,0),"")</x:f>
      </x:c>
      <x:c r="J5" s="26" t="str">
        <x:f>IF(AND(L5="ГОТОВО",'Калькулятор срока оплаты'!$B$13="проценты 395"),C5*IF(D5="",'Калькулятор срока оплаты'!$B$15,D5)*(G5/(DATE(YEAR(A5)+1,1,1)-DATE(YEAR(A5),1,1))+H5+I5/(DATE(YEAR(B5)+1,1,1)-DATE(YEAR(B5),1,1))),"")</x:f>
      </x:c>
      <x:c r="K5" s="26" t="str">
        <x:f>IF(AND(L5="ГОТОВО",'Калькулятор срока оплаты'!$B$13="пеня"),C5*IF(E5="",'Калькулятор срока оплаты'!$B$10,E5)*F5,"")</x:f>
      </x:c>
      <x:c r="L5" s="12" t="str">
        <x: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переплата",IF(COUNTIFS('Платежи'!$A$5:$A$24,"&gt;="&amp;A5,'Платежи'!$A$5:$A$24,"&lt;"&amp;B5)&gt;0,"ОШИБКА: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x:f>
      </x:c>
      <x:c r="M5" s="8" t="n">
        <x:f>IF(OR(L5="",L5="ГОТОВО",L5="НЕ УЧТЁН"),0,1)</x:f>
        <x:v>0</x:v>
      </x:c>
    </x:row>
    <x:row r="6" ht="28" customHeight="1">
      <x:c r="A6" s="27"/>
      <x:c r="B6" s="24" t="str">
        <x: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x:f>
      </x:c>
      <x:c r="C6" s="26" t="str">
        <x:f>IF(AND(IF(ISNUMBER(A6),AND(A6&gt;=DATE(2016,8,1),A6&lt;=DATE(2100,12,31),MOD(A6,1)=0),FALSE),'Калькулятор срока оплаты'!$B$19="ГОТОВО"),'Калькулятор срока оплаты'!$B$11-SUMIFS('Платежи'!$B$5:$B$24,'Платежи'!$A$5:$A$24,"&lt;"&amp;A6),"")</x:f>
      </x:c>
      <x:c r="D6" s="28"/>
      <x:c r="E6" s="28"/>
      <x:c r="F6" s="8" t="str">
        <x:f>IF(L6="ГОТОВО",B6-A6+1,"")</x:f>
      </x:c>
      <x:c r="G6" s="8" t="str">
        <x:f>IF(L6="ГОТОВО",MIN(B6,DATE(YEAR(A6)+1,1,1)-1)-A6+1,"")</x:f>
      </x:c>
      <x:c r="H6" s="8" t="str">
        <x:f>IF(L6="ГОТОВО",MAX(0,YEAR(B6)-YEAR(A6)-1),"")</x:f>
      </x:c>
      <x:c r="I6" s="8" t="str">
        <x:f>IF(L6="ГОТОВО",IF(YEAR(B6)&gt;YEAR(A6),B6-DATE(YEAR(B6),1,1)+1,0),"")</x:f>
      </x:c>
      <x:c r="J6" s="26" t="str">
        <x:f>IF(AND(L6="ГОТОВО",'Калькулятор срока оплаты'!$B$13="проценты 395"),C6*IF(D6="",'Калькулятор срока оплаты'!$B$15,D6)*(G6/(DATE(YEAR(A6)+1,1,1)-DATE(YEAR(A6),1,1))+H6+I6/(DATE(YEAR(B6)+1,1,1)-DATE(YEAR(B6),1,1))),"")</x:f>
      </x:c>
      <x:c r="K6" s="26" t="str">
        <x:f>IF(AND(L6="ГОТОВО",'Калькулятор срока оплаты'!$B$13="пеня"),C6*IF(E6="",'Калькулятор срока оплаты'!$B$10,E6)*F6,"")</x:f>
      </x:c>
      <x:c r="L6" s="12" t="str">
        <x: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переплата",IF(COUNTIFS('Платежи'!$A$5:$A$24,"&gt;="&amp;A6,'Платежи'!$A$5:$A$24,"&lt;"&amp;B6)&gt;0,"ОШИБКА: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x:f>
      </x:c>
      <x:c r="M6" s="8" t="n">
        <x:f>IF(OR(L6="",L6="ГОТОВО",L6="НЕ УЧТЁН"),0,1)</x:f>
        <x:v>0</x:v>
      </x:c>
    </x:row>
    <x:row r="7" ht="28" customHeight="1">
      <x:c r="A7" s="27"/>
      <x:c r="B7" s="24" t="str">
        <x: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x:f>
      </x:c>
      <x:c r="C7" s="26" t="str">
        <x:f>IF(AND(IF(ISNUMBER(A7),AND(A7&gt;=DATE(2016,8,1),A7&lt;=DATE(2100,12,31),MOD(A7,1)=0),FALSE),'Калькулятор срока оплаты'!$B$19="ГОТОВО"),'Калькулятор срока оплаты'!$B$11-SUMIFS('Платежи'!$B$5:$B$24,'Платежи'!$A$5:$A$24,"&lt;"&amp;A7),"")</x:f>
      </x:c>
      <x:c r="D7" s="28"/>
      <x:c r="E7" s="28"/>
      <x:c r="F7" s="8" t="str">
        <x:f>IF(L7="ГОТОВО",B7-A7+1,"")</x:f>
      </x:c>
      <x:c r="G7" s="8" t="str">
        <x:f>IF(L7="ГОТОВО",MIN(B7,DATE(YEAR(A7)+1,1,1)-1)-A7+1,"")</x:f>
      </x:c>
      <x:c r="H7" s="8" t="str">
        <x:f>IF(L7="ГОТОВО",MAX(0,YEAR(B7)-YEAR(A7)-1),"")</x:f>
      </x:c>
      <x:c r="I7" s="8" t="str">
        <x:f>IF(L7="ГОТОВО",IF(YEAR(B7)&gt;YEAR(A7),B7-DATE(YEAR(B7),1,1)+1,0),"")</x:f>
      </x:c>
      <x:c r="J7" s="26" t="str">
        <x:f>IF(AND(L7="ГОТОВО",'Калькулятор срока оплаты'!$B$13="проценты 395"),C7*IF(D7="",'Калькулятор срока оплаты'!$B$15,D7)*(G7/(DATE(YEAR(A7)+1,1,1)-DATE(YEAR(A7),1,1))+H7+I7/(DATE(YEAR(B7)+1,1,1)-DATE(YEAR(B7),1,1))),"")</x:f>
      </x:c>
      <x:c r="K7" s="26" t="str">
        <x:f>IF(AND(L7="ГОТОВО",'Калькулятор срока оплаты'!$B$13="пеня"),C7*IF(E7="",'Калькулятор срока оплаты'!$B$10,E7)*F7,"")</x:f>
      </x:c>
      <x:c r="L7" s="12" t="str">
        <x: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переплата",IF(COUNTIFS('Платежи'!$A$5:$A$24,"&gt;="&amp;A7,'Платежи'!$A$5:$A$24,"&lt;"&amp;B7)&gt;0,"ОШИБКА: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x:f>
      </x:c>
      <x:c r="M7" s="8" t="n">
        <x:f>IF(OR(L7="",L7="ГОТОВО",L7="НЕ УЧТЁН"),0,1)</x:f>
        <x:v>0</x:v>
      </x:c>
    </x:row>
    <x:row r="8" ht="28" customHeight="1">
      <x:c r="A8" s="27"/>
      <x:c r="B8" s="24" t="str">
        <x: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x:f>
      </x:c>
      <x:c r="C8" s="26" t="str">
        <x:f>IF(AND(IF(ISNUMBER(A8),AND(A8&gt;=DATE(2016,8,1),A8&lt;=DATE(2100,12,31),MOD(A8,1)=0),FALSE),'Калькулятор срока оплаты'!$B$19="ГОТОВО"),'Калькулятор срока оплаты'!$B$11-SUMIFS('Платежи'!$B$5:$B$24,'Платежи'!$A$5:$A$24,"&lt;"&amp;A8),"")</x:f>
      </x:c>
      <x:c r="D8" s="28"/>
      <x:c r="E8" s="28"/>
      <x:c r="F8" s="8" t="str">
        <x:f>IF(L8="ГОТОВО",B8-A8+1,"")</x:f>
      </x:c>
      <x:c r="G8" s="8" t="str">
        <x:f>IF(L8="ГОТОВО",MIN(B8,DATE(YEAR(A8)+1,1,1)-1)-A8+1,"")</x:f>
      </x:c>
      <x:c r="H8" s="8" t="str">
        <x:f>IF(L8="ГОТОВО",MAX(0,YEAR(B8)-YEAR(A8)-1),"")</x:f>
      </x:c>
      <x:c r="I8" s="8" t="str">
        <x:f>IF(L8="ГОТОВО",IF(YEAR(B8)&gt;YEAR(A8),B8-DATE(YEAR(B8),1,1)+1,0),"")</x:f>
      </x:c>
      <x:c r="J8" s="26" t="str">
        <x:f>IF(AND(L8="ГОТОВО",'Калькулятор срока оплаты'!$B$13="проценты 395"),C8*IF(D8="",'Калькулятор срока оплаты'!$B$15,D8)*(G8/(DATE(YEAR(A8)+1,1,1)-DATE(YEAR(A8),1,1))+H8+I8/(DATE(YEAR(B8)+1,1,1)-DATE(YEAR(B8),1,1))),"")</x:f>
      </x:c>
      <x:c r="K8" s="26" t="str">
        <x:f>IF(AND(L8="ГОТОВО",'Калькулятор срока оплаты'!$B$13="пеня"),C8*IF(E8="",'Калькулятор срока оплаты'!$B$10,E8)*F8,"")</x:f>
      </x:c>
      <x:c r="L8" s="12" t="str">
        <x: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переплата",IF(COUNTIFS('Платежи'!$A$5:$A$24,"&gt;="&amp;A8,'Платежи'!$A$5:$A$24,"&lt;"&amp;B8)&gt;0,"ОШИБКА: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x:f>
      </x:c>
      <x:c r="M8" s="8" t="n">
        <x:f>IF(OR(L8="",L8="ГОТОВО",L8="НЕ УЧТЁН"),0,1)</x:f>
        <x:v>0</x:v>
      </x:c>
    </x:row>
    <x:row r="9" ht="28" customHeight="1">
      <x:c r="A9" s="27"/>
      <x:c r="B9" s="24" t="str">
        <x: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x:f>
      </x:c>
      <x:c r="C9" s="26" t="str">
        <x:f>IF(AND(IF(ISNUMBER(A9),AND(A9&gt;=DATE(2016,8,1),A9&lt;=DATE(2100,12,31),MOD(A9,1)=0),FALSE),'Калькулятор срока оплаты'!$B$19="ГОТОВО"),'Калькулятор срока оплаты'!$B$11-SUMIFS('Платежи'!$B$5:$B$24,'Платежи'!$A$5:$A$24,"&lt;"&amp;A9),"")</x:f>
      </x:c>
      <x:c r="D9" s="28"/>
      <x:c r="E9" s="28"/>
      <x:c r="F9" s="8" t="str">
        <x:f>IF(L9="ГОТОВО",B9-A9+1,"")</x:f>
      </x:c>
      <x:c r="G9" s="8" t="str">
        <x:f>IF(L9="ГОТОВО",MIN(B9,DATE(YEAR(A9)+1,1,1)-1)-A9+1,"")</x:f>
      </x:c>
      <x:c r="H9" s="8" t="str">
        <x:f>IF(L9="ГОТОВО",MAX(0,YEAR(B9)-YEAR(A9)-1),"")</x:f>
      </x:c>
      <x:c r="I9" s="8" t="str">
        <x:f>IF(L9="ГОТОВО",IF(YEAR(B9)&gt;YEAR(A9),B9-DATE(YEAR(B9),1,1)+1,0),"")</x:f>
      </x:c>
      <x:c r="J9" s="26" t="str">
        <x:f>IF(AND(L9="ГОТОВО",'Калькулятор срока оплаты'!$B$13="проценты 395"),C9*IF(D9="",'Калькулятор срока оплаты'!$B$15,D9)*(G9/(DATE(YEAR(A9)+1,1,1)-DATE(YEAR(A9),1,1))+H9+I9/(DATE(YEAR(B9)+1,1,1)-DATE(YEAR(B9),1,1))),"")</x:f>
      </x:c>
      <x:c r="K9" s="26" t="str">
        <x:f>IF(AND(L9="ГОТОВО",'Калькулятор срока оплаты'!$B$13="пеня"),C9*IF(E9="",'Калькулятор срока оплаты'!$B$10,E9)*F9,"")</x:f>
      </x:c>
      <x:c r="L9" s="12" t="str">
        <x: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переплата",IF(COUNTIFS('Платежи'!$A$5:$A$24,"&gt;="&amp;A9,'Платежи'!$A$5:$A$24,"&lt;"&amp;B9)&gt;0,"ОШИБКА: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x:f>
      </x:c>
      <x:c r="M9" s="8" t="n">
        <x:f>IF(OR(L9="",L9="ГОТОВО",L9="НЕ УЧТЁН"),0,1)</x:f>
        <x:v>0</x:v>
      </x:c>
    </x:row>
    <x:row r="10" ht="28" customHeight="1">
      <x:c r="A10" s="27"/>
      <x:c r="B10" s="24" t="str">
        <x: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x:f>
      </x:c>
      <x:c r="C10" s="26" t="str">
        <x:f>IF(AND(IF(ISNUMBER(A10),AND(A10&gt;=DATE(2016,8,1),A10&lt;=DATE(2100,12,31),MOD(A10,1)=0),FALSE),'Калькулятор срока оплаты'!$B$19="ГОТОВО"),'Калькулятор срока оплаты'!$B$11-SUMIFS('Платежи'!$B$5:$B$24,'Платежи'!$A$5:$A$24,"&lt;"&amp;A10),"")</x:f>
      </x:c>
      <x:c r="D10" s="28"/>
      <x:c r="E10" s="28"/>
      <x:c r="F10" s="8" t="str">
        <x:f>IF(L10="ГОТОВО",B10-A10+1,"")</x:f>
      </x:c>
      <x:c r="G10" s="8" t="str">
        <x:f>IF(L10="ГОТОВО",MIN(B10,DATE(YEAR(A10)+1,1,1)-1)-A10+1,"")</x:f>
      </x:c>
      <x:c r="H10" s="8" t="str">
        <x:f>IF(L10="ГОТОВО",MAX(0,YEAR(B10)-YEAR(A10)-1),"")</x:f>
      </x:c>
      <x:c r="I10" s="8" t="str">
        <x:f>IF(L10="ГОТОВО",IF(YEAR(B10)&gt;YEAR(A10),B10-DATE(YEAR(B10),1,1)+1,0),"")</x:f>
      </x:c>
      <x:c r="J10" s="26" t="str">
        <x: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x:f>
      </x:c>
      <x:c r="K10" s="26" t="str">
        <x:f>IF(AND(L10="ГОТОВО",'Калькулятор срока оплаты'!$B$13="пеня"),C10*IF(E10="",'Калькулятор срока оплаты'!$B$10,E10)*F10,"")</x:f>
      </x:c>
      <x:c r="L10" s="12" t="str">
        <x: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переплата",IF(COUNTIFS('Платежи'!$A$5:$A$24,"&gt;="&amp;A10,'Платежи'!$A$5:$A$24,"&lt;"&amp;B10)&gt;0,"ОШИБКА: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x:f>
      </x:c>
      <x:c r="M10" s="8" t="n">
        <x:f>IF(OR(L10="",L10="ГОТОВО",L10="НЕ УЧТЁН"),0,1)</x:f>
        <x:v>0</x:v>
      </x:c>
    </x:row>
    <x:row r="11" ht="28" customHeight="1">
      <x:c r="A11" s="27"/>
      <x:c r="B11" s="24" t="str">
        <x: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x:f>
      </x:c>
      <x:c r="C11" s="26" t="str">
        <x:f>IF(AND(IF(ISNUMBER(A11),AND(A11&gt;=DATE(2016,8,1),A11&lt;=DATE(2100,12,31),MOD(A11,1)=0),FALSE),'Калькулятор срока оплаты'!$B$19="ГОТОВО"),'Калькулятор срока оплаты'!$B$11-SUMIFS('Платежи'!$B$5:$B$24,'Платежи'!$A$5:$A$24,"&lt;"&amp;A11),"")</x:f>
      </x:c>
      <x:c r="D11" s="28"/>
      <x:c r="E11" s="28"/>
      <x:c r="F11" s="8" t="str">
        <x:f>IF(L11="ГОТОВО",B11-A11+1,"")</x:f>
      </x:c>
      <x:c r="G11" s="8" t="str">
        <x:f>IF(L11="ГОТОВО",MIN(B11,DATE(YEAR(A11)+1,1,1)-1)-A11+1,"")</x:f>
      </x:c>
      <x:c r="H11" s="8" t="str">
        <x:f>IF(L11="ГОТОВО",MAX(0,YEAR(B11)-YEAR(A11)-1),"")</x:f>
      </x:c>
      <x:c r="I11" s="8" t="str">
        <x:f>IF(L11="ГОТОВО",IF(YEAR(B11)&gt;YEAR(A11),B11-DATE(YEAR(B11),1,1)+1,0),"")</x:f>
      </x:c>
      <x:c r="J11" s="26" t="str">
        <x: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x:f>
      </x:c>
      <x:c r="K11" s="26" t="str">
        <x:f>IF(AND(L11="ГОТОВО",'Калькулятор срока оплаты'!$B$13="пеня"),C11*IF(E11="",'Калькулятор срока оплаты'!$B$10,E11)*F11,"")</x:f>
      </x:c>
      <x:c r="L11" s="12" t="str">
        <x: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переплата",IF(COUNTIFS('Платежи'!$A$5:$A$24,"&gt;="&amp;A11,'Платежи'!$A$5:$A$24,"&lt;"&amp;B11)&gt;0,"ОШИБКА: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x:f>
      </x:c>
      <x:c r="M11" s="8" t="n">
        <x:f>IF(OR(L11="",L11="ГОТОВО",L11="НЕ УЧТЁН"),0,1)</x:f>
        <x:v>0</x:v>
      </x:c>
    </x:row>
    <x:row r="12" ht="28" customHeight="1">
      <x:c r="A12" s="27"/>
      <x:c r="B12" s="24" t="str">
        <x: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x:f>
      </x:c>
      <x:c r="C12" s="26" t="str">
        <x:f>IF(AND(IF(ISNUMBER(A12),AND(A12&gt;=DATE(2016,8,1),A12&lt;=DATE(2100,12,31),MOD(A12,1)=0),FALSE),'Калькулятор срока оплаты'!$B$19="ГОТОВО"),'Калькулятор срока оплаты'!$B$11-SUMIFS('Платежи'!$B$5:$B$24,'Платежи'!$A$5:$A$24,"&lt;"&amp;A12),"")</x:f>
      </x:c>
      <x:c r="D12" s="28"/>
      <x:c r="E12" s="28"/>
      <x:c r="F12" s="8" t="str">
        <x:f>IF(L12="ГОТОВО",B12-A12+1,"")</x:f>
      </x:c>
      <x:c r="G12" s="8" t="str">
        <x:f>IF(L12="ГОТОВО",MIN(B12,DATE(YEAR(A12)+1,1,1)-1)-A12+1,"")</x:f>
      </x:c>
      <x:c r="H12" s="8" t="str">
        <x:f>IF(L12="ГОТОВО",MAX(0,YEAR(B12)-YEAR(A12)-1),"")</x:f>
      </x:c>
      <x:c r="I12" s="8" t="str">
        <x:f>IF(L12="ГОТОВО",IF(YEAR(B12)&gt;YEAR(A12),B12-DATE(YEAR(B12),1,1)+1,0),"")</x:f>
      </x:c>
      <x:c r="J12" s="26" t="str">
        <x: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x:f>
      </x:c>
      <x:c r="K12" s="26" t="str">
        <x:f>IF(AND(L12="ГОТОВО",'Калькулятор срока оплаты'!$B$13="пеня"),C12*IF(E12="",'Калькулятор срока оплаты'!$B$10,E12)*F12,"")</x:f>
      </x:c>
      <x:c r="L12" s="12" t="str">
        <x: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переплата",IF(COUNTIFS('Платежи'!$A$5:$A$24,"&gt;="&amp;A12,'Платежи'!$A$5:$A$24,"&lt;"&amp;B12)&gt;0,"ОШИБКА: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x:f>
      </x:c>
      <x:c r="M12" s="8" t="n">
        <x:f>IF(OR(L12="",L12="ГОТОВО",L12="НЕ УЧТЁН"),0,1)</x:f>
        <x:v>0</x:v>
      </x:c>
    </x:row>
    <x:row r="13" ht="28" customHeight="1">
      <x:c r="A13" s="27"/>
      <x:c r="B13" s="24" t="str">
        <x: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x:f>
      </x:c>
      <x:c r="C13" s="26" t="str">
        <x:f>IF(AND(IF(ISNUMBER(A13),AND(A13&gt;=DATE(2016,8,1),A13&lt;=DATE(2100,12,31),MOD(A13,1)=0),FALSE),'Калькулятор срока оплаты'!$B$19="ГОТОВО"),'Калькулятор срока оплаты'!$B$11-SUMIFS('Платежи'!$B$5:$B$24,'Платежи'!$A$5:$A$24,"&lt;"&amp;A13),"")</x:f>
      </x:c>
      <x:c r="D13" s="28"/>
      <x:c r="E13" s="28"/>
      <x:c r="F13" s="8" t="str">
        <x:f>IF(L13="ГОТОВО",B13-A13+1,"")</x:f>
      </x:c>
      <x:c r="G13" s="8" t="str">
        <x:f>IF(L13="ГОТОВО",MIN(B13,DATE(YEAR(A13)+1,1,1)-1)-A13+1,"")</x:f>
      </x:c>
      <x:c r="H13" s="8" t="str">
        <x:f>IF(L13="ГОТОВО",MAX(0,YEAR(B13)-YEAR(A13)-1),"")</x:f>
      </x:c>
      <x:c r="I13" s="8" t="str">
        <x:f>IF(L13="ГОТОВО",IF(YEAR(B13)&gt;YEAR(A13),B13-DATE(YEAR(B13),1,1)+1,0),"")</x:f>
      </x:c>
      <x:c r="J13" s="26" t="str">
        <x: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x:f>
      </x:c>
      <x:c r="K13" s="26" t="str">
        <x:f>IF(AND(L13="ГОТОВО",'Калькулятор срока оплаты'!$B$13="пеня"),C13*IF(E13="",'Калькулятор срока оплаты'!$B$10,E13)*F13,"")</x:f>
      </x:c>
      <x:c r="L13" s="12" t="str">
        <x: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переплата",IF(COUNTIFS('Платежи'!$A$5:$A$24,"&gt;="&amp;A13,'Платежи'!$A$5:$A$24,"&lt;"&amp;B13)&gt;0,"ОШИБКА: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x:f>
      </x:c>
      <x:c r="M13" s="8" t="n">
        <x:f>IF(OR(L13="",L13="ГОТОВО",L13="НЕ УЧТЁН"),0,1)</x:f>
        <x:v>0</x:v>
      </x:c>
    </x:row>
    <x:row r="14" ht="28" customHeight="1">
      <x:c r="A14" s="27"/>
      <x:c r="B14" s="24" t="str">
        <x: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x:f>
      </x:c>
      <x:c r="C14" s="26" t="str">
        <x:f>IF(AND(IF(ISNUMBER(A14),AND(A14&gt;=DATE(2016,8,1),A14&lt;=DATE(2100,12,31),MOD(A14,1)=0),FALSE),'Калькулятор срока оплаты'!$B$19="ГОТОВО"),'Калькулятор срока оплаты'!$B$11-SUMIFS('Платежи'!$B$5:$B$24,'Платежи'!$A$5:$A$24,"&lt;"&amp;A14),"")</x:f>
      </x:c>
      <x:c r="D14" s="28"/>
      <x:c r="E14" s="28"/>
      <x:c r="F14" s="8" t="str">
        <x:f>IF(L14="ГОТОВО",B14-A14+1,"")</x:f>
      </x:c>
      <x:c r="G14" s="8" t="str">
        <x:f>IF(L14="ГОТОВО",MIN(B14,DATE(YEAR(A14)+1,1,1)-1)-A14+1,"")</x:f>
      </x:c>
      <x:c r="H14" s="8" t="str">
        <x:f>IF(L14="ГОТОВО",MAX(0,YEAR(B14)-YEAR(A14)-1),"")</x:f>
      </x:c>
      <x:c r="I14" s="8" t="str">
        <x:f>IF(L14="ГОТОВО",IF(YEAR(B14)&gt;YEAR(A14),B14-DATE(YEAR(B14),1,1)+1,0),"")</x:f>
      </x:c>
      <x:c r="J14" s="26" t="str">
        <x: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x:f>
      </x:c>
      <x:c r="K14" s="26" t="str">
        <x:f>IF(AND(L14="ГОТОВО",'Калькулятор срока оплаты'!$B$13="пеня"),C14*IF(E14="",'Калькулятор срока оплаты'!$B$10,E14)*F14,"")</x:f>
      </x:c>
      <x:c r="L14" s="12" t="str">
        <x: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переплата",IF(COUNTIFS('Платежи'!$A$5:$A$24,"&gt;="&amp;A14,'Платежи'!$A$5:$A$24,"&lt;"&amp;B14)&gt;0,"ОШИБКА: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x:f>
      </x:c>
      <x:c r="M14" s="8" t="n">
        <x:f>IF(OR(L14="",L14="ГОТОВО",L14="НЕ УЧТЁН"),0,1)</x:f>
        <x:v>0</x:v>
      </x:c>
    </x:row>
    <x:row r="15" ht="28" customHeight="1">
      <x:c r="A15" s="27"/>
      <x:c r="B15" s="24" t="str">
        <x: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x:f>
      </x:c>
      <x:c r="C15" s="26" t="str">
        <x:f>IF(AND(IF(ISNUMBER(A15),AND(A15&gt;=DATE(2016,8,1),A15&lt;=DATE(2100,12,31),MOD(A15,1)=0),FALSE),'Калькулятор срока оплаты'!$B$19="ГОТОВО"),'Калькулятор срока оплаты'!$B$11-SUMIFS('Платежи'!$B$5:$B$24,'Платежи'!$A$5:$A$24,"&lt;"&amp;A15),"")</x:f>
      </x:c>
      <x:c r="D15" s="28"/>
      <x:c r="E15" s="28"/>
      <x:c r="F15" s="8" t="str">
        <x:f>IF(L15="ГОТОВО",B15-A15+1,"")</x:f>
      </x:c>
      <x:c r="G15" s="8" t="str">
        <x:f>IF(L15="ГОТОВО",MIN(B15,DATE(YEAR(A15)+1,1,1)-1)-A15+1,"")</x:f>
      </x:c>
      <x:c r="H15" s="8" t="str">
        <x:f>IF(L15="ГОТОВО",MAX(0,YEAR(B15)-YEAR(A15)-1),"")</x:f>
      </x:c>
      <x:c r="I15" s="8" t="str">
        <x:f>IF(L15="ГОТОВО",IF(YEAR(B15)&gt;YEAR(A15),B15-DATE(YEAR(B15),1,1)+1,0),"")</x:f>
      </x:c>
      <x:c r="J15" s="26" t="str">
        <x: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x:f>
      </x:c>
      <x:c r="K15" s="26" t="str">
        <x:f>IF(AND(L15="ГОТОВО",'Калькулятор срока оплаты'!$B$13="пеня"),C15*IF(E15="",'Калькулятор срока оплаты'!$B$10,E15)*F15,"")</x:f>
      </x:c>
      <x:c r="L15" s="12" t="str">
        <x: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переплата",IF(COUNTIFS('Платежи'!$A$5:$A$24,"&gt;="&amp;A15,'Платежи'!$A$5:$A$24,"&lt;"&amp;B15)&gt;0,"ОШИБКА: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x:f>
      </x:c>
      <x:c r="M15" s="8" t="n">
        <x:f>IF(OR(L15="",L15="ГОТОВО",L15="НЕ УЧТЁН"),0,1)</x:f>
        <x:v>0</x:v>
      </x:c>
    </x:row>
    <x:row r="16" ht="28" customHeight="1">
      <x:c r="A16" s="27"/>
      <x:c r="B16" s="24" t="str">
        <x: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x:f>
      </x:c>
      <x:c r="C16" s="26" t="str">
        <x:f>IF(AND(IF(ISNUMBER(A16),AND(A16&gt;=DATE(2016,8,1),A16&lt;=DATE(2100,12,31),MOD(A16,1)=0),FALSE),'Калькулятор срока оплаты'!$B$19="ГОТОВО"),'Калькулятор срока оплаты'!$B$11-SUMIFS('Платежи'!$B$5:$B$24,'Платежи'!$A$5:$A$24,"&lt;"&amp;A16),"")</x:f>
      </x:c>
      <x:c r="D16" s="28"/>
      <x:c r="E16" s="28"/>
      <x:c r="F16" s="8" t="str">
        <x:f>IF(L16="ГОТОВО",B16-A16+1,"")</x:f>
      </x:c>
      <x:c r="G16" s="8" t="str">
        <x:f>IF(L16="ГОТОВО",MIN(B16,DATE(YEAR(A16)+1,1,1)-1)-A16+1,"")</x:f>
      </x:c>
      <x:c r="H16" s="8" t="str">
        <x:f>IF(L16="ГОТОВО",MAX(0,YEAR(B16)-YEAR(A16)-1),"")</x:f>
      </x:c>
      <x:c r="I16" s="8" t="str">
        <x:f>IF(L16="ГОТОВО",IF(YEAR(B16)&gt;YEAR(A16),B16-DATE(YEAR(B16),1,1)+1,0),"")</x:f>
      </x:c>
      <x:c r="J16" s="26" t="str">
        <x: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x:f>
      </x:c>
      <x:c r="K16" s="26" t="str">
        <x:f>IF(AND(L16="ГОТОВО",'Калькулятор срока оплаты'!$B$13="пеня"),C16*IF(E16="",'Калькулятор срока оплаты'!$B$10,E16)*F16,"")</x:f>
      </x:c>
      <x:c r="L16" s="12" t="str">
        <x: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переплата",IF(COUNTIFS('Платежи'!$A$5:$A$24,"&gt;="&amp;A16,'Платежи'!$A$5:$A$24,"&lt;"&amp;B16)&gt;0,"ОШИБКА: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x:f>
      </x:c>
      <x:c r="M16" s="8" t="n">
        <x:f>IF(OR(L16="",L16="ГОТОВО",L16="НЕ УЧТЁН"),0,1)</x:f>
        <x:v>0</x:v>
      </x:c>
    </x:row>
    <x:row r="17" ht="28" customHeight="1">
      <x:c r="A17" s="27"/>
      <x:c r="B17" s="24" t="str">
        <x: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x:f>
      </x:c>
      <x:c r="C17" s="26" t="str">
        <x:f>IF(AND(IF(ISNUMBER(A17),AND(A17&gt;=DATE(2016,8,1),A17&lt;=DATE(2100,12,31),MOD(A17,1)=0),FALSE),'Калькулятор срока оплаты'!$B$19="ГОТОВО"),'Калькулятор срока оплаты'!$B$11-SUMIFS('Платежи'!$B$5:$B$24,'Платежи'!$A$5:$A$24,"&lt;"&amp;A17),"")</x:f>
      </x:c>
      <x:c r="D17" s="28"/>
      <x:c r="E17" s="28"/>
      <x:c r="F17" s="8" t="str">
        <x:f>IF(L17="ГОТОВО",B17-A17+1,"")</x:f>
      </x:c>
      <x:c r="G17" s="8" t="str">
        <x:f>IF(L17="ГОТОВО",MIN(B17,DATE(YEAR(A17)+1,1,1)-1)-A17+1,"")</x:f>
      </x:c>
      <x:c r="H17" s="8" t="str">
        <x:f>IF(L17="ГОТОВО",MAX(0,YEAR(B17)-YEAR(A17)-1),"")</x:f>
      </x:c>
      <x:c r="I17" s="8" t="str">
        <x:f>IF(L17="ГОТОВО",IF(YEAR(B17)&gt;YEAR(A17),B17-DATE(YEAR(B17),1,1)+1,0),"")</x:f>
      </x:c>
      <x:c r="J17" s="26" t="str">
        <x: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x:f>
      </x:c>
      <x:c r="K17" s="26" t="str">
        <x:f>IF(AND(L17="ГОТОВО",'Калькулятор срока оплаты'!$B$13="пеня"),C17*IF(E17="",'Калькулятор срока оплаты'!$B$10,E17)*F17,"")</x:f>
      </x:c>
      <x:c r="L17" s="12" t="str">
        <x: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переплата",IF(COUNTIFS('Платежи'!$A$5:$A$24,"&gt;="&amp;A17,'Платежи'!$A$5:$A$24,"&lt;"&amp;B17)&gt;0,"ОШИБКА: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x:f>
      </x:c>
      <x:c r="M17" s="8" t="n">
        <x:f>IF(OR(L17="",L17="ГОТОВО",L17="НЕ УЧТЁН"),0,1)</x:f>
        <x:v>0</x:v>
      </x:c>
    </x:row>
    <x:row r="18" ht="28" customHeight="1">
      <x:c r="A18" s="27"/>
      <x:c r="B18" s="24" t="str">
        <x: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x:f>
      </x:c>
      <x:c r="C18" s="26" t="str">
        <x:f>IF(AND(IF(ISNUMBER(A18),AND(A18&gt;=DATE(2016,8,1),A18&lt;=DATE(2100,12,31),MOD(A18,1)=0),FALSE),'Калькулятор срока оплаты'!$B$19="ГОТОВО"),'Калькулятор срока оплаты'!$B$11-SUMIFS('Платежи'!$B$5:$B$24,'Платежи'!$A$5:$A$24,"&lt;"&amp;A18),"")</x:f>
      </x:c>
      <x:c r="D18" s="28"/>
      <x:c r="E18" s="28"/>
      <x:c r="F18" s="8" t="str">
        <x:f>IF(L18="ГОТОВО",B18-A18+1,"")</x:f>
      </x:c>
      <x:c r="G18" s="8" t="str">
        <x:f>IF(L18="ГОТОВО",MIN(B18,DATE(YEAR(A18)+1,1,1)-1)-A18+1,"")</x:f>
      </x:c>
      <x:c r="H18" s="8" t="str">
        <x:f>IF(L18="ГОТОВО",MAX(0,YEAR(B18)-YEAR(A18)-1),"")</x:f>
      </x:c>
      <x:c r="I18" s="8" t="str">
        <x:f>IF(L18="ГОТОВО",IF(YEAR(B18)&gt;YEAR(A18),B18-DATE(YEAR(B18),1,1)+1,0),"")</x:f>
      </x:c>
      <x:c r="J18" s="26" t="str">
        <x: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x:f>
      </x:c>
      <x:c r="K18" s="26" t="str">
        <x:f>IF(AND(L18="ГОТОВО",'Калькулятор срока оплаты'!$B$13="пеня"),C18*IF(E18="",'Калькулятор срока оплаты'!$B$10,E18)*F18,"")</x:f>
      </x:c>
      <x:c r="L18" s="12" t="str">
        <x: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переплата",IF(COUNTIFS('Платежи'!$A$5:$A$24,"&gt;="&amp;A18,'Платежи'!$A$5:$A$24,"&lt;"&amp;B18)&gt;0,"ОШИБКА: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x:f>
      </x:c>
      <x:c r="M18" s="8" t="n">
        <x:f>IF(OR(L18="",L18="ГОТОВО",L18="НЕ УЧТЁН"),0,1)</x:f>
        <x:v>0</x:v>
      </x:c>
    </x:row>
    <x:row r="19" ht="28" customHeight="1">
      <x:c r="A19" s="27"/>
      <x:c r="B19" s="24" t="str">
        <x: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x:f>
      </x:c>
      <x:c r="C19" s="26" t="str">
        <x:f>IF(AND(IF(ISNUMBER(A19),AND(A19&gt;=DATE(2016,8,1),A19&lt;=DATE(2100,12,31),MOD(A19,1)=0),FALSE),'Калькулятор срока оплаты'!$B$19="ГОТОВО"),'Калькулятор срока оплаты'!$B$11-SUMIFS('Платежи'!$B$5:$B$24,'Платежи'!$A$5:$A$24,"&lt;"&amp;A19),"")</x:f>
      </x:c>
      <x:c r="D19" s="28"/>
      <x:c r="E19" s="28"/>
      <x:c r="F19" s="8" t="str">
        <x:f>IF(L19="ГОТОВО",B19-A19+1,"")</x:f>
      </x:c>
      <x:c r="G19" s="8" t="str">
        <x:f>IF(L19="ГОТОВО",MIN(B19,DATE(YEAR(A19)+1,1,1)-1)-A19+1,"")</x:f>
      </x:c>
      <x:c r="H19" s="8" t="str">
        <x:f>IF(L19="ГОТОВО",MAX(0,YEAR(B19)-YEAR(A19)-1),"")</x:f>
      </x:c>
      <x:c r="I19" s="8" t="str">
        <x:f>IF(L19="ГОТОВО",IF(YEAR(B19)&gt;YEAR(A19),B19-DATE(YEAR(B19),1,1)+1,0),"")</x:f>
      </x:c>
      <x:c r="J19" s="26" t="str">
        <x: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x:f>
      </x:c>
      <x:c r="K19" s="26" t="str">
        <x:f>IF(AND(L19="ГОТОВО",'Калькулятор срока оплаты'!$B$13="пеня"),C19*IF(E19="",'Калькулятор срока оплаты'!$B$10,E19)*F19,"")</x:f>
      </x:c>
      <x:c r="L19" s="12" t="str">
        <x: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переплата",IF(COUNTIFS('Платежи'!$A$5:$A$24,"&gt;="&amp;A19,'Платежи'!$A$5:$A$24,"&lt;"&amp;B19)&gt;0,"ОШИБКА: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x:f>
      </x:c>
      <x:c r="M19" s="8" t="n">
        <x:f>IF(OR(L19="",L19="ГОТОВО",L19="НЕ УЧТЁН"),0,1)</x:f>
        <x:v>0</x:v>
      </x:c>
    </x:row>
    <x:row r="20" ht="28" customHeight="1">
      <x:c r="A20" s="27"/>
      <x:c r="B20" s="24" t="str">
        <x: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x:f>
      </x:c>
      <x:c r="C20" s="26" t="str">
        <x:f>IF(AND(IF(ISNUMBER(A20),AND(A20&gt;=DATE(2016,8,1),A20&lt;=DATE(2100,12,31),MOD(A20,1)=0),FALSE),'Калькулятор срока оплаты'!$B$19="ГОТОВО"),'Калькулятор срока оплаты'!$B$11-SUMIFS('Платежи'!$B$5:$B$24,'Платежи'!$A$5:$A$24,"&lt;"&amp;A20),"")</x:f>
      </x:c>
      <x:c r="D20" s="28"/>
      <x:c r="E20" s="28"/>
      <x:c r="F20" s="8" t="str">
        <x:f>IF(L20="ГОТОВО",B20-A20+1,"")</x:f>
      </x:c>
      <x:c r="G20" s="8" t="str">
        <x:f>IF(L20="ГОТОВО",MIN(B20,DATE(YEAR(A20)+1,1,1)-1)-A20+1,"")</x:f>
      </x:c>
      <x:c r="H20" s="8" t="str">
        <x:f>IF(L20="ГОТОВО",MAX(0,YEAR(B20)-YEAR(A20)-1),"")</x:f>
      </x:c>
      <x:c r="I20" s="8" t="str">
        <x:f>IF(L20="ГОТОВО",IF(YEAR(B20)&gt;YEAR(A20),B20-DATE(YEAR(B20),1,1)+1,0),"")</x:f>
      </x:c>
      <x:c r="J20" s="26" t="str">
        <x: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x:f>
      </x:c>
      <x:c r="K20" s="26" t="str">
        <x:f>IF(AND(L20="ГОТОВО",'Калькулятор срока оплаты'!$B$13="пеня"),C20*IF(E20="",'Калькулятор срока оплаты'!$B$10,E20)*F20,"")</x:f>
      </x:c>
      <x:c r="L20" s="12" t="str">
        <x: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переплата",IF(COUNTIFS('Платежи'!$A$5:$A$24,"&gt;="&amp;A20,'Платежи'!$A$5:$A$24,"&lt;"&amp;B20)&gt;0,"ОШИБКА: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x:f>
      </x:c>
      <x:c r="M20" s="8" t="n">
        <x:f>IF(OR(L20="",L20="ГОТОВО",L20="НЕ УЧТЁН"),0,1)</x:f>
        <x:v>0</x:v>
      </x:c>
    </x:row>
    <x:row r="21" ht="28" customHeight="1">
      <x:c r="A21" s="27"/>
      <x:c r="B21" s="24" t="str">
        <x: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x:f>
      </x:c>
      <x:c r="C21" s="26" t="str">
        <x:f>IF(AND(IF(ISNUMBER(A21),AND(A21&gt;=DATE(2016,8,1),A21&lt;=DATE(2100,12,31),MOD(A21,1)=0),FALSE),'Калькулятор срока оплаты'!$B$19="ГОТОВО"),'Калькулятор срока оплаты'!$B$11-SUMIFS('Платежи'!$B$5:$B$24,'Платежи'!$A$5:$A$24,"&lt;"&amp;A21),"")</x:f>
      </x:c>
      <x:c r="D21" s="28"/>
      <x:c r="E21" s="28"/>
      <x:c r="F21" s="8" t="str">
        <x:f>IF(L21="ГОТОВО",B21-A21+1,"")</x:f>
      </x:c>
      <x:c r="G21" s="8" t="str">
        <x:f>IF(L21="ГОТОВО",MIN(B21,DATE(YEAR(A21)+1,1,1)-1)-A21+1,"")</x:f>
      </x:c>
      <x:c r="H21" s="8" t="str">
        <x:f>IF(L21="ГОТОВО",MAX(0,YEAR(B21)-YEAR(A21)-1),"")</x:f>
      </x:c>
      <x:c r="I21" s="8" t="str">
        <x:f>IF(L21="ГОТОВО",IF(YEAR(B21)&gt;YEAR(A21),B21-DATE(YEAR(B21),1,1)+1,0),"")</x:f>
      </x:c>
      <x:c r="J21" s="26" t="str">
        <x: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x:f>
      </x:c>
      <x:c r="K21" s="26" t="str">
        <x:f>IF(AND(L21="ГОТОВО",'Калькулятор срока оплаты'!$B$13="пеня"),C21*IF(E21="",'Калькулятор срока оплаты'!$B$10,E21)*F21,"")</x:f>
      </x:c>
      <x:c r="L21" s="12" t="str">
        <x: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переплата",IF(COUNTIFS('Платежи'!$A$5:$A$24,"&gt;="&amp;A21,'Платежи'!$A$5:$A$24,"&lt;"&amp;B21)&gt;0,"ОШИБКА: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x:f>
      </x:c>
      <x:c r="M21" s="8" t="n">
        <x:f>IF(OR(L21="",L21="ГОТОВО",L21="НЕ УЧТЁН"),0,1)</x:f>
        <x:v>0</x:v>
      </x:c>
    </x:row>
    <x:row r="22" ht="28" customHeight="1">
      <x:c r="A22" s="27"/>
      <x:c r="B22" s="24" t="str">
        <x: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x:f>
      </x:c>
      <x:c r="C22" s="26" t="str">
        <x:f>IF(AND(IF(ISNUMBER(A22),AND(A22&gt;=DATE(2016,8,1),A22&lt;=DATE(2100,12,31),MOD(A22,1)=0),FALSE),'Калькулятор срока оплаты'!$B$19="ГОТОВО"),'Калькулятор срока оплаты'!$B$11-SUMIFS('Платежи'!$B$5:$B$24,'Платежи'!$A$5:$A$24,"&lt;"&amp;A22),"")</x:f>
      </x:c>
      <x:c r="D22" s="28"/>
      <x:c r="E22" s="28"/>
      <x:c r="F22" s="8" t="str">
        <x:f>IF(L22="ГОТОВО",B22-A22+1,"")</x:f>
      </x:c>
      <x:c r="G22" s="8" t="str">
        <x:f>IF(L22="ГОТОВО",MIN(B22,DATE(YEAR(A22)+1,1,1)-1)-A22+1,"")</x:f>
      </x:c>
      <x:c r="H22" s="8" t="str">
        <x:f>IF(L22="ГОТОВО",MAX(0,YEAR(B22)-YEAR(A22)-1),"")</x:f>
      </x:c>
      <x:c r="I22" s="8" t="str">
        <x:f>IF(L22="ГОТОВО",IF(YEAR(B22)&gt;YEAR(A22),B22-DATE(YEAR(B22),1,1)+1,0),"")</x:f>
      </x:c>
      <x:c r="J22" s="26" t="str">
        <x: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x:f>
      </x:c>
      <x:c r="K22" s="26" t="str">
        <x:f>IF(AND(L22="ГОТОВО",'Калькулятор срока оплаты'!$B$13="пеня"),C22*IF(E22="",'Калькулятор срока оплаты'!$B$10,E22)*F22,"")</x:f>
      </x:c>
      <x:c r="L22" s="12" t="str">
        <x: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переплата",IF(COUNTIFS('Платежи'!$A$5:$A$24,"&gt;="&amp;A22,'Платежи'!$A$5:$A$24,"&lt;"&amp;B22)&gt;0,"ОШИБКА: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x:f>
      </x:c>
      <x:c r="M22" s="8" t="n">
        <x:f>IF(OR(L22="",L22="ГОТОВО",L22="НЕ УЧТЁН"),0,1)</x:f>
        <x:v>0</x:v>
      </x:c>
    </x:row>
    <x:row r="23" ht="28" customHeight="1">
      <x:c r="A23" s="27"/>
      <x:c r="B23" s="24" t="str">
        <x: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x:f>
      </x:c>
      <x:c r="C23" s="26" t="str">
        <x:f>IF(AND(IF(ISNUMBER(A23),AND(A23&gt;=DATE(2016,8,1),A23&lt;=DATE(2100,12,31),MOD(A23,1)=0),FALSE),'Калькулятор срока оплаты'!$B$19="ГОТОВО"),'Калькулятор срока оплаты'!$B$11-SUMIFS('Платежи'!$B$5:$B$24,'Платежи'!$A$5:$A$24,"&lt;"&amp;A23),"")</x:f>
      </x:c>
      <x:c r="D23" s="28"/>
      <x:c r="E23" s="28"/>
      <x:c r="F23" s="8" t="str">
        <x:f>IF(L23="ГОТОВО",B23-A23+1,"")</x:f>
      </x:c>
      <x:c r="G23" s="8" t="str">
        <x:f>IF(L23="ГОТОВО",MIN(B23,DATE(YEAR(A23)+1,1,1)-1)-A23+1,"")</x:f>
      </x:c>
      <x:c r="H23" s="8" t="str">
        <x:f>IF(L23="ГОТОВО",MAX(0,YEAR(B23)-YEAR(A23)-1),"")</x:f>
      </x:c>
      <x:c r="I23" s="8" t="str">
        <x:f>IF(L23="ГОТОВО",IF(YEAR(B23)&gt;YEAR(A23),B23-DATE(YEAR(B23),1,1)+1,0),"")</x:f>
      </x:c>
      <x:c r="J23" s="26" t="str">
        <x: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x:f>
      </x:c>
      <x:c r="K23" s="26" t="str">
        <x:f>IF(AND(L23="ГОТОВО",'Калькулятор срока оплаты'!$B$13="пеня"),C23*IF(E23="",'Калькулятор срока оплаты'!$B$10,E23)*F23,"")</x:f>
      </x:c>
      <x:c r="L23" s="12" t="str">
        <x: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переплата",IF(COUNTIFS('Платежи'!$A$5:$A$24,"&gt;="&amp;A23,'Платежи'!$A$5:$A$24,"&lt;"&amp;B23)&gt;0,"ОШИБКА: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x:f>
      </x:c>
      <x:c r="M23" s="8" t="n">
        <x:f>IF(OR(L23="",L23="ГОТОВО",L23="НЕ УЧТЁН"),0,1)</x:f>
        <x:v>0</x:v>
      </x:c>
    </x:row>
    <x:row r="24" ht="28" customHeight="1">
      <x:c r="A24" s="27"/>
      <x:c r="B24" s="24" t="str">
        <x: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x:f>
      </x:c>
      <x:c r="C24" s="26" t="str">
        <x:f>IF(AND(IF(ISNUMBER(A24),AND(A24&gt;=DATE(2016,8,1),A24&lt;=DATE(2100,12,31),MOD(A24,1)=0),FALSE),'Калькулятор срока оплаты'!$B$19="ГОТОВО"),'Калькулятор срока оплаты'!$B$11-SUMIFS('Платежи'!$B$5:$B$24,'Платежи'!$A$5:$A$24,"&lt;"&amp;A24),"")</x:f>
      </x:c>
      <x:c r="D24" s="28"/>
      <x:c r="E24" s="28"/>
      <x:c r="F24" s="8" t="str">
        <x:f>IF(L24="ГОТОВО",B24-A24+1,"")</x:f>
      </x:c>
      <x:c r="G24" s="8" t="str">
        <x:f>IF(L24="ГОТОВО",MIN(B24,DATE(YEAR(A24)+1,1,1)-1)-A24+1,"")</x:f>
      </x:c>
      <x:c r="H24" s="8" t="str">
        <x:f>IF(L24="ГОТОВО",MAX(0,YEAR(B24)-YEAR(A24)-1),"")</x:f>
      </x:c>
      <x:c r="I24" s="8" t="str">
        <x:f>IF(L24="ГОТОВО",IF(YEAR(B24)&gt;YEAR(A24),B24-DATE(YEAR(B24),1,1)+1,0),"")</x:f>
      </x:c>
      <x:c r="J24" s="26" t="str">
        <x: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x:f>
      </x:c>
      <x:c r="K24" s="26" t="str">
        <x:f>IF(AND(L24="ГОТОВО",'Калькулятор срока оплаты'!$B$13="пеня"),C24*IF(E24="",'Калькулятор срока оплаты'!$B$10,E24)*F24,"")</x:f>
      </x:c>
      <x:c r="L24" s="12" t="str">
        <x: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переплата",IF(COUNTIFS('Платежи'!$A$5:$A$24,"&gt;="&amp;A24,'Платежи'!$A$5:$A$24,"&lt;"&amp;B24)&gt;0,"ОШИБКА: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x:f>
      </x:c>
      <x:c r="M24" s="8" t="n">
        <x:f>IF(OR(L24="",L24="ГОТОВО",L24="НЕ УЧТЁН"),0,1)</x:f>
        <x:v>0</x:v>
      </x:c>
    </x:row>
    <x:row r="25" ht="22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</x:row>
    <x:row r="26" ht="22" customHeight="1">
      <x:c r="A26" s="8" t="str">
        <x:v>Годовая ставка вводится как 14%, дневная — как 0,1%. Ноль допустим; текст и отрицательная выбранная ставка блокируют итог.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</x:row>
    <x:row r="27" ht="22" customHeight="1">
      <x:c r="A27" s="8" t="str">
        <x:v>395: дни делятся на 365/366 по соответствующему календарному году; внутри периода учитываются полные промежуточные годы.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22" customHeight="1">
      <x:c r="A28" s="8" t="str">
        <x:v>Начисления складываются без округления по дням/строкам. Итог округляется до копеек на главном листе.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</x:row>
    <x:row r="29" ht="22" customHeight="1">
      <x:c r="A29" s="8" t="str">
        <x:v>20 периодов и 20 оплат — предел готового макета. Не вводите дополнительные строки за его пределами.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</x:row>
    <x:row r="30" ht="22" customHeight="1">
      <x:c r="A30" s="8" t="str">
        <x:v>Работает для обычного рублёвого долга без капитализации. Лимиты пени, моратории, особая база или иной день начала — отдельная модель.</x:v>
      </x:c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46" hidden="0" customWidth="1"/>
    <x:col min="4" max="4" width="23" hidden="0" customWidth="1"/>
    <x:col min="5" max="5" width="29" hidden="0" customWidth="1"/>
    <x:col min="6" max="6" width="8" hidden="0" customWidth="1"/>
  </x:cols>
  <x:sheetData>
    <x:row r="1" ht="22" customHeight="1">
      <x:c r="A1" s="8" t="str">
        <x:v>Платежи по одному обязательству</x:v>
      </x:c>
      <x:c r="B1" s="8"/>
      <x:c r="C1" s="8"/>
      <x:c r="D1" s="8"/>
      <x:c r="E1" s="8"/>
      <x:c r="F1" s="8"/>
    </x:row>
    <x:row r="2" ht="22" customHeight="1">
      <x:c r="A2" s="8" t="str">
        <x:v>Только суммы, отнесённые на основной долг. Подтвердите распределение платежа.</x:v>
      </x:c>
      <x:c r="B2" s="8"/>
      <x:c r="C2" s="8"/>
      <x:c r="D2" s="8"/>
      <x:c r="E2" s="8"/>
      <x:c r="F2" s="8"/>
    </x:row>
    <x:row r="3" ht="22" customHeight="1">
      <x:c r="A3" s="8"/>
      <x:c r="B3" s="8"/>
      <x:c r="C3" s="8"/>
      <x:c r="D3" s="8"/>
      <x:c r="E3" s="8"/>
      <x:c r="F3" s="8"/>
    </x:row>
    <x:row r="4" ht="36" customHeight="1">
      <x:c r="A4" s="11" t="str">
        <x:v>Дата исполнения</x:v>
      </x:c>
      <x:c r="B4" s="11" t="str">
        <x:v>Основной долг, руб.</x:v>
      </x:c>
      <x:c r="C4" s="11" t="str">
        <x:v>Документ и назначение</x:v>
      </x:c>
      <x:c r="D4" s="11" t="str">
        <x:v>Учёт на дату расчёта</x:v>
      </x:c>
      <x:c r="E4" s="11" t="str">
        <x:v>Контроль ввода</x:v>
      </x:c>
      <x:c r="F4" s="11" t="str">
        <x:v>Ошибок</x:v>
      </x:c>
    </x:row>
    <x:row r="5" ht="28" customHeight="1">
      <x:c r="A5" s="27"/>
      <x:c r="B5" s="29"/>
      <x:c r="C5" s="13"/>
      <x:c r="D5" s="12" t="str">
        <x: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x:f>
      </x:c>
      <x:c r="E5" s="12" t="str">
        <x:f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x:f>
      </x:c>
      <x:c r="F5" s="8" t="n">
        <x:f>IF(OR(E5="",E5="ГОТОВО"),0,1)</x:f>
        <x:v>0</x:v>
      </x:c>
    </x:row>
    <x:row r="6" ht="28" customHeight="1">
      <x:c r="A6" s="27"/>
      <x:c r="B6" s="29"/>
      <x:c r="C6" s="13"/>
      <x:c r="D6" s="12" t="str">
        <x: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x:f>
      </x:c>
      <x:c r="E6" s="12" t="str">
        <x:f>IF(AND(A6="",B6="",C6=""),"",IF(NOT(IF(ISNUMBER(A6),AND(A6&gt;=DATE(2016,8,1),A6&lt;=DATE(2100,12,31),MOD(A6,1)=0),FALSE)),"ОШИБКА: дата",IF(NOT(IF(ISNUMBER(B6),AND(B6&gt;=0,ROUND(B6,2)=B6),FALSE)),"ОШИБКА: сумма",IF(C6="","ОШИБКА: документ","ГОТОВО"))))</x:f>
      </x:c>
      <x:c r="F6" s="8" t="n">
        <x:f>IF(OR(E6="",E6="ГОТОВО"),0,1)</x:f>
        <x:v>0</x:v>
      </x:c>
    </x:row>
    <x:row r="7" ht="28" customHeight="1">
      <x:c r="A7" s="27"/>
      <x:c r="B7" s="29"/>
      <x:c r="C7" s="13"/>
      <x:c r="D7" s="12" t="str">
        <x: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x:f>
      </x:c>
      <x:c r="E7" s="12" t="str">
        <x:f>IF(AND(A7="",B7="",C7=""),"",IF(NOT(IF(ISNUMBER(A7),AND(A7&gt;=DATE(2016,8,1),A7&lt;=DATE(2100,12,31),MOD(A7,1)=0),FALSE)),"ОШИБКА: дата",IF(NOT(IF(ISNUMBER(B7),AND(B7&gt;=0,ROUND(B7,2)=B7),FALSE)),"ОШИБКА: сумма",IF(C7="","ОШИБКА: документ","ГОТОВО"))))</x:f>
      </x:c>
      <x:c r="F7" s="8" t="n">
        <x:f>IF(OR(E7="",E7="ГОТОВО"),0,1)</x:f>
        <x:v>0</x:v>
      </x:c>
    </x:row>
    <x:row r="8" ht="28" customHeight="1">
      <x:c r="A8" s="27"/>
      <x:c r="B8" s="29"/>
      <x:c r="C8" s="13"/>
      <x:c r="D8" s="12" t="str">
        <x: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x:f>
      </x:c>
      <x:c r="E8" s="12" t="str">
        <x:f>IF(AND(A8="",B8="",C8=""),"",IF(NOT(IF(ISNUMBER(A8),AND(A8&gt;=DATE(2016,8,1),A8&lt;=DATE(2100,12,31),MOD(A8,1)=0),FALSE)),"ОШИБКА: дата",IF(NOT(IF(ISNUMBER(B8),AND(B8&gt;=0,ROUND(B8,2)=B8),FALSE)),"ОШИБКА: сумма",IF(C8="","ОШИБКА: документ","ГОТОВО"))))</x:f>
      </x:c>
      <x:c r="F8" s="8" t="n">
        <x:f>IF(OR(E8="",E8="ГОТОВО"),0,1)</x:f>
        <x:v>0</x:v>
      </x:c>
    </x:row>
    <x:row r="9" ht="28" customHeight="1">
      <x:c r="A9" s="27"/>
      <x:c r="B9" s="29"/>
      <x:c r="C9" s="13"/>
      <x:c r="D9" s="12" t="str">
        <x: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x:f>
      </x:c>
      <x:c r="E9" s="12" t="str">
        <x:f>IF(AND(A9="",B9="",C9=""),"",IF(NOT(IF(ISNUMBER(A9),AND(A9&gt;=DATE(2016,8,1),A9&lt;=DATE(2100,12,31),MOD(A9,1)=0),FALSE)),"ОШИБКА: дата",IF(NOT(IF(ISNUMBER(B9),AND(B9&gt;=0,ROUND(B9,2)=B9),FALSE)),"ОШИБКА: сумма",IF(C9="","ОШИБКА: документ","ГОТОВО"))))</x:f>
      </x:c>
      <x:c r="F9" s="8" t="n">
        <x:f>IF(OR(E9="",E9="ГОТОВО"),0,1)</x:f>
        <x:v>0</x:v>
      </x:c>
    </x:row>
    <x:row r="10" ht="28" customHeight="1">
      <x:c r="A10" s="27"/>
      <x:c r="B10" s="29"/>
      <x:c r="C10" s="13"/>
      <x:c r="D10" s="12" t="str">
        <x: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x:f>
      </x:c>
      <x:c r="E10" s="12" t="str">
        <x:f>IF(AND(A10="",B10="",C10=""),"",IF(NOT(IF(ISNUMBER(A10),AND(A10&gt;=DATE(2016,8,1),A10&lt;=DATE(2100,12,31),MOD(A10,1)=0),FALSE)),"ОШИБКА: дата",IF(NOT(IF(ISNUMBER(B10),AND(B10&gt;=0,ROUND(B10,2)=B10),FALSE)),"ОШИБКА: сумма",IF(C10="","ОШИБКА: документ","ГОТОВО"))))</x:f>
      </x:c>
      <x:c r="F10" s="8" t="n">
        <x:f>IF(OR(E10="",E10="ГОТОВО"),0,1)</x:f>
        <x:v>0</x:v>
      </x:c>
    </x:row>
    <x:row r="11" ht="28" customHeight="1">
      <x:c r="A11" s="27"/>
      <x:c r="B11" s="29"/>
      <x:c r="C11" s="13"/>
      <x:c r="D11" s="12" t="str">
        <x: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x:f>
      </x:c>
      <x:c r="E11" s="12" t="str">
        <x:f>IF(AND(A11="",B11="",C11=""),"",IF(NOT(IF(ISNUMBER(A11),AND(A11&gt;=DATE(2016,8,1),A11&lt;=DATE(2100,12,31),MOD(A11,1)=0),FALSE)),"ОШИБКА: дата",IF(NOT(IF(ISNUMBER(B11),AND(B11&gt;=0,ROUND(B11,2)=B11),FALSE)),"ОШИБКА: сумма",IF(C11="","ОШИБКА: документ","ГОТОВО"))))</x:f>
      </x:c>
      <x:c r="F11" s="8" t="n">
        <x:f>IF(OR(E11="",E11="ГОТОВО"),0,1)</x:f>
        <x:v>0</x:v>
      </x:c>
    </x:row>
    <x:row r="12" ht="28" customHeight="1">
      <x:c r="A12" s="27"/>
      <x:c r="B12" s="29"/>
      <x:c r="C12" s="13"/>
      <x:c r="D12" s="12" t="str">
        <x: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x:f>
      </x:c>
      <x:c r="E12" s="12" t="str">
        <x:f>IF(AND(A12="",B12="",C12=""),"",IF(NOT(IF(ISNUMBER(A12),AND(A12&gt;=DATE(2016,8,1),A12&lt;=DATE(2100,12,31),MOD(A12,1)=0),FALSE)),"ОШИБКА: дата",IF(NOT(IF(ISNUMBER(B12),AND(B12&gt;=0,ROUND(B12,2)=B12),FALSE)),"ОШИБКА: сумма",IF(C12="","ОШИБКА: документ","ГОТОВО"))))</x:f>
      </x:c>
      <x:c r="F12" s="8" t="n">
        <x:f>IF(OR(E12="",E12="ГОТОВО"),0,1)</x:f>
        <x:v>0</x:v>
      </x:c>
    </x:row>
    <x:row r="13" ht="28" customHeight="1">
      <x:c r="A13" s="27"/>
      <x:c r="B13" s="29"/>
      <x:c r="C13" s="13"/>
      <x:c r="D13" s="12" t="str">
        <x: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x:f>
      </x:c>
      <x:c r="E13" s="12" t="str">
        <x:f>IF(AND(A13="",B13="",C13=""),"",IF(NOT(IF(ISNUMBER(A13),AND(A13&gt;=DATE(2016,8,1),A13&lt;=DATE(2100,12,31),MOD(A13,1)=0),FALSE)),"ОШИБКА: дата",IF(NOT(IF(ISNUMBER(B13),AND(B13&gt;=0,ROUND(B13,2)=B13),FALSE)),"ОШИБКА: сумма",IF(C13="","ОШИБКА: документ","ГОТОВО"))))</x:f>
      </x:c>
      <x:c r="F13" s="8" t="n">
        <x:f>IF(OR(E13="",E13="ГОТОВО"),0,1)</x:f>
        <x:v>0</x:v>
      </x:c>
    </x:row>
    <x:row r="14" ht="28" customHeight="1">
      <x:c r="A14" s="27"/>
      <x:c r="B14" s="29"/>
      <x:c r="C14" s="13"/>
      <x:c r="D14" s="12" t="str">
        <x: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x:f>
      </x:c>
      <x:c r="E14" s="12" t="str">
        <x:f>IF(AND(A14="",B14="",C14=""),"",IF(NOT(IF(ISNUMBER(A14),AND(A14&gt;=DATE(2016,8,1),A14&lt;=DATE(2100,12,31),MOD(A14,1)=0),FALSE)),"ОШИБКА: дата",IF(NOT(IF(ISNUMBER(B14),AND(B14&gt;=0,ROUND(B14,2)=B14),FALSE)),"ОШИБКА: сумма",IF(C14="","ОШИБКА: документ","ГОТОВО"))))</x:f>
      </x:c>
      <x:c r="F14" s="8" t="n">
        <x:f>IF(OR(E14="",E14="ГОТОВО"),0,1)</x:f>
        <x:v>0</x:v>
      </x:c>
    </x:row>
    <x:row r="15" ht="28" customHeight="1">
      <x:c r="A15" s="27"/>
      <x:c r="B15" s="29"/>
      <x:c r="C15" s="13"/>
      <x:c r="D15" s="12" t="str">
        <x: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x:f>
      </x:c>
      <x:c r="E15" s="12" t="str">
        <x:f>IF(AND(A15="",B15="",C15=""),"",IF(NOT(IF(ISNUMBER(A15),AND(A15&gt;=DATE(2016,8,1),A15&lt;=DATE(2100,12,31),MOD(A15,1)=0),FALSE)),"ОШИБКА: дата",IF(NOT(IF(ISNUMBER(B15),AND(B15&gt;=0,ROUND(B15,2)=B15),FALSE)),"ОШИБКА: сумма",IF(C15="","ОШИБКА: документ","ГОТОВО"))))</x:f>
      </x:c>
      <x:c r="F15" s="8" t="n">
        <x:f>IF(OR(E15="",E15="ГОТОВО"),0,1)</x:f>
        <x:v>0</x:v>
      </x:c>
    </x:row>
    <x:row r="16" ht="28" customHeight="1">
      <x:c r="A16" s="27"/>
      <x:c r="B16" s="29"/>
      <x:c r="C16" s="13"/>
      <x:c r="D16" s="12" t="str">
        <x: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x:f>
      </x:c>
      <x:c r="E16" s="12" t="str">
        <x:f>IF(AND(A16="",B16="",C16=""),"",IF(NOT(IF(ISNUMBER(A16),AND(A16&gt;=DATE(2016,8,1),A16&lt;=DATE(2100,12,31),MOD(A16,1)=0),FALSE)),"ОШИБКА: дата",IF(NOT(IF(ISNUMBER(B16),AND(B16&gt;=0,ROUND(B16,2)=B16),FALSE)),"ОШИБКА: сумма",IF(C16="","ОШИБКА: документ","ГОТОВО"))))</x:f>
      </x:c>
      <x:c r="F16" s="8" t="n">
        <x:f>IF(OR(E16="",E16="ГОТОВО"),0,1)</x:f>
        <x:v>0</x:v>
      </x:c>
    </x:row>
    <x:row r="17" ht="28" customHeight="1">
      <x:c r="A17" s="27"/>
      <x:c r="B17" s="29"/>
      <x:c r="C17" s="13"/>
      <x:c r="D17" s="12" t="str">
        <x: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x:f>
      </x:c>
      <x:c r="E17" s="12" t="str">
        <x:f>IF(AND(A17="",B17="",C17=""),"",IF(NOT(IF(ISNUMBER(A17),AND(A17&gt;=DATE(2016,8,1),A17&lt;=DATE(2100,12,31),MOD(A17,1)=0),FALSE)),"ОШИБКА: дата",IF(NOT(IF(ISNUMBER(B17),AND(B17&gt;=0,ROUND(B17,2)=B17),FALSE)),"ОШИБКА: сумма",IF(C17="","ОШИБКА: документ","ГОТОВО"))))</x:f>
      </x:c>
      <x:c r="F17" s="8" t="n">
        <x:f>IF(OR(E17="",E17="ГОТОВО"),0,1)</x:f>
        <x:v>0</x:v>
      </x:c>
    </x:row>
    <x:row r="18" ht="28" customHeight="1">
      <x:c r="A18" s="27"/>
      <x:c r="B18" s="29"/>
      <x:c r="C18" s="13"/>
      <x:c r="D18" s="12" t="str">
        <x: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x:f>
      </x:c>
      <x:c r="E18" s="12" t="str">
        <x:f>IF(AND(A18="",B18="",C18=""),"",IF(NOT(IF(ISNUMBER(A18),AND(A18&gt;=DATE(2016,8,1),A18&lt;=DATE(2100,12,31),MOD(A18,1)=0),FALSE)),"ОШИБКА: дата",IF(NOT(IF(ISNUMBER(B18),AND(B18&gt;=0,ROUND(B18,2)=B18),FALSE)),"ОШИБКА: сумма",IF(C18="","ОШИБКА: документ","ГОТОВО"))))</x:f>
      </x:c>
      <x:c r="F18" s="8" t="n">
        <x:f>IF(OR(E18="",E18="ГОТОВО"),0,1)</x:f>
        <x:v>0</x:v>
      </x:c>
    </x:row>
    <x:row r="19" ht="28" customHeight="1">
      <x:c r="A19" s="27"/>
      <x:c r="B19" s="29"/>
      <x:c r="C19" s="13"/>
      <x:c r="D19" s="12" t="str">
        <x: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x:f>
      </x:c>
      <x:c r="E19" s="12" t="str">
        <x:f>IF(AND(A19="",B19="",C19=""),"",IF(NOT(IF(ISNUMBER(A19),AND(A19&gt;=DATE(2016,8,1),A19&lt;=DATE(2100,12,31),MOD(A19,1)=0),FALSE)),"ОШИБКА: дата",IF(NOT(IF(ISNUMBER(B19),AND(B19&gt;=0,ROUND(B19,2)=B19),FALSE)),"ОШИБКА: сумма",IF(C19="","ОШИБКА: документ","ГОТОВО"))))</x:f>
      </x:c>
      <x:c r="F19" s="8" t="n">
        <x:f>IF(OR(E19="",E19="ГОТОВО"),0,1)</x:f>
        <x:v>0</x:v>
      </x:c>
    </x:row>
    <x:row r="20" ht="28" customHeight="1">
      <x:c r="A20" s="27"/>
      <x:c r="B20" s="29"/>
      <x:c r="C20" s="13"/>
      <x:c r="D20" s="12" t="str">
        <x: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x:f>
      </x:c>
      <x:c r="E20" s="12" t="str">
        <x:f>IF(AND(A20="",B20="",C20=""),"",IF(NOT(IF(ISNUMBER(A20),AND(A20&gt;=DATE(2016,8,1),A20&lt;=DATE(2100,12,31),MOD(A20,1)=0),FALSE)),"ОШИБКА: дата",IF(NOT(IF(ISNUMBER(B20),AND(B20&gt;=0,ROUND(B20,2)=B20),FALSE)),"ОШИБКА: сумма",IF(C20="","ОШИБКА: документ","ГОТОВО"))))</x:f>
      </x:c>
      <x:c r="F20" s="8" t="n">
        <x:f>IF(OR(E20="",E20="ГОТОВО"),0,1)</x:f>
        <x:v>0</x:v>
      </x:c>
    </x:row>
    <x:row r="21" ht="28" customHeight="1">
      <x:c r="A21" s="27"/>
      <x:c r="B21" s="29"/>
      <x:c r="C21" s="13"/>
      <x:c r="D21" s="12" t="str">
        <x: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x:f>
      </x:c>
      <x:c r="E21" s="12" t="str">
        <x:f>IF(AND(A21="",B21="",C21=""),"",IF(NOT(IF(ISNUMBER(A21),AND(A21&gt;=DATE(2016,8,1),A21&lt;=DATE(2100,12,31),MOD(A21,1)=0),FALSE)),"ОШИБКА: дата",IF(NOT(IF(ISNUMBER(B21),AND(B21&gt;=0,ROUND(B21,2)=B21),FALSE)),"ОШИБКА: сумма",IF(C21="","ОШИБКА: документ","ГОТОВО"))))</x:f>
      </x:c>
      <x:c r="F21" s="8" t="n">
        <x:f>IF(OR(E21="",E21="ГОТОВО"),0,1)</x:f>
        <x:v>0</x:v>
      </x:c>
    </x:row>
    <x:row r="22" ht="28" customHeight="1">
      <x:c r="A22" s="27"/>
      <x:c r="B22" s="29"/>
      <x:c r="C22" s="13"/>
      <x:c r="D22" s="12" t="str">
        <x: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x:f>
      </x:c>
      <x:c r="E22" s="12" t="str">
        <x:f>IF(AND(A22="",B22="",C22=""),"",IF(NOT(IF(ISNUMBER(A22),AND(A22&gt;=DATE(2016,8,1),A22&lt;=DATE(2100,12,31),MOD(A22,1)=0),FALSE)),"ОШИБКА: дата",IF(NOT(IF(ISNUMBER(B22),AND(B22&gt;=0,ROUND(B22,2)=B22),FALSE)),"ОШИБКА: сумма",IF(C22="","ОШИБКА: документ","ГОТОВО"))))</x:f>
      </x:c>
      <x:c r="F22" s="8" t="n">
        <x:f>IF(OR(E22="",E22="ГОТОВО"),0,1)</x:f>
        <x:v>0</x:v>
      </x:c>
    </x:row>
    <x:row r="23" ht="28" customHeight="1">
      <x:c r="A23" s="27"/>
      <x:c r="B23" s="29"/>
      <x:c r="C23" s="13"/>
      <x:c r="D23" s="12" t="str">
        <x: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x:f>
      </x:c>
      <x:c r="E23" s="12" t="str">
        <x:f>IF(AND(A23="",B23="",C23=""),"",IF(NOT(IF(ISNUMBER(A23),AND(A23&gt;=DATE(2016,8,1),A23&lt;=DATE(2100,12,31),MOD(A23,1)=0),FALSE)),"ОШИБКА: дата",IF(NOT(IF(ISNUMBER(B23),AND(B23&gt;=0,ROUND(B23,2)=B23),FALSE)),"ОШИБКА: сумма",IF(C23="","ОШИБКА: документ","ГОТОВО"))))</x:f>
      </x:c>
      <x:c r="F23" s="8" t="n">
        <x:f>IF(OR(E23="",E23="ГОТОВО"),0,1)</x:f>
        <x:v>0</x:v>
      </x:c>
    </x:row>
    <x:row r="24" ht="28" customHeight="1">
      <x:c r="A24" s="27"/>
      <x:c r="B24" s="29"/>
      <x:c r="C24" s="13"/>
      <x:c r="D24" s="12" t="str">
        <x: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x:f>
      </x:c>
      <x:c r="E24" s="12" t="str">
        <x:f>IF(AND(A24="",B24="",C24=""),"",IF(NOT(IF(ISNUMBER(A24),AND(A24&gt;=DATE(2016,8,1),A24&lt;=DATE(2100,12,31),MOD(A24,1)=0),FALSE)),"ОШИБКА: дата",IF(NOT(IF(ISNUMBER(B24),AND(B24&gt;=0,ROUND(B24,2)=B24),FALSE)),"ОШИБКА: сумма",IF(C24="","ОШИБКА: документ","ГОТОВО"))))</x:f>
      </x:c>
      <x:c r="F24" s="8" t="n">
        <x:f>IF(OR(E24="",E24="ГОТОВО"),0,1)</x:f>
        <x:v>0</x:v>
      </x:c>
    </x:row>
    <x:row r="25" ht="22" customHeight="1">
      <x:c r="A25" s="8"/>
      <x:c r="B25" s="8"/>
      <x:c r="C25" s="8"/>
      <x:c r="D25" s="8"/>
      <x:c r="E25" s="8"/>
      <x:c r="F25" s="8"/>
    </x:row>
    <x:row r="26" ht="22" customHeight="1">
      <x:c r="A26" s="8" t="str">
        <x:v>Одна операция — одна строка. Повторный платёж не вносите дважды.</x:v>
      </x:c>
      <x:c r="B26" s="8"/>
      <x:c r="C26" s="8"/>
      <x:c r="D26" s="8"/>
      <x:c r="E26" s="8"/>
      <x:c r="F26" s="8"/>
    </x:row>
    <x:row r="27" ht="22" customHeight="1">
      <x:c r="A27" s="8" t="str">
        <x:v>По п. 48 Пленума № 7 день оплаты входит в расчёт; база уменьшается со следующего дня.</x:v>
      </x:c>
      <x:c r="B27" s="8"/>
      <x:c r="C27" s="8"/>
      <x:c r="D27" s="8"/>
      <x:c r="E27" s="8"/>
      <x:c r="F27" s="8"/>
    </x:row>
    <x:row r="28" ht="22" customHeight="1">
      <x:c r="A28" s="8" t="str">
        <x:v>Для другого порядка по специальной норме или договору нужен отдельный расчёт.</x:v>
      </x:c>
      <x:c r="B28" s="8"/>
      <x:c r="C28" s="8"/>
      <x:c r="D28" s="8"/>
      <x:c r="E28" s="8"/>
      <x:c r="F28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44" hidden="0" customWidth="1"/>
  </x:cols>
  <x:sheetData>
    <x:row r="1" ht="22" customHeight="1">
      <x:c r="A1" s="8" t="str">
        <x:v>Календарь срока оплаты 2026</x:v>
      </x:c>
      <x:c r="B1" s="8"/>
      <x:c r="C1" s="8"/>
    </x:row>
    <x:row r="2" ht="22" customHeight="1">
      <x:c r="A2" s="8" t="str">
        <x:v>Пятидневка 2026. Иной календарь — ручная дата.</x:v>
      </x:c>
      <x:c r="B2" s="8"/>
      <x:c r="C2" s="8"/>
    </x:row>
    <x:row r="3" ht="22" customHeight="1">
      <x:c r="A3" s="8"/>
      <x:c r="B3" s="8"/>
      <x:c r="C3" s="8"/>
    </x:row>
    <x:row r="4" ht="22" customHeight="1">
      <x:c r="A4" s="11" t="str">
        <x:v>Нерабочая дата</x:v>
      </x:c>
      <x:c r="B4" s="11" t="str">
        <x:v>Основание</x:v>
      </x:c>
      <x:c r="C4" s="11" t="str">
        <x:v>Источники и условия</x:v>
      </x:c>
    </x:row>
    <x:row r="5" ht="28" customHeight="1">
      <x:c r="A5" s="24" t="n">
        <x:v>46023</x:v>
      </x:c>
      <x:c r="B5" s="8" t="str">
        <x:v>ТК РФ ст. 112 и перенос</x:v>
      </x:c>
      <x:c r="C5" s="12" t="str">
        <x:v>ТК РФ ст. 112</x:v>
      </x:c>
    </x:row>
    <x:row r="6" ht="28" customHeight="1">
      <x:c r="A6" s="24" t="n">
        <x:v>46024</x:v>
      </x:c>
      <x:c r="B6" s="8" t="str">
        <x:v>ТК РФ ст. 112 и перенос</x:v>
      </x:c>
      <x:c r="C6" s="12" t="str">
        <x:v>ПП РФ № 1466</x:v>
      </x:c>
    </x:row>
    <x:row r="7" ht="28" customHeight="1">
      <x:c r="A7" s="24" t="n">
        <x:v>46025</x:v>
      </x:c>
      <x:c r="B7" s="8" t="str">
        <x:v>ТК РФ ст. 112 и перенос</x:v>
      </x:c>
      <x:c r="C7" s="12" t="str">
        <x:v>ГК РФ ст. 191</x:v>
      </x:c>
    </x:row>
    <x:row r="8" ht="28" customHeight="1">
      <x:c r="A8" s="24" t="n">
        <x:v>46026</x:v>
      </x:c>
      <x:c r="B8" s="8" t="str">
        <x:v>ТК РФ ст. 112 и перенос</x:v>
      </x:c>
      <x:c r="C8" s="12" t="str">
        <x:v>ГК РФ ст. 193</x:v>
      </x:c>
    </x:row>
    <x:row r="9" ht="28" customHeight="1">
      <x:c r="A9" s="24" t="n">
        <x:v>46027</x:v>
      </x:c>
      <x:c r="B9" s="8" t="str">
        <x:v>ТК РФ ст. 112 и перенос</x:v>
      </x:c>
      <x:c r="C9" s="12" t="str">
        <x:v>Ключевая ставка Банка России</x:v>
      </x:c>
    </x:row>
    <x:row r="10" ht="28" customHeight="1">
      <x:c r="A10" s="24" t="n">
        <x:v>46028</x:v>
      </x:c>
      <x:c r="B10" s="8" t="str">
        <x:v>ТК РФ ст. 112 и перенос</x:v>
      </x:c>
      <x:c r="C10" s="12"/>
    </x:row>
    <x:row r="11" ht="28" customHeight="1">
      <x:c r="A11" s="24" t="n">
        <x:v>46029</x:v>
      </x:c>
      <x:c r="B11" s="8" t="str">
        <x:v>ТК РФ ст. 112 и перенос</x:v>
      </x:c>
      <x:c r="C11" s="12" t="str">
        <x:v>Автоматический срок — только внутри 2026 года.</x:v>
      </x:c>
    </x:row>
    <x:row r="12" ht="28" customHeight="1">
      <x:c r="A12" s="24" t="n">
        <x:v>46030</x:v>
      </x:c>
      <x:c r="B12" s="8" t="str">
        <x:v>ТК РФ ст. 112 и перенос</x:v>
      </x:c>
      <x:c r="C12" s="12"/>
    </x:row>
    <x:row r="13" ht="28" customHeight="1">
      <x:c r="A13" s="24" t="n">
        <x:v>46031</x:v>
      </x:c>
      <x:c r="B13" s="8" t="str">
        <x:v>ПП РФ № 1466</x:v>
      </x:c>
      <x:c r="C13" s="12" t="str">
        <x:v>Для иных лет используйте проверенную конечную дату.</x:v>
      </x:c>
    </x:row>
    <x:row r="14" ht="28" customHeight="1">
      <x:c r="A14" s="24" t="n">
        <x:v>46076</x:v>
      </x:c>
      <x:c r="B14" s="8" t="str">
        <x:v>ТК РФ ст. 112 и перенос</x:v>
      </x:c>
      <x:c r="C14" s="12"/>
    </x:row>
    <x:row r="15" ht="46" customHeight="1">
      <x:c r="A15" s="24" t="n">
        <x:v>46089</x:v>
      </x:c>
      <x:c r="B15" s="8" t="str">
        <x:v>ТК РФ ст. 112 и перенос</x:v>
      </x:c>
      <x:c r="C15" s="12" t="str">
        <x:v>Не переносите день начала просрочки автоматически на рабочий: после срока считаются календарные дни.</x:v>
      </x:c>
    </x:row>
    <x:row r="16" ht="28" customHeight="1">
      <x:c r="A16" s="24" t="n">
        <x:v>46090</x:v>
      </x:c>
      <x:c r="B16" s="8" t="str">
        <x:v>ТК РФ ст. 112 и перенос</x:v>
      </x:c>
      <x:c r="C16" s="12"/>
    </x:row>
    <x:row r="17" ht="28" customHeight="1">
      <x:c r="A17" s="24" t="n">
        <x:v>46143</x:v>
      </x:c>
      <x:c r="B17" s="8" t="str">
        <x:v>ТК РФ ст. 112 и перенос</x:v>
      </x:c>
      <x:c r="C17" s="12"/>
    </x:row>
    <x:row r="18" ht="46" customHeight="1">
      <x:c r="A18" s="24" t="n">
        <x:v>46151</x:v>
      </x:c>
      <x:c r="B18" s="8" t="str">
        <x:v>ТК РФ ст. 112 и перенос</x:v>
      </x:c>
      <x:c r="C18" s="12" t="str">
        <x:v>В строке 16 главного листа подтвердите применимость календаря к вашему обязательству.</x:v>
      </x:c>
    </x:row>
    <x:row r="19" ht="28" customHeight="1">
      <x:c r="A19" s="24" t="n">
        <x:v>46153</x:v>
      </x:c>
      <x:c r="B19" s="8" t="str">
        <x:v>ТК РФ ст. 112 и перенос</x:v>
      </x:c>
      <x:c r="C19" s="12"/>
    </x:row>
    <x:row r="20" ht="28" customHeight="1">
      <x:c r="A20" s="24" t="n">
        <x:v>46185</x:v>
      </x:c>
      <x:c r="B20" s="8" t="str">
        <x:v>ТК РФ ст. 112 и перенос</x:v>
      </x:c>
      <x:c r="C20" s="12"/>
    </x:row>
    <x:row r="21" ht="46" customHeight="1">
      <x:c r="A21" s="24" t="n">
        <x:v>46330</x:v>
      </x:c>
      <x:c r="B21" s="8" t="str">
        <x:v>ТК РФ ст. 112 и перенос</x:v>
      </x:c>
      <x:c r="C21" s="12" t="str">
        <x:v>Ставки не загружаются из сети. Проверяйте все даты изменений по источнику.</x:v>
      </x:c>
    </x:row>
    <x:row r="22" ht="28" customHeight="1">
      <x:c r="A22" s="24" t="n">
        <x:v>46387</x:v>
      </x:c>
      <x:c r="B22" s="8" t="str">
        <x:v>ПП РФ № 1466</x:v>
      </x:c>
      <x:c r="C22" s="12"/>
    </x:row>
  </x:sheetData>
  <x:pageMargins left="0.7" right="0.7" top="0.75" bottom="0.75" header="0.3" footer="0.3"/>
</x:worksheet>
</file>