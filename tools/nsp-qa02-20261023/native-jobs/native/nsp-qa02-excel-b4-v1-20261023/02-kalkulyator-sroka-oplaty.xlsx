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38bc7326c495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лькулятор срока оплаты" sheetId="1" r:id="R8504acb168394e28"/>
    <sheet name="Периоды" sheetId="2" r:id="Rc5a749c502d14f12"/>
    <sheet name="Платежи" sheetId="3" r:id="R639261ce6747473b"/>
    <sheet name="Календарь" sheetId="4" r:id="R66b256a34a6944ac"/>
  </sheets>
  <definedNames>
    <definedName name="_xlnm.Print_Area" localSheetId="0">'Калькулятор срока оплаты'!$A$1:$C$32</definedName>
    <definedName name="_xlnm.Print_Area" localSheetId="1">'Периоды'!$A$1:$M$30</definedName>
    <definedName name="_xlnm.Print_Area" localSheetId="2">'Платежи'!$A$1:$F$28</definedName>
    <definedName name="_xlnm.Print_Area" localSheetId="3">'Календарь'!$A$1:$C$22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4">
    <numFmt numFmtId="200" formatCode="dd.mm.yyyy"/>
    <numFmt numFmtId="201" formatCode="0.00%"/>
    <numFmt numFmtId="202" formatCode="#,##0.00 &quot;₽&quot;"/>
    <numFmt numFmtId="203" formatCode="#,##0.00"/>
  </numFmts>
  <fonts count="6">
    <font>
      <sz val="11"/>
      <color theme="1"/>
      <name val="Calibri"/>
      <family val="2"/>
      <scheme val="minor"/>
    </font>
    <font>
      <b/>
      <sz val="11"/>
      <color rgb="FFFFFFFF"/>
    </font>
    <font>
      <sz val="10"/>
      <color rgb="FF252A3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252A30"/>
      <name val="Arial"/>
      <family val="2"/>
      <scheme val="minor"/>
    </font>
    <font>
      <sz val="9"/>
      <color rgb="FF252A3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vertical="top" wrapText="1"/>
    </xf>
    <xf numFmtId="200" fontId="0" fillId="0" borderId="1" xfId="0" applyNumberFormat="1" applyFont="1" applyFill="1" applyBorder="1" applyAlignment="1">
      <alignment vertical="top" wrapText="1"/>
    </xf>
    <xf numFmtId="201" fontId="0" fillId="0" borderId="1" xfId="0" applyNumberFormat="1" applyFont="1" applyFill="1" applyBorder="1" applyAlignment="1">
      <alignment vertical="top" wrapText="1"/>
    </xf>
    <xf numFmtId="202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200" fontId="2" fillId="4" borderId="0" xfId="0" applyNumberFormat="1" applyFont="1" applyFill="1" applyBorder="1" applyAlignment="1">
      <alignment vertical="center" wrapText="1"/>
    </xf>
    <xf numFmtId="200" fontId="2" fillId="5" borderId="0" xfId="0" applyNumberFormat="1" applyFont="1" applyFill="1" applyBorder="1" applyAlignment="1">
      <alignment vertical="center" wrapText="1"/>
    </xf>
    <xf numFmtId="201" fontId="2" fillId="4" borderId="0" xfId="0" applyNumberFormat="1" applyFont="1" applyFill="1" applyBorder="1" applyAlignment="1">
      <alignment vertical="center" wrapText="1"/>
    </xf>
    <xf numFmtId="203" fontId="2" fillId="4" borderId="0" xfId="0" applyNumberFormat="1" applyFont="1" applyFill="1" applyBorder="1" applyAlignment="1">
      <alignment vertical="center" wrapText="1"/>
    </xf>
    <xf numFmtId="203" fontId="2" fillId="5" borderId="0" xfId="0" applyNumberFormat="1" applyFont="1" applyFill="1" applyBorder="1" applyAlignment="1">
      <alignment vertical="center" wrapText="1"/>
    </xf>
    <xf numFmtId="0" fontId="4" fillId="5" borderId="0" xfId="0" applyNumberFormat="1" applyFont="1" applyFill="1" applyBorder="1" applyAlignment="1">
      <alignment vertical="center" wrapText="1"/>
    </xf>
    <xf numFmtId="203" fontId="4" fillId="5" borderId="0" xfId="0" applyNumberFormat="1" applyFont="1" applyFill="1" applyBorder="1" applyAlignment="1">
      <alignment vertical="center" wrapText="1"/>
    </xf>
    <xf numFmtId="200" fontId="4" fillId="5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1"/>
    </xf>
    <xf numFmtId="200" fontId="2" fillId="0" borderId="0" xfId="0" applyNumberFormat="1" applyFont="1" applyFill="1" applyBorder="1" applyAlignment="1">
      <alignment vertical="center"/>
    </xf>
    <xf numFmtId="201" fontId="2" fillId="0" borderId="0" xfId="0" applyNumberFormat="1" applyFont="1" applyFill="1" applyBorder="1" applyAlignment="1">
      <alignment vertical="center"/>
    </xf>
    <xf numFmtId="203" fontId="2" fillId="0" borderId="0" xfId="0" applyNumberFormat="1" applyFont="1" applyFill="1" applyBorder="1" applyAlignment="1">
      <alignment vertical="center"/>
    </xf>
    <xf numFmtId="200" fontId="2" fillId="4" borderId="0" xfId="0" applyNumberFormat="1" applyFont="1" applyFill="1" applyBorder="1" applyAlignment="1">
      <alignment vertical="center"/>
    </xf>
    <xf numFmtId="201" fontId="2" fillId="4" borderId="0" xfId="0" applyNumberFormat="1" applyFont="1" applyFill="1" applyBorder="1" applyAlignment="1">
      <alignment vertical="center"/>
    </xf>
    <xf numFmtId="203" fontId="2" fillId="4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vertical="center"/>
    </xf>
    <xf numFmtId="200" fontId="2" fillId="4" borderId="0" xfId="0" applyNumberFormat="1" applyFont="1" applyFill="1" applyBorder="1" applyAlignment="1" applyProtection="1">
      <alignment vertical="center" wrapText="1"/>
      <protection locked="0"/>
    </xf>
    <xf numFmtId="0" fontId="2" fillId="4" borderId="0" xfId="0" applyNumberFormat="1" applyFont="1" applyFill="1" applyBorder="1" applyAlignment="1" applyProtection="1">
      <alignment vertical="center" wrapText="1"/>
      <protection locked="0"/>
    </xf>
    <xf numFmtId="201" fontId="2" fillId="4" borderId="0" xfId="0" applyNumberFormat="1" applyFont="1" applyFill="1" applyBorder="1" applyAlignment="1" applyProtection="1">
      <alignment vertical="center" wrapText="1"/>
      <protection locked="0"/>
    </xf>
    <xf numFmtId="203" fontId="2" fillId="4" borderId="0" xfId="0" applyNumberFormat="1" applyFont="1" applyFill="1" applyBorder="1" applyAlignment="1" applyProtection="1">
      <alignment vertical="center" wrapText="1"/>
      <protection locked="0"/>
    </xf>
    <xf numFmtId="201" fontId="2" fillId="4" borderId="0" xfId="0" applyNumberFormat="1" applyFont="1" applyFill="1" applyBorder="1" applyAlignment="1" applyProtection="1">
      <alignment vertical="center"/>
      <protection locked="0"/>
    </xf>
    <xf numFmtId="200" fontId="2" fillId="4" borderId="0" xfId="0" applyNumberFormat="1" applyFont="1" applyFill="1" applyBorder="1" applyAlignment="1" applyProtection="1">
      <alignment vertical="center"/>
      <protection locked="0"/>
    </xf>
    <xf numFmtId="203" fontId="2" fillId="4" borderId="0" xfId="0" applyNumberFormat="1" applyFont="1" applyFill="1" applyBorder="1" applyAlignment="1" applyProtection="1">
      <alignment vertical="center"/>
      <protection locked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e7883778e48f3" /><Relationship Type="http://schemas.openxmlformats.org/officeDocument/2006/relationships/theme" Target="/xl/theme/theme1.xml" Id="R12784c2051694dca" /><Relationship Type="http://schemas.openxmlformats.org/officeDocument/2006/relationships/sharedStrings" Target="/xl/sharedStrings.xml" Id="R13aaf3ef9e4e4b35" /><Relationship Type="http://schemas.openxmlformats.org/officeDocument/2006/relationships/worksheet" Target="/xl/worksheets/sheet1.xml" Id="R8504acb168394e28" /><Relationship Type="http://schemas.openxmlformats.org/officeDocument/2006/relationships/worksheet" Target="/xl/worksheets/sheet2.xml" Id="Rc5a749c502d14f12" /><Relationship Type="http://schemas.openxmlformats.org/officeDocument/2006/relationships/worksheet" Target="/xl/worksheets/sheet3.xml" Id="R639261ce6747473b" /><Relationship Type="http://schemas.openxmlformats.org/officeDocument/2006/relationships/worksheet" Target="/xl/worksheets/sheet4.xml" Id="R66b256a34a6944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?xml version='1.0' encoding='utf-8'?>
<ns0:Relationships xmlns:ns0="http://schemas.openxmlformats.org/package/2006/relationships"><ns0:Relationship Id="qa02link1" Type="http://schemas.openxmlformats.org/officeDocument/2006/relationships/hyperlink" Target="https://www.consultant.ru/document/cons_doc_LAW_34683/98ef2900507766e70ff29c0b9d8e2353ea80a1cf/" TargetMode="External" /><ns0:Relationship Id="qa02link2" Type="http://schemas.openxmlformats.org/officeDocument/2006/relationships/hyperlink" Target="https://www.consultant.ru/document/cons_doc_LAW_515170/" TargetMode="External" /><ns0:Relationship Id="qa02link3" Type="http://schemas.openxmlformats.org/officeDocument/2006/relationships/hyperlink" Target="https://www.consultant.ru/document/cons_doc_LAW_5142/60f6af8755cda8e568604f21cd44e823c3407d8f/" TargetMode="External" /><ns0:Relationship Id="qa02link4" Type="http://schemas.openxmlformats.org/officeDocument/2006/relationships/hyperlink" Target="https://www.consultant.ru/document/cons_doc_LAW_5142/8aaa310a192d916fce0327f6226a59ffe5b49b9b/" TargetMode="External" /><ns0:Relationship Id="qa02link5" Type="http://schemas.openxmlformats.org/officeDocument/2006/relationships/hyperlink" Target="https://www.cbr.ru/hd_base/keyrate/" TargetMode="External" /></ns0:Relationships>
</file>

<file path=xl/worksheets/sheet1.xml><?xml version="1.0" encoding="utf-8"?>
<worksheet xmlns="http://schemas.openxmlformats.org/spreadsheetml/2006/main">
  <sheetPr>
    <tabColor rgb="FF252A30"/>
    <pageSetUpPr fitToPage="1" autoPageBreaks="0"/>
  </sheetPr>
  <sheetViews>
    <sheetView showGridLines="0" workbookViewId="0"/>
  </sheetViews>
  <sheetFormatPr baseColWidth="8" defaultRowHeight="15"/>
  <cols>
    <col min="1" max="1" width="34" hidden="0" customWidth="1"/>
    <col min="2" max="2" width="27" hidden="0" customWidth="1"/>
    <col min="3" max="3" width="54" hidden="0" customWidth="1"/>
  </cols>
  <sheetData>
    <row r="1" ht="25" customHeight="1">
      <c r="A1" s="11" t="str">
        <v>Параметр</v>
      </c>
      <c r="B1" s="11" t="str">
        <v>Значение</v>
      </c>
      <c r="C1" s="11" t="str">
        <v>Как заполнить</v>
      </c>
    </row>
    <row r="2" ht="25" customHeight="1">
      <c r="A2" s="12" t="str">
        <v>Дата КС-2</v>
      </c>
      <c r="B2" s="31"/>
      <c r="C2" s="12" t="str">
        <v>Справочно. Срок определяет событие в строке 6.</v>
      </c>
    </row>
    <row r="3" ht="25" customHeight="1">
      <c r="A3" s="12" t="str">
        <v>Дата КС-3</v>
      </c>
      <c r="B3" s="31"/>
      <c r="C3" s="12" t="str">
        <v>Справочно. Не складывайте КС-2 и накопительную КС-3.</v>
      </c>
    </row>
    <row r="4" ht="25" customHeight="1">
      <c r="A4" s="12" t="str">
        <v>Срок оплаты, дней</v>
      </c>
      <c r="B4" s="32"/>
      <c r="C4" s="12" t="str">
        <v>Целое число от 0. День события не входит.</v>
      </c>
    </row>
    <row r="5" ht="25" customHeight="1">
      <c r="A5" s="12" t="str">
        <v>Тип срока</v>
      </c>
      <c r="B5" s="32" t="str">
        <v>календарные</v>
      </c>
      <c r="C5" s="12" t="str">
        <v>рабочие / календарные / дата</v>
      </c>
    </row>
    <row r="6" ht="25" customHeight="1">
      <c r="A6" s="12" t="str">
        <v>Дата договорного события</v>
      </c>
      <c r="B6" s="31"/>
      <c r="C6" s="12" t="str">
        <v>Укажите подтверждённое событие, предусмотренное договором.</v>
      </c>
    </row>
    <row r="7" ht="25" customHeight="1">
      <c r="A7" s="12" t="str">
        <v>Крайний день оплаты</v>
      </c>
      <c r="B7" s="16" t="str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ДАТА",IF(YEAR(WORKDAY((IF(B5="рабочие",WORKDAY(B6,B4,'Календарь'!$A$5:$A$22),B6+B4))-1,1,'Календарь'!$A$5:$A$22))&lt;&gt;2026,"НУЖНА РУЧНАЯ ДАТА",WORKDAY((IF(B5="рабочие",WORKDAY(B6,B4,'Календарь'!$A$5:$A$22),B6+B4))-1,1,'Календарь'!$A$5:$A$22))))))))</f>
        <v>ПОДТВЕРДИТЕ ДАТУ</v>
      </c>
      <c r="C7" s="12" t="str">
        <v>Перенос на рабочий день включён для календаря 2026.</v>
      </c>
    </row>
    <row r="8" ht="25" customHeight="1">
      <c r="A8" s="12" t="str">
        <v>Календарных дней просрочки</v>
      </c>
      <c r="B8" s="14" t="str">
        <f>IF(AND(ISNUMBER(B7),IF(ISNUMBER(B9),AND(B9&gt;=DATE(2016,8,1),B9&lt;=DATE(2100,12,31),MOD(B9,1)=0),FALSE)),MAX(0,B9-B7),"ПРОВЕРЬТЕ ДАТЫ")</f>
        <v>ПРОВЕРЬТЕ ДАТЫ</v>
      </c>
      <c r="C8" s="12" t="str">
        <v>С первого дня после срока по дату расчёта включительно.</v>
      </c>
    </row>
    <row r="9" ht="25" customHeight="1">
      <c r="A9" s="12" t="str">
        <v>Дата окончания расчёта</v>
      </c>
      <c r="B9" s="31"/>
      <c r="C9" s="12" t="str">
        <v>Фиксированная дата. TODAY() не используется.</v>
      </c>
    </row>
    <row r="10" ht="25" customHeight="1">
      <c r="A10" s="12" t="str">
        <v>Договорная пеня, % в день</v>
      </c>
      <c r="B10" s="33"/>
      <c r="C10" s="12" t="str">
        <v>Введите 0,1% как 0,1%. Не годовая ставка.</v>
      </c>
    </row>
    <row r="11" ht="25" customHeight="1">
      <c r="A11" s="12" t="str">
        <v>Сумма обязательства, руб.</v>
      </c>
      <c r="B11" s="34"/>
      <c r="C11" s="12" t="str">
        <v>Основной долг до внесённых оплат, без санкций.</v>
      </c>
    </row>
    <row r="12" ht="25" customHeight="1">
      <c r="A12" s="12" t="str">
        <v>Выбранная санкция, руб.</v>
      </c>
      <c r="B12" s="19" t="str">
        <f>IF(B13="проценты 395",B23,IF(B13="пеня",B24,IF(B13="без санкций",0,"ВЫБЕРИТЕ РЕЖИМ")))</f>
        <v>ВЫБЕРИТЕ РЕЖИМ</v>
      </c>
      <c r="C12" s="12" t="str">
        <v>Только один режим из строки 13.</v>
      </c>
    </row>
    <row r="13" ht="25" customHeight="1">
      <c r="A13" s="12" t="str">
        <v>Режим расчёта</v>
      </c>
      <c r="B13" s="32"/>
      <c r="C13" s="12" t="str">
        <v>395 / пеня / без санкций. Одновременного начисления нет.</v>
      </c>
    </row>
    <row r="14" ht="25" customHeight="1">
      <c r="A14" s="12" t="str">
        <v>Есть неустойка за это нарушение</v>
      </c>
      <c r="B14" s="32"/>
      <c r="C14" s="12" t="str">
        <v>да / нет / неизвестно. Учитывайте закон и договор.</v>
      </c>
    </row>
    <row r="15" ht="25" customHeight="1">
      <c r="A15" s="12" t="str">
        <v>Ставка 395, % годовых</v>
      </c>
      <c r="B15" s="33"/>
      <c r="C15" s="12" t="str">
        <v>На каждый период проверьте ставку Банка России.</v>
      </c>
    </row>
    <row r="16" ht="25" customHeight="1">
      <c r="A16" s="12" t="str">
        <v>Крайняя дата проверена</v>
      </c>
      <c r="B16" s="32"/>
      <c r="C16" s="12" t="str">
        <v>да — проверены договор, календарь и применимость ст. 193.</v>
      </c>
    </row>
    <row r="17" ht="25" customHeight="1">
      <c r="A17" s="12" t="str">
        <v>Основание и ставки проверены</v>
      </c>
      <c r="B17" s="32"/>
      <c r="C17" s="12" t="str">
        <v>да — проверены выбранная санкция, база и все её периоды.</v>
      </c>
    </row>
    <row r="18" ht="25" customHeight="1">
      <c r="A18" s="12" t="str">
        <v>Крайняя дата вручную</v>
      </c>
      <c r="B18" s="31"/>
      <c r="C18" s="12" t="str">
        <v>Для типа «дата»: окончательная дата после правовой проверки.</v>
      </c>
    </row>
    <row r="19" ht="25" customHeight="1">
      <c r="A19" s="12" t="str">
        <v>Исходные данные</v>
      </c>
      <c r="B19" s="20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ДОЛГА",IF(SUM('Платежи'!$F$5:$F$24)&gt;0,"ПРОВЕРЬТЕ ПЛАТЕЖИ","ГОТОВО"))))</f>
        <v>ПРОВЕРЬТЕ СРОК</v>
      </c>
      <c r="C19" s="12" t="str">
        <v>Платежи: до 20 строк, только отнесённая на основной долг сумма.</v>
      </c>
    </row>
    <row r="20" ht="25" customHeight="1">
      <c r="A20" s="12" t="str">
        <v>Остаток основного долга</v>
      </c>
      <c r="B20" s="21" t="str">
        <f>IF(B19&lt;&gt;"ГОТОВО",B19,IF(B21&gt;B11,"ОПЛАТЫ БОЛЬШЕ ДОЛГА",ROUND(B11-B21,2)))</f>
        <v>ПРОВЕРЬТЕ СРОК</v>
      </c>
      <c r="C20" s="12" t="str">
        <v>Оплаты по дату расчёта включительно вычитаются один раз.</v>
      </c>
    </row>
    <row r="21" ht="25" customHeight="1">
      <c r="A21" s="12" t="str">
        <v>Учтено оплат</v>
      </c>
      <c r="B21" s="21" t="str">
        <f>IF(B19&lt;&gt;"ГОТОВО",B19,SUMIFS('Платежи'!$B$5:$B$24,'Платежи'!$A$5:$A$24,"&lt;="&amp;B9))</f>
        <v>ПРОВЕРЬТЕ СРОК</v>
      </c>
      <c r="C21" s="12" t="str">
        <v>Будущие оплаты не уменьшают текущий остаток.</v>
      </c>
    </row>
    <row r="22" ht="25" customHeight="1">
      <c r="A22" s="12" t="str">
        <v>Оплаты после даты расчёта</v>
      </c>
      <c r="B22" s="21" t="str">
        <f>IF(B19&lt;&gt;"ГОТОВО",B19,SUMIFS('Платежи'!$B$5:$B$24,'Платежи'!$A$5:$A$24,"&gt;"&amp;B9))</f>
        <v>ПРОВЕРЬТЕ СРОК</v>
      </c>
      <c r="C22" s="12" t="str">
        <v>Показаны отдельно, в расчёт текущего периода не входят.</v>
      </c>
    </row>
    <row r="23" ht="25" customHeight="1">
      <c r="A23" s="12" t="str">
        <v>Проценты по ст. 395</v>
      </c>
      <c r="B23" s="21" t="str">
        <f>IF(B13&lt;&gt;"проценты 395","НЕ ВЫБРАНО",IF(B27="ГОТОВО",ROUND(SUM('Периоды'!$J$5:$J$24),2),IF(B27="ПРОСРОЧКИ НЕТ",0,B27)))</f>
        <v>НЕ ВЫБРАНО</v>
      </c>
      <c r="C23" s="12" t="str">
        <v>В режиме пени не начисляются. Без капитализации.</v>
      </c>
    </row>
    <row r="24" ht="25" customHeight="1">
      <c r="A24" s="12" t="str">
        <v>Договорная пеня</v>
      </c>
      <c r="B24" s="21" t="str">
        <f>IF(B13&lt;&gt;"пеня","НЕ ВЫБРАНО",IF(B27="ГОТОВО",ROUND(SUM('Периоды'!$K$5:$K$24),2),IF(B27="ПРОСРОЧКИ НЕТ",0,B27)))</f>
        <v>НЕ ВЫБРАНО</v>
      </c>
      <c r="C24" s="12" t="str">
        <v>Простая дневная пеня на остаток. Иные модели — отдельный расчёт.</v>
      </c>
    </row>
    <row r="25" ht="25" customHeight="1">
      <c r="A25" s="12" t="str">
        <v>Долг и выбранная санкция</v>
      </c>
      <c r="B25" s="21" t="str">
        <f>IF(AND(ISNUMBER(B20),ISNUMBER(B12)),SUM(B20,B12),"ПРОВЕРЬТЕ ВВОД")</f>
        <v>ПРОВЕРЬТЕ ВВОД</v>
      </c>
      <c r="C25" s="12" t="str">
        <v>Это две разные составляющие. Перенесите их в письмо раздельно.</v>
      </c>
    </row>
    <row r="26" ht="25" customHeight="1">
      <c r="A26" s="12" t="str">
        <v>Первый день просрочки</v>
      </c>
      <c r="B26" s="22" t="str">
        <f>IF(ISNUMBER(B7),B7+1,"ПРОВЕРЬТЕ СРОК")</f>
        <v>ПРОВЕРЬТЕ СРОК</v>
      </c>
      <c r="C26" s="12" t="str">
        <v>Следующий день после подтверждённого срока оплаты.</v>
      </c>
    </row>
    <row r="27" ht="25" customHeight="1">
      <c r="A27" s="12" t="str">
        <v>Периоды и основание</v>
      </c>
      <c r="B27" s="20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НЕТ",IF(SUM('Периоды'!$M$5:$M$24)&gt;0,"ПРОВЕРЬТЕ ПЕРИОДЫ",IF(SUM('Периоды'!$F$5:$F$24)&lt;&gt;B8,"НЕПОЛНОЕ ПОКРЫТИЕ","ГОТОВО"))))))))</f>
        <v>ПРОВЕРЬТЕ СРОК</v>
      </c>
      <c r="C27" s="12" t="str">
        <v>Если ошибка — числовой итог санкции не выдаётся.</v>
      </c>
    </row>
    <row r="28" ht="25" customHeight="1">
      <c r="A28" s="12" t="str">
        <v>Как разделить периоды</v>
      </c>
      <c r="B28" s="12"/>
      <c r="C28" s="12" t="str">
        <v>Новая строка: день изменения ставки или день после частичной оплаты.</v>
      </c>
    </row>
    <row r="29" ht="25" customHeight="1">
      <c r="A29" s="12" t="str">
        <v>Дата фактической оплаты</v>
      </c>
      <c r="B29" s="12"/>
      <c r="C29" s="12" t="str">
        <v>В платеже укажите дату исполнения обязательства и подтверждение банка.</v>
      </c>
    </row>
    <row r="30" ht="25" customHeight="1">
      <c r="A30" s="23" t="str">
        <v>Границы модели</v>
      </c>
      <c r="B30" s="23"/>
      <c r="C30" s="23" t="str">
        <v>Рубли, периоды с 01.08.2016, 20 оплат и 20 периодов. Особые режимы — отдельно.</v>
      </c>
    </row>
    <row r="31" ht="25" customHeight="1">
      <c r="A31" s="23" t="str">
        <v>Связь</v>
      </c>
      <c r="B31" s="23"/>
      <c r="C31" s="23" t="str">
        <v>nastoronepodryadchika@yandex.ru; тема ДЕНЬГИ, файл, лист, ячейка.</v>
      </c>
    </row>
    <row r="32" ht="25" customHeight="1">
      <c r="A32" s="23" t="str">
        <v>Порядок работы</v>
      </c>
      <c r="B32" s="23"/>
      <c r="C32" s="23" t="str">
        <v>Сначала инструкция 01, затем платежи/периоды, список 03 и письмо 04.</v>
      </c>
    </row>
  </sheetData>
  <sheetProtection sheet="1" objects="1" scenarios="1" selectLockedCells="0" selectUnlockedCells="0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operator="between" sqref="B4">
      <formula1>0</formula1>
      <formula2>366</formula2>
    </dataValidation>
  </dataValidations>
  <printOptions horizontalCentered="1"/>
  <pageMargins left="0.25" right="0.25" top="0.3" bottom="0.3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pageSetUpPr fitToPage="1" autoPageBreaks="0"/>
  </sheetPr>
  <sheetViews>
    <sheetView showGridLines="0" workbookViewId="0">
      <pane ySplit="4" topLeftCell="A5" activePane="bottomLeft" state="frozen"/>
    </sheetView>
  </sheetViews>
  <sheetFormatPr defaultRowHeight="15"/>
  <cols>
    <col min="1" max="1" width="15" hidden="0" customWidth="1"/>
    <col min="2" max="2" width="15" hidden="0" customWidth="1"/>
    <col min="3" max="3" width="18" hidden="0" customWidth="1"/>
    <col min="4" max="4" width="12" hidden="0" customWidth="1"/>
    <col min="5" max="5" width="12" hidden="0" customWidth="1"/>
    <col min="6" max="6" width="8" hidden="0" customWidth="1"/>
    <col min="7" max="7" width="10" hidden="0" customWidth="1"/>
    <col min="8" max="8" width="9" hidden="0" customWidth="1"/>
    <col min="9" max="9" width="10" hidden="0" customWidth="1"/>
    <col min="10" max="10" width="18" hidden="0" customWidth="1"/>
    <col min="11" max="11" width="18" hidden="0" customWidth="1"/>
    <col min="12" max="12" width="32" hidden="0" customWidth="1"/>
    <col min="13" max="13" width="8" hidden="0" customWidth="1"/>
  </cols>
  <sheetData>
    <row r="1" ht="22" customHeight="1">
      <c r="A1" s="8" t="str">
        <v>Начисления по периодам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22" customHeight="1">
      <c r="A2" s="8" t="str">
        <v>Вводите новые начала в A6:A24 по возрастанию. D/E пусто — ставка из главного листа.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2" customHeight="1">
      <c r="A3" s="8" t="str">
        <v>Частичная оплата внутри строки блокирует итог: добавьте начало следующего дня. Новая ставка — с даты её действия.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48" customHeight="1">
      <c r="A4" s="11" t="str">
        <v>Начало</v>
      </c>
      <c r="B4" s="11" t="str">
        <v>Конец</v>
      </c>
      <c r="C4" s="11" t="str">
        <v>База, руб.</v>
      </c>
      <c r="D4" s="11" t="str">
        <v>395, % год.</v>
      </c>
      <c r="E4" s="11" t="str">
        <v>Пеня, %/день</v>
      </c>
      <c r="F4" s="11" t="str">
        <v>Дней</v>
      </c>
      <c r="G4" s="11" t="str">
        <v>Дней 1-го года</v>
      </c>
      <c r="H4" s="11" t="str">
        <v>Полных лет</v>
      </c>
      <c r="I4" s="11" t="str">
        <v>Дней посл. года</v>
      </c>
      <c r="J4" s="11" t="str">
        <v>Проценты 395, руб.</v>
      </c>
      <c r="K4" s="11" t="str">
        <v>Пеня, руб.</v>
      </c>
      <c r="L4" s="11" t="str">
        <v>Контроль периода</v>
      </c>
      <c r="M4" s="11" t="str">
        <v>Ошибок</v>
      </c>
    </row>
    <row r="5" ht="28" customHeight="1">
      <c r="A5" s="24" t="str">
        <f>IF(ISNUMBER('Калькулятор срока оплаты'!$B$26),'Калькулятор срока оплаты'!$B$26,"")</f>
      </c>
      <c r="B5" s="24" t="str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</c>
      <c r="C5" s="26" t="str">
        <f>IF(AND(IF(ISNUMBER(A5),AND(A5&gt;=DATE(2016,8,1),A5&lt;=DATE(2100,12,31),MOD(A5,1)=0),FALSE),'Калькулятор срока оплаты'!$B$19="ГОТОВО"),'Калькулятор срока оплаты'!$B$11-SUMIFS('Платежи'!$B$5:$B$24,'Платежи'!$A$5:$A$24,"&lt;"&amp;A5),"")</f>
      </c>
      <c r="D5" s="35"/>
      <c r="E5" s="35"/>
      <c r="F5" s="8" t="str">
        <f>IF(L5="ГОТОВО",B5-A5+1,"")</f>
      </c>
      <c r="G5" s="8" t="str">
        <f>IF(L5="ГОТОВО",MIN(B5,DATE(YEAR(A5)+1,1,1)-1)-A5+1,"")</f>
      </c>
      <c r="H5" s="8" t="str">
        <f>IF(L5="ГОТОВО",MAX(0,YEAR(B5)-YEAR(A5)-1),"")</f>
      </c>
      <c r="I5" s="8" t="str">
        <f>IF(L5="ГОТОВО",IF(YEAR(B5)&gt;YEAR(A5),B5-DATE(YEAR(B5),1,1)+1,0),"")</f>
      </c>
      <c r="J5" s="26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</c>
      <c r="K5" s="26" t="str">
        <f>IF(AND(L5="ГОТОВО",'Калькулятор срока оплаты'!$B$13="пеня"),C5*IF(E5="",'Калькулятор срока оплаты'!$B$10,E5)*F5,"")</f>
      </c>
      <c r="L5" s="12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переплата",IF(COUNTIFS('Платежи'!$A$5:$A$24,"&gt;="&amp;A5,'Платежи'!$A$5:$A$24,"&lt;"&amp;B5)&gt;0,"ОШИБКА: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</c>
      <c r="M5" s="8" t="n">
        <f>IF(OR(L5="",L5="ГОТОВО",L5="НЕ УЧТЁН"),0,1)</f>
        <v>0</v>
      </c>
    </row>
    <row r="6" ht="28" customHeight="1">
      <c r="A6" s="36"/>
      <c r="B6" s="24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</c>
      <c r="C6" s="26" t="str">
        <f>IF(AND(IF(ISNUMBER(A6),AND(A6&gt;=DATE(2016,8,1),A6&lt;=DATE(2100,12,31),MOD(A6,1)=0),FALSE),'Калькулятор срока оплаты'!$B$19="ГОТОВО"),'Калькулятор срока оплаты'!$B$11-SUMIFS('Платежи'!$B$5:$B$24,'Платежи'!$A$5:$A$24,"&lt;"&amp;A6),"")</f>
      </c>
      <c r="D6" s="35"/>
      <c r="E6" s="35"/>
      <c r="F6" s="8" t="str">
        <f>IF(L6="ГОТОВО",B6-A6+1,"")</f>
      </c>
      <c r="G6" s="8" t="str">
        <f>IF(L6="ГОТОВО",MIN(B6,DATE(YEAR(A6)+1,1,1)-1)-A6+1,"")</f>
      </c>
      <c r="H6" s="8" t="str">
        <f>IF(L6="ГОТОВО",MAX(0,YEAR(B6)-YEAR(A6)-1),"")</f>
      </c>
      <c r="I6" s="8" t="str">
        <f>IF(L6="ГОТОВО",IF(YEAR(B6)&gt;YEAR(A6),B6-DATE(YEAR(B6),1,1)+1,0),"")</f>
      </c>
      <c r="J6" s="26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</c>
      <c r="K6" s="26" t="str">
        <f>IF(AND(L6="ГОТОВО",'Калькулятор срока оплаты'!$B$13="пеня"),C6*IF(E6="",'Калькулятор срока оплаты'!$B$10,E6)*F6,"")</f>
      </c>
      <c r="L6" s="12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переплата",IF(COUNTIFS('Платежи'!$A$5:$A$24,"&gt;="&amp;A6,'Платежи'!$A$5:$A$24,"&lt;"&amp;B6)&gt;0,"ОШИБКА: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</c>
      <c r="M6" s="8" t="n">
        <f>IF(OR(L6="",L6="ГОТОВО",L6="НЕ УЧТЁН"),0,1)</f>
        <v>0</v>
      </c>
    </row>
    <row r="7" ht="28" customHeight="1">
      <c r="A7" s="36"/>
      <c r="B7" s="24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</c>
      <c r="C7" s="26" t="str">
        <f>IF(AND(IF(ISNUMBER(A7),AND(A7&gt;=DATE(2016,8,1),A7&lt;=DATE(2100,12,31),MOD(A7,1)=0),FALSE),'Калькулятор срока оплаты'!$B$19="ГОТОВО"),'Калькулятор срока оплаты'!$B$11-SUMIFS('Платежи'!$B$5:$B$24,'Платежи'!$A$5:$A$24,"&lt;"&amp;A7),"")</f>
      </c>
      <c r="D7" s="35"/>
      <c r="E7" s="35"/>
      <c r="F7" s="8" t="str">
        <f>IF(L7="ГОТОВО",B7-A7+1,"")</f>
      </c>
      <c r="G7" s="8" t="str">
        <f>IF(L7="ГОТОВО",MIN(B7,DATE(YEAR(A7)+1,1,1)-1)-A7+1,"")</f>
      </c>
      <c r="H7" s="8" t="str">
        <f>IF(L7="ГОТОВО",MAX(0,YEAR(B7)-YEAR(A7)-1),"")</f>
      </c>
      <c r="I7" s="8" t="str">
        <f>IF(L7="ГОТОВО",IF(YEAR(B7)&gt;YEAR(A7),B7-DATE(YEAR(B7),1,1)+1,0),"")</f>
      </c>
      <c r="J7" s="26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</c>
      <c r="K7" s="26" t="str">
        <f>IF(AND(L7="ГОТОВО",'Калькулятор срока оплаты'!$B$13="пеня"),C7*IF(E7="",'Калькулятор срока оплаты'!$B$10,E7)*F7,"")</f>
      </c>
      <c r="L7" s="12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переплата",IF(COUNTIFS('Платежи'!$A$5:$A$24,"&gt;="&amp;A7,'Платежи'!$A$5:$A$24,"&lt;"&amp;B7)&gt;0,"ОШИБКА: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</c>
      <c r="M7" s="8" t="n">
        <f>IF(OR(L7="",L7="ГОТОВО",L7="НЕ УЧТЁН"),0,1)</f>
        <v>0</v>
      </c>
    </row>
    <row r="8" ht="28" customHeight="1">
      <c r="A8" s="36"/>
      <c r="B8" s="24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</c>
      <c r="C8" s="26" t="str">
        <f>IF(AND(IF(ISNUMBER(A8),AND(A8&gt;=DATE(2016,8,1),A8&lt;=DATE(2100,12,31),MOD(A8,1)=0),FALSE),'Калькулятор срока оплаты'!$B$19="ГОТОВО"),'Калькулятор срока оплаты'!$B$11-SUMIFS('Платежи'!$B$5:$B$24,'Платежи'!$A$5:$A$24,"&lt;"&amp;A8),"")</f>
      </c>
      <c r="D8" s="35"/>
      <c r="E8" s="35"/>
      <c r="F8" s="8" t="str">
        <f>IF(L8="ГОТОВО",B8-A8+1,"")</f>
      </c>
      <c r="G8" s="8" t="str">
        <f>IF(L8="ГОТОВО",MIN(B8,DATE(YEAR(A8)+1,1,1)-1)-A8+1,"")</f>
      </c>
      <c r="H8" s="8" t="str">
        <f>IF(L8="ГОТОВО",MAX(0,YEAR(B8)-YEAR(A8)-1),"")</f>
      </c>
      <c r="I8" s="8" t="str">
        <f>IF(L8="ГОТОВО",IF(YEAR(B8)&gt;YEAR(A8),B8-DATE(YEAR(B8),1,1)+1,0),"")</f>
      </c>
      <c r="J8" s="26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</c>
      <c r="K8" s="26" t="str">
        <f>IF(AND(L8="ГОТОВО",'Калькулятор срока оплаты'!$B$13="пеня"),C8*IF(E8="",'Калькулятор срока оплаты'!$B$10,E8)*F8,"")</f>
      </c>
      <c r="L8" s="12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переплата",IF(COUNTIFS('Платежи'!$A$5:$A$24,"&gt;="&amp;A8,'Платежи'!$A$5:$A$24,"&lt;"&amp;B8)&gt;0,"ОШИБКА: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</c>
      <c r="M8" s="8" t="n">
        <f>IF(OR(L8="",L8="ГОТОВО",L8="НЕ УЧТЁН"),0,1)</f>
        <v>0</v>
      </c>
    </row>
    <row r="9" ht="28" customHeight="1">
      <c r="A9" s="36"/>
      <c r="B9" s="24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</c>
      <c r="C9" s="26" t="str">
        <f>IF(AND(IF(ISNUMBER(A9),AND(A9&gt;=DATE(2016,8,1),A9&lt;=DATE(2100,12,31),MOD(A9,1)=0),FALSE),'Калькулятор срока оплаты'!$B$19="ГОТОВО"),'Калькулятор срока оплаты'!$B$11-SUMIFS('Платежи'!$B$5:$B$24,'Платежи'!$A$5:$A$24,"&lt;"&amp;A9),"")</f>
      </c>
      <c r="D9" s="35"/>
      <c r="E9" s="35"/>
      <c r="F9" s="8" t="str">
        <f>IF(L9="ГОТОВО",B9-A9+1,"")</f>
      </c>
      <c r="G9" s="8" t="str">
        <f>IF(L9="ГОТОВО",MIN(B9,DATE(YEAR(A9)+1,1,1)-1)-A9+1,"")</f>
      </c>
      <c r="H9" s="8" t="str">
        <f>IF(L9="ГОТОВО",MAX(0,YEAR(B9)-YEAR(A9)-1),"")</f>
      </c>
      <c r="I9" s="8" t="str">
        <f>IF(L9="ГОТОВО",IF(YEAR(B9)&gt;YEAR(A9),B9-DATE(YEAR(B9),1,1)+1,0),"")</f>
      </c>
      <c r="J9" s="26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</c>
      <c r="K9" s="26" t="str">
        <f>IF(AND(L9="ГОТОВО",'Калькулятор срока оплаты'!$B$13="пеня"),C9*IF(E9="",'Калькулятор срока оплаты'!$B$10,E9)*F9,"")</f>
      </c>
      <c r="L9" s="12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переплата",IF(COUNTIFS('Платежи'!$A$5:$A$24,"&gt;="&amp;A9,'Платежи'!$A$5:$A$24,"&lt;"&amp;B9)&gt;0,"ОШИБКА: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</c>
      <c r="M9" s="8" t="n">
        <f>IF(OR(L9="",L9="ГОТОВО",L9="НЕ УЧТЁН"),0,1)</f>
        <v>0</v>
      </c>
    </row>
    <row r="10" ht="28" customHeight="1">
      <c r="A10" s="36"/>
      <c r="B10" s="24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</c>
      <c r="C10" s="26" t="str">
        <f>IF(AND(IF(ISNUMBER(A10),AND(A10&gt;=DATE(2016,8,1),A10&lt;=DATE(2100,12,31),MOD(A10,1)=0),FALSE),'Калькулятор срока оплаты'!$B$19="ГОТОВО"),'Калькулятор срока оплаты'!$B$11-SUMIFS('Платежи'!$B$5:$B$24,'Платежи'!$A$5:$A$24,"&lt;"&amp;A10),"")</f>
      </c>
      <c r="D10" s="35"/>
      <c r="E10" s="35"/>
      <c r="F10" s="8" t="str">
        <f>IF(L10="ГОТОВО",B10-A10+1,"")</f>
      </c>
      <c r="G10" s="8" t="str">
        <f>IF(L10="ГОТОВО",MIN(B10,DATE(YEAR(A10)+1,1,1)-1)-A10+1,"")</f>
      </c>
      <c r="H10" s="8" t="str">
        <f>IF(L10="ГОТОВО",MAX(0,YEAR(B10)-YEAR(A10)-1),"")</f>
      </c>
      <c r="I10" s="8" t="str">
        <f>IF(L10="ГОТОВО",IF(YEAR(B10)&gt;YEAR(A10),B10-DATE(YEAR(B10),1,1)+1,0),"")</f>
      </c>
      <c r="J10" s="26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</c>
      <c r="K10" s="26" t="str">
        <f>IF(AND(L10="ГОТОВО",'Калькулятор срока оплаты'!$B$13="пеня"),C10*IF(E10="",'Калькулятор срока оплаты'!$B$10,E10)*F10,"")</f>
      </c>
      <c r="L10" s="12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переплата",IF(COUNTIFS('Платежи'!$A$5:$A$24,"&gt;="&amp;A10,'Платежи'!$A$5:$A$24,"&lt;"&amp;B10)&gt;0,"ОШИБКА: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</c>
      <c r="M10" s="8" t="n">
        <f>IF(OR(L10="",L10="ГОТОВО",L10="НЕ УЧТЁН"),0,1)</f>
        <v>0</v>
      </c>
    </row>
    <row r="11" ht="28" customHeight="1">
      <c r="A11" s="36"/>
      <c r="B11" s="24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</c>
      <c r="C11" s="26" t="str">
        <f>IF(AND(IF(ISNUMBER(A11),AND(A11&gt;=DATE(2016,8,1),A11&lt;=DATE(2100,12,31),MOD(A11,1)=0),FALSE),'Калькулятор срока оплаты'!$B$19="ГОТОВО"),'Калькулятор срока оплаты'!$B$11-SUMIFS('Платежи'!$B$5:$B$24,'Платежи'!$A$5:$A$24,"&lt;"&amp;A11),"")</f>
      </c>
      <c r="D11" s="35"/>
      <c r="E11" s="35"/>
      <c r="F11" s="8" t="str">
        <f>IF(L11="ГОТОВО",B11-A11+1,"")</f>
      </c>
      <c r="G11" s="8" t="str">
        <f>IF(L11="ГОТОВО",MIN(B11,DATE(YEAR(A11)+1,1,1)-1)-A11+1,"")</f>
      </c>
      <c r="H11" s="8" t="str">
        <f>IF(L11="ГОТОВО",MAX(0,YEAR(B11)-YEAR(A11)-1),"")</f>
      </c>
      <c r="I11" s="8" t="str">
        <f>IF(L11="ГОТОВО",IF(YEAR(B11)&gt;YEAR(A11),B11-DATE(YEAR(B11),1,1)+1,0),"")</f>
      </c>
      <c r="J11" s="26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</c>
      <c r="K11" s="26" t="str">
        <f>IF(AND(L11="ГОТОВО",'Калькулятор срока оплаты'!$B$13="пеня"),C11*IF(E11="",'Калькулятор срока оплаты'!$B$10,E11)*F11,"")</f>
      </c>
      <c r="L11" s="12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переплата",IF(COUNTIFS('Платежи'!$A$5:$A$24,"&gt;="&amp;A11,'Платежи'!$A$5:$A$24,"&lt;"&amp;B11)&gt;0,"ОШИБКА: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</c>
      <c r="M11" s="8" t="n">
        <f>IF(OR(L11="",L11="ГОТОВО",L11="НЕ УЧТЁН"),0,1)</f>
        <v>0</v>
      </c>
    </row>
    <row r="12" ht="28" customHeight="1">
      <c r="A12" s="36"/>
      <c r="B12" s="24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</c>
      <c r="C12" s="26" t="str">
        <f>IF(AND(IF(ISNUMBER(A12),AND(A12&gt;=DATE(2016,8,1),A12&lt;=DATE(2100,12,31),MOD(A12,1)=0),FALSE),'Калькулятор срока оплаты'!$B$19="ГОТОВО"),'Калькулятор срока оплаты'!$B$11-SUMIFS('Платежи'!$B$5:$B$24,'Платежи'!$A$5:$A$24,"&lt;"&amp;A12),"")</f>
      </c>
      <c r="D12" s="35"/>
      <c r="E12" s="35"/>
      <c r="F12" s="8" t="str">
        <f>IF(L12="ГОТОВО",B12-A12+1,"")</f>
      </c>
      <c r="G12" s="8" t="str">
        <f>IF(L12="ГОТОВО",MIN(B12,DATE(YEAR(A12)+1,1,1)-1)-A12+1,"")</f>
      </c>
      <c r="H12" s="8" t="str">
        <f>IF(L12="ГОТОВО",MAX(0,YEAR(B12)-YEAR(A12)-1),"")</f>
      </c>
      <c r="I12" s="8" t="str">
        <f>IF(L12="ГОТОВО",IF(YEAR(B12)&gt;YEAR(A12),B12-DATE(YEAR(B12),1,1)+1,0),"")</f>
      </c>
      <c r="J12" s="26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</c>
      <c r="K12" s="26" t="str">
        <f>IF(AND(L12="ГОТОВО",'Калькулятор срока оплаты'!$B$13="пеня"),C12*IF(E12="",'Калькулятор срока оплаты'!$B$10,E12)*F12,"")</f>
      </c>
      <c r="L12" s="12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переплата",IF(COUNTIFS('Платежи'!$A$5:$A$24,"&gt;="&amp;A12,'Платежи'!$A$5:$A$24,"&lt;"&amp;B12)&gt;0,"ОШИБКА: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</c>
      <c r="M12" s="8" t="n">
        <f>IF(OR(L12="",L12="ГОТОВО",L12="НЕ УЧТЁН"),0,1)</f>
        <v>0</v>
      </c>
    </row>
    <row r="13" ht="28" customHeight="1">
      <c r="A13" s="36"/>
      <c r="B13" s="24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</c>
      <c r="C13" s="26" t="str">
        <f>IF(AND(IF(ISNUMBER(A13),AND(A13&gt;=DATE(2016,8,1),A13&lt;=DATE(2100,12,31),MOD(A13,1)=0),FALSE),'Калькулятор срока оплаты'!$B$19="ГОТОВО"),'Калькулятор срока оплаты'!$B$11-SUMIFS('Платежи'!$B$5:$B$24,'Платежи'!$A$5:$A$24,"&lt;"&amp;A13),"")</f>
      </c>
      <c r="D13" s="35"/>
      <c r="E13" s="35"/>
      <c r="F13" s="8" t="str">
        <f>IF(L13="ГОТОВО",B13-A13+1,"")</f>
      </c>
      <c r="G13" s="8" t="str">
        <f>IF(L13="ГОТОВО",MIN(B13,DATE(YEAR(A13)+1,1,1)-1)-A13+1,"")</f>
      </c>
      <c r="H13" s="8" t="str">
        <f>IF(L13="ГОТОВО",MAX(0,YEAR(B13)-YEAR(A13)-1),"")</f>
      </c>
      <c r="I13" s="8" t="str">
        <f>IF(L13="ГОТОВО",IF(YEAR(B13)&gt;YEAR(A13),B13-DATE(YEAR(B13),1,1)+1,0),"")</f>
      </c>
      <c r="J13" s="26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</c>
      <c r="K13" s="26" t="str">
        <f>IF(AND(L13="ГОТОВО",'Калькулятор срока оплаты'!$B$13="пеня"),C13*IF(E13="",'Калькулятор срока оплаты'!$B$10,E13)*F13,"")</f>
      </c>
      <c r="L13" s="12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переплата",IF(COUNTIFS('Платежи'!$A$5:$A$24,"&gt;="&amp;A13,'Платежи'!$A$5:$A$24,"&lt;"&amp;B13)&gt;0,"ОШИБКА: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</c>
      <c r="M13" s="8" t="n">
        <f>IF(OR(L13="",L13="ГОТОВО",L13="НЕ УЧТЁН"),0,1)</f>
        <v>0</v>
      </c>
    </row>
    <row r="14" ht="28" customHeight="1">
      <c r="A14" s="36"/>
      <c r="B14" s="24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</c>
      <c r="C14" s="26" t="str">
        <f>IF(AND(IF(ISNUMBER(A14),AND(A14&gt;=DATE(2016,8,1),A14&lt;=DATE(2100,12,31),MOD(A14,1)=0),FALSE),'Калькулятор срока оплаты'!$B$19="ГОТОВО"),'Калькулятор срока оплаты'!$B$11-SUMIFS('Платежи'!$B$5:$B$24,'Платежи'!$A$5:$A$24,"&lt;"&amp;A14),"")</f>
      </c>
      <c r="D14" s="35"/>
      <c r="E14" s="35"/>
      <c r="F14" s="8" t="str">
        <f>IF(L14="ГОТОВО",B14-A14+1,"")</f>
      </c>
      <c r="G14" s="8" t="str">
        <f>IF(L14="ГОТОВО",MIN(B14,DATE(YEAR(A14)+1,1,1)-1)-A14+1,"")</f>
      </c>
      <c r="H14" s="8" t="str">
        <f>IF(L14="ГОТОВО",MAX(0,YEAR(B14)-YEAR(A14)-1),"")</f>
      </c>
      <c r="I14" s="8" t="str">
        <f>IF(L14="ГОТОВО",IF(YEAR(B14)&gt;YEAR(A14),B14-DATE(YEAR(B14),1,1)+1,0),"")</f>
      </c>
      <c r="J14" s="26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</c>
      <c r="K14" s="26" t="str">
        <f>IF(AND(L14="ГОТОВО",'Калькулятор срока оплаты'!$B$13="пеня"),C14*IF(E14="",'Калькулятор срока оплаты'!$B$10,E14)*F14,"")</f>
      </c>
      <c r="L14" s="12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переплата",IF(COUNTIFS('Платежи'!$A$5:$A$24,"&gt;="&amp;A14,'Платежи'!$A$5:$A$24,"&lt;"&amp;B14)&gt;0,"ОШИБКА: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</c>
      <c r="M14" s="8" t="n">
        <f>IF(OR(L14="",L14="ГОТОВО",L14="НЕ УЧТЁН"),0,1)</f>
        <v>0</v>
      </c>
    </row>
    <row r="15" ht="28" customHeight="1">
      <c r="A15" s="36"/>
      <c r="B15" s="24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</c>
      <c r="C15" s="26" t="str">
        <f>IF(AND(IF(ISNUMBER(A15),AND(A15&gt;=DATE(2016,8,1),A15&lt;=DATE(2100,12,31),MOD(A15,1)=0),FALSE),'Калькулятор срока оплаты'!$B$19="ГОТОВО"),'Калькулятор срока оплаты'!$B$11-SUMIFS('Платежи'!$B$5:$B$24,'Платежи'!$A$5:$A$24,"&lt;"&amp;A15),"")</f>
      </c>
      <c r="D15" s="35"/>
      <c r="E15" s="35"/>
      <c r="F15" s="8" t="str">
        <f>IF(L15="ГОТОВО",B15-A15+1,"")</f>
      </c>
      <c r="G15" s="8" t="str">
        <f>IF(L15="ГОТОВО",MIN(B15,DATE(YEAR(A15)+1,1,1)-1)-A15+1,"")</f>
      </c>
      <c r="H15" s="8" t="str">
        <f>IF(L15="ГОТОВО",MAX(0,YEAR(B15)-YEAR(A15)-1),"")</f>
      </c>
      <c r="I15" s="8" t="str">
        <f>IF(L15="ГОТОВО",IF(YEAR(B15)&gt;YEAR(A15),B15-DATE(YEAR(B15),1,1)+1,0),"")</f>
      </c>
      <c r="J15" s="26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</c>
      <c r="K15" s="26" t="str">
        <f>IF(AND(L15="ГОТОВО",'Калькулятор срока оплаты'!$B$13="пеня"),C15*IF(E15="",'Калькулятор срока оплаты'!$B$10,E15)*F15,"")</f>
      </c>
      <c r="L15" s="12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переплата",IF(COUNTIFS('Платежи'!$A$5:$A$24,"&gt;="&amp;A15,'Платежи'!$A$5:$A$24,"&lt;"&amp;B15)&gt;0,"ОШИБКА: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</c>
      <c r="M15" s="8" t="n">
        <f>IF(OR(L15="",L15="ГОТОВО",L15="НЕ УЧТЁН"),0,1)</f>
        <v>0</v>
      </c>
    </row>
    <row r="16" ht="28" customHeight="1">
      <c r="A16" s="36"/>
      <c r="B16" s="24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</c>
      <c r="C16" s="26" t="str">
        <f>IF(AND(IF(ISNUMBER(A16),AND(A16&gt;=DATE(2016,8,1),A16&lt;=DATE(2100,12,31),MOD(A16,1)=0),FALSE),'Калькулятор срока оплаты'!$B$19="ГОТОВО"),'Калькулятор срока оплаты'!$B$11-SUMIFS('Платежи'!$B$5:$B$24,'Платежи'!$A$5:$A$24,"&lt;"&amp;A16),"")</f>
      </c>
      <c r="D16" s="35"/>
      <c r="E16" s="35"/>
      <c r="F16" s="8" t="str">
        <f>IF(L16="ГОТОВО",B16-A16+1,"")</f>
      </c>
      <c r="G16" s="8" t="str">
        <f>IF(L16="ГОТОВО",MIN(B16,DATE(YEAR(A16)+1,1,1)-1)-A16+1,"")</f>
      </c>
      <c r="H16" s="8" t="str">
        <f>IF(L16="ГОТОВО",MAX(0,YEAR(B16)-YEAR(A16)-1),"")</f>
      </c>
      <c r="I16" s="8" t="str">
        <f>IF(L16="ГОТОВО",IF(YEAR(B16)&gt;YEAR(A16),B16-DATE(YEAR(B16),1,1)+1,0),"")</f>
      </c>
      <c r="J16" s="26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</c>
      <c r="K16" s="26" t="str">
        <f>IF(AND(L16="ГОТОВО",'Калькулятор срока оплаты'!$B$13="пеня"),C16*IF(E16="",'Калькулятор срока оплаты'!$B$10,E16)*F16,"")</f>
      </c>
      <c r="L16" s="12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переплата",IF(COUNTIFS('Платежи'!$A$5:$A$24,"&gt;="&amp;A16,'Платежи'!$A$5:$A$24,"&lt;"&amp;B16)&gt;0,"ОШИБКА: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</c>
      <c r="M16" s="8" t="n">
        <f>IF(OR(L16="",L16="ГОТОВО",L16="НЕ УЧТЁН"),0,1)</f>
        <v>0</v>
      </c>
    </row>
    <row r="17" ht="28" customHeight="1">
      <c r="A17" s="36"/>
      <c r="B17" s="24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</c>
      <c r="C17" s="26" t="str">
        <f>IF(AND(IF(ISNUMBER(A17),AND(A17&gt;=DATE(2016,8,1),A17&lt;=DATE(2100,12,31),MOD(A17,1)=0),FALSE),'Калькулятор срока оплаты'!$B$19="ГОТОВО"),'Калькулятор срока оплаты'!$B$11-SUMIFS('Платежи'!$B$5:$B$24,'Платежи'!$A$5:$A$24,"&lt;"&amp;A17),"")</f>
      </c>
      <c r="D17" s="35"/>
      <c r="E17" s="35"/>
      <c r="F17" s="8" t="str">
        <f>IF(L17="ГОТОВО",B17-A17+1,"")</f>
      </c>
      <c r="G17" s="8" t="str">
        <f>IF(L17="ГОТОВО",MIN(B17,DATE(YEAR(A17)+1,1,1)-1)-A17+1,"")</f>
      </c>
      <c r="H17" s="8" t="str">
        <f>IF(L17="ГОТОВО",MAX(0,YEAR(B17)-YEAR(A17)-1),"")</f>
      </c>
      <c r="I17" s="8" t="str">
        <f>IF(L17="ГОТОВО",IF(YEAR(B17)&gt;YEAR(A17),B17-DATE(YEAR(B17),1,1)+1,0),"")</f>
      </c>
      <c r="J17" s="26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</c>
      <c r="K17" s="26" t="str">
        <f>IF(AND(L17="ГОТОВО",'Калькулятор срока оплаты'!$B$13="пеня"),C17*IF(E17="",'Калькулятор срока оплаты'!$B$10,E17)*F17,"")</f>
      </c>
      <c r="L17" s="12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переплата",IF(COUNTIFS('Платежи'!$A$5:$A$24,"&gt;="&amp;A17,'Платежи'!$A$5:$A$24,"&lt;"&amp;B17)&gt;0,"ОШИБКА: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</c>
      <c r="M17" s="8" t="n">
        <f>IF(OR(L17="",L17="ГОТОВО",L17="НЕ УЧТЁН"),0,1)</f>
        <v>0</v>
      </c>
    </row>
    <row r="18" ht="28" customHeight="1">
      <c r="A18" s="36"/>
      <c r="B18" s="24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</c>
      <c r="C18" s="26" t="str">
        <f>IF(AND(IF(ISNUMBER(A18),AND(A18&gt;=DATE(2016,8,1),A18&lt;=DATE(2100,12,31),MOD(A18,1)=0),FALSE),'Калькулятор срока оплаты'!$B$19="ГОТОВО"),'Калькулятор срока оплаты'!$B$11-SUMIFS('Платежи'!$B$5:$B$24,'Платежи'!$A$5:$A$24,"&lt;"&amp;A18),"")</f>
      </c>
      <c r="D18" s="35"/>
      <c r="E18" s="35"/>
      <c r="F18" s="8" t="str">
        <f>IF(L18="ГОТОВО",B18-A18+1,"")</f>
      </c>
      <c r="G18" s="8" t="str">
        <f>IF(L18="ГОТОВО",MIN(B18,DATE(YEAR(A18)+1,1,1)-1)-A18+1,"")</f>
      </c>
      <c r="H18" s="8" t="str">
        <f>IF(L18="ГОТОВО",MAX(0,YEAR(B18)-YEAR(A18)-1),"")</f>
      </c>
      <c r="I18" s="8" t="str">
        <f>IF(L18="ГОТОВО",IF(YEAR(B18)&gt;YEAR(A18),B18-DATE(YEAR(B18),1,1)+1,0),"")</f>
      </c>
      <c r="J18" s="26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</c>
      <c r="K18" s="26" t="str">
        <f>IF(AND(L18="ГОТОВО",'Калькулятор срока оплаты'!$B$13="пеня"),C18*IF(E18="",'Калькулятор срока оплаты'!$B$10,E18)*F18,"")</f>
      </c>
      <c r="L18" s="12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переплата",IF(COUNTIFS('Платежи'!$A$5:$A$24,"&gt;="&amp;A18,'Платежи'!$A$5:$A$24,"&lt;"&amp;B18)&gt;0,"ОШИБКА: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</c>
      <c r="M18" s="8" t="n">
        <f>IF(OR(L18="",L18="ГОТОВО",L18="НЕ УЧТЁН"),0,1)</f>
        <v>0</v>
      </c>
    </row>
    <row r="19" ht="28" customHeight="1">
      <c r="A19" s="36"/>
      <c r="B19" s="24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</c>
      <c r="C19" s="26" t="str">
        <f>IF(AND(IF(ISNUMBER(A19),AND(A19&gt;=DATE(2016,8,1),A19&lt;=DATE(2100,12,31),MOD(A19,1)=0),FALSE),'Калькулятор срока оплаты'!$B$19="ГОТОВО"),'Калькулятор срока оплаты'!$B$11-SUMIFS('Платежи'!$B$5:$B$24,'Платежи'!$A$5:$A$24,"&lt;"&amp;A19),"")</f>
      </c>
      <c r="D19" s="35"/>
      <c r="E19" s="35"/>
      <c r="F19" s="8" t="str">
        <f>IF(L19="ГОТОВО",B19-A19+1,"")</f>
      </c>
      <c r="G19" s="8" t="str">
        <f>IF(L19="ГОТОВО",MIN(B19,DATE(YEAR(A19)+1,1,1)-1)-A19+1,"")</f>
      </c>
      <c r="H19" s="8" t="str">
        <f>IF(L19="ГОТОВО",MAX(0,YEAR(B19)-YEAR(A19)-1),"")</f>
      </c>
      <c r="I19" s="8" t="str">
        <f>IF(L19="ГОТОВО",IF(YEAR(B19)&gt;YEAR(A19),B19-DATE(YEAR(B19),1,1)+1,0),"")</f>
      </c>
      <c r="J19" s="26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</c>
      <c r="K19" s="26" t="str">
        <f>IF(AND(L19="ГОТОВО",'Калькулятор срока оплаты'!$B$13="пеня"),C19*IF(E19="",'Калькулятор срока оплаты'!$B$10,E19)*F19,"")</f>
      </c>
      <c r="L19" s="12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переплата",IF(COUNTIFS('Платежи'!$A$5:$A$24,"&gt;="&amp;A19,'Платежи'!$A$5:$A$24,"&lt;"&amp;B19)&gt;0,"ОШИБКА: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</c>
      <c r="M19" s="8" t="n">
        <f>IF(OR(L19="",L19="ГОТОВО",L19="НЕ УЧТЁН"),0,1)</f>
        <v>0</v>
      </c>
    </row>
    <row r="20" ht="28" customHeight="1">
      <c r="A20" s="36"/>
      <c r="B20" s="24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</c>
      <c r="C20" s="26" t="str">
        <f>IF(AND(IF(ISNUMBER(A20),AND(A20&gt;=DATE(2016,8,1),A20&lt;=DATE(2100,12,31),MOD(A20,1)=0),FALSE),'Калькулятор срока оплаты'!$B$19="ГОТОВО"),'Калькулятор срока оплаты'!$B$11-SUMIFS('Платежи'!$B$5:$B$24,'Платежи'!$A$5:$A$24,"&lt;"&amp;A20),"")</f>
      </c>
      <c r="D20" s="35"/>
      <c r="E20" s="35"/>
      <c r="F20" s="8" t="str">
        <f>IF(L20="ГОТОВО",B20-A20+1,"")</f>
      </c>
      <c r="G20" s="8" t="str">
        <f>IF(L20="ГОТОВО",MIN(B20,DATE(YEAR(A20)+1,1,1)-1)-A20+1,"")</f>
      </c>
      <c r="H20" s="8" t="str">
        <f>IF(L20="ГОТОВО",MAX(0,YEAR(B20)-YEAR(A20)-1),"")</f>
      </c>
      <c r="I20" s="8" t="str">
        <f>IF(L20="ГОТОВО",IF(YEAR(B20)&gt;YEAR(A20),B20-DATE(YEAR(B20),1,1)+1,0),"")</f>
      </c>
      <c r="J20" s="26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</c>
      <c r="K20" s="26" t="str">
        <f>IF(AND(L20="ГОТОВО",'Калькулятор срока оплаты'!$B$13="пеня"),C20*IF(E20="",'Калькулятор срока оплаты'!$B$10,E20)*F20,"")</f>
      </c>
      <c r="L20" s="12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переплата",IF(COUNTIFS('Платежи'!$A$5:$A$24,"&gt;="&amp;A20,'Платежи'!$A$5:$A$24,"&lt;"&amp;B20)&gt;0,"ОШИБКА: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</c>
      <c r="M20" s="8" t="n">
        <f>IF(OR(L20="",L20="ГОТОВО",L20="НЕ УЧТЁН"),0,1)</f>
        <v>0</v>
      </c>
    </row>
    <row r="21" ht="28" customHeight="1">
      <c r="A21" s="36"/>
      <c r="B21" s="24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</c>
      <c r="C21" s="26" t="str">
        <f>IF(AND(IF(ISNUMBER(A21),AND(A21&gt;=DATE(2016,8,1),A21&lt;=DATE(2100,12,31),MOD(A21,1)=0),FALSE),'Калькулятор срока оплаты'!$B$19="ГОТОВО"),'Калькулятор срока оплаты'!$B$11-SUMIFS('Платежи'!$B$5:$B$24,'Платежи'!$A$5:$A$24,"&lt;"&amp;A21),"")</f>
      </c>
      <c r="D21" s="35"/>
      <c r="E21" s="35"/>
      <c r="F21" s="8" t="str">
        <f>IF(L21="ГОТОВО",B21-A21+1,"")</f>
      </c>
      <c r="G21" s="8" t="str">
        <f>IF(L21="ГОТОВО",MIN(B21,DATE(YEAR(A21)+1,1,1)-1)-A21+1,"")</f>
      </c>
      <c r="H21" s="8" t="str">
        <f>IF(L21="ГОТОВО",MAX(0,YEAR(B21)-YEAR(A21)-1),"")</f>
      </c>
      <c r="I21" s="8" t="str">
        <f>IF(L21="ГОТОВО",IF(YEAR(B21)&gt;YEAR(A21),B21-DATE(YEAR(B21),1,1)+1,0),"")</f>
      </c>
      <c r="J21" s="26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</c>
      <c r="K21" s="26" t="str">
        <f>IF(AND(L21="ГОТОВО",'Калькулятор срока оплаты'!$B$13="пеня"),C21*IF(E21="",'Калькулятор срока оплаты'!$B$10,E21)*F21,"")</f>
      </c>
      <c r="L21" s="12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переплата",IF(COUNTIFS('Платежи'!$A$5:$A$24,"&gt;="&amp;A21,'Платежи'!$A$5:$A$24,"&lt;"&amp;B21)&gt;0,"ОШИБКА: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</c>
      <c r="M21" s="8" t="n">
        <f>IF(OR(L21="",L21="ГОТОВО",L21="НЕ УЧТЁН"),0,1)</f>
        <v>0</v>
      </c>
    </row>
    <row r="22" ht="28" customHeight="1">
      <c r="A22" s="36"/>
      <c r="B22" s="24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</c>
      <c r="C22" s="26" t="str">
        <f>IF(AND(IF(ISNUMBER(A22),AND(A22&gt;=DATE(2016,8,1),A22&lt;=DATE(2100,12,31),MOD(A22,1)=0),FALSE),'Калькулятор срока оплаты'!$B$19="ГОТОВО"),'Калькулятор срока оплаты'!$B$11-SUMIFS('Платежи'!$B$5:$B$24,'Платежи'!$A$5:$A$24,"&lt;"&amp;A22),"")</f>
      </c>
      <c r="D22" s="35"/>
      <c r="E22" s="35"/>
      <c r="F22" s="8" t="str">
        <f>IF(L22="ГОТОВО",B22-A22+1,"")</f>
      </c>
      <c r="G22" s="8" t="str">
        <f>IF(L22="ГОТОВО",MIN(B22,DATE(YEAR(A22)+1,1,1)-1)-A22+1,"")</f>
      </c>
      <c r="H22" s="8" t="str">
        <f>IF(L22="ГОТОВО",MAX(0,YEAR(B22)-YEAR(A22)-1),"")</f>
      </c>
      <c r="I22" s="8" t="str">
        <f>IF(L22="ГОТОВО",IF(YEAR(B22)&gt;YEAR(A22),B22-DATE(YEAR(B22),1,1)+1,0),"")</f>
      </c>
      <c r="J22" s="26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</c>
      <c r="K22" s="26" t="str">
        <f>IF(AND(L22="ГОТОВО",'Калькулятор срока оплаты'!$B$13="пеня"),C22*IF(E22="",'Калькулятор срока оплаты'!$B$10,E22)*F22,"")</f>
      </c>
      <c r="L22" s="12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переплата",IF(COUNTIFS('Платежи'!$A$5:$A$24,"&gt;="&amp;A22,'Платежи'!$A$5:$A$24,"&lt;"&amp;B22)&gt;0,"ОШИБКА: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</c>
      <c r="M22" s="8" t="n">
        <f>IF(OR(L22="",L22="ГОТОВО",L22="НЕ УЧТЁН"),0,1)</f>
        <v>0</v>
      </c>
    </row>
    <row r="23" ht="28" customHeight="1">
      <c r="A23" s="36"/>
      <c r="B23" s="24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</c>
      <c r="C23" s="26" t="str">
        <f>IF(AND(IF(ISNUMBER(A23),AND(A23&gt;=DATE(2016,8,1),A23&lt;=DATE(2100,12,31),MOD(A23,1)=0),FALSE),'Калькулятор срока оплаты'!$B$19="ГОТОВО"),'Калькулятор срока оплаты'!$B$11-SUMIFS('Платежи'!$B$5:$B$24,'Платежи'!$A$5:$A$24,"&lt;"&amp;A23),"")</f>
      </c>
      <c r="D23" s="35"/>
      <c r="E23" s="35"/>
      <c r="F23" s="8" t="str">
        <f>IF(L23="ГОТОВО",B23-A23+1,"")</f>
      </c>
      <c r="G23" s="8" t="str">
        <f>IF(L23="ГОТОВО",MIN(B23,DATE(YEAR(A23)+1,1,1)-1)-A23+1,"")</f>
      </c>
      <c r="H23" s="8" t="str">
        <f>IF(L23="ГОТОВО",MAX(0,YEAR(B23)-YEAR(A23)-1),"")</f>
      </c>
      <c r="I23" s="8" t="str">
        <f>IF(L23="ГОТОВО",IF(YEAR(B23)&gt;YEAR(A23),B23-DATE(YEAR(B23),1,1)+1,0),"")</f>
      </c>
      <c r="J23" s="26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</c>
      <c r="K23" s="26" t="str">
        <f>IF(AND(L23="ГОТОВО",'Калькулятор срока оплаты'!$B$13="пеня"),C23*IF(E23="",'Калькулятор срока оплаты'!$B$10,E23)*F23,"")</f>
      </c>
      <c r="L23" s="12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переплата",IF(COUNTIFS('Платежи'!$A$5:$A$24,"&gt;="&amp;A23,'Платежи'!$A$5:$A$24,"&lt;"&amp;B23)&gt;0,"ОШИБКА: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</c>
      <c r="M23" s="8" t="n">
        <f>IF(OR(L23="",L23="ГОТОВО",L23="НЕ УЧТЁН"),0,1)</f>
        <v>0</v>
      </c>
    </row>
    <row r="24" ht="28" customHeight="1">
      <c r="A24" s="36"/>
      <c r="B24" s="24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</c>
      <c r="C24" s="26" t="str">
        <f>IF(AND(IF(ISNUMBER(A24),AND(A24&gt;=DATE(2016,8,1),A24&lt;=DATE(2100,12,31),MOD(A24,1)=0),FALSE),'Калькулятор срока оплаты'!$B$19="ГОТОВО"),'Калькулятор срока оплаты'!$B$11-SUMIFS('Платежи'!$B$5:$B$24,'Платежи'!$A$5:$A$24,"&lt;"&amp;A24),"")</f>
      </c>
      <c r="D24" s="35"/>
      <c r="E24" s="35"/>
      <c r="F24" s="8" t="str">
        <f>IF(L24="ГОТОВО",B24-A24+1,"")</f>
      </c>
      <c r="G24" s="8" t="str">
        <f>IF(L24="ГОТОВО",MIN(B24,DATE(YEAR(A24)+1,1,1)-1)-A24+1,"")</f>
      </c>
      <c r="H24" s="8" t="str">
        <f>IF(L24="ГОТОВО",MAX(0,YEAR(B24)-YEAR(A24)-1),"")</f>
      </c>
      <c r="I24" s="8" t="str">
        <f>IF(L24="ГОТОВО",IF(YEAR(B24)&gt;YEAR(A24),B24-DATE(YEAR(B24),1,1)+1,0),"")</f>
      </c>
      <c r="J24" s="26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</c>
      <c r="K24" s="26" t="str">
        <f>IF(AND(L24="ГОТОВО",'Калькулятор срока оплаты'!$B$13="пеня"),C24*IF(E24="",'Калькулятор срока оплаты'!$B$10,E24)*F24,"")</f>
      </c>
      <c r="L24" s="12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переплата",IF(COUNTIFS('Платежи'!$A$5:$A$24,"&gt;="&amp;A24,'Платежи'!$A$5:$A$24,"&lt;"&amp;B24)&gt;0,"ОШИБКА: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</c>
      <c r="M24" s="8" t="n">
        <f>IF(OR(L24="",L24="ГОТОВО",L24="НЕ УЧТЁН"),0,1)</f>
        <v>0</v>
      </c>
    </row>
    <row r="25" ht="22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ht="22" customHeight="1">
      <c r="A26" s="8" t="str">
        <v>Годовая ставка вводится как 14%, дневная — как 0,1%. Ноль допустим; текст и отрицательная выбранная ставка блокируют итог.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ht="22" customHeight="1">
      <c r="A27" s="8" t="str">
        <v>395: дни делятся на 365/366 по соответствующему календарному году; внутри периода учитываются полные промежуточные годы.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ht="22" customHeight="1">
      <c r="A28" s="8" t="str">
        <v>Начисления складываются без округления по дням/строкам. Итог округляется до копеек на главном листе.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ht="22" customHeight="1">
      <c r="A29" s="8" t="str">
        <v>20 периодов и 20 оплат — предел готового макета. Не вводите дополнительные строки за его пределами.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ht="22" customHeight="1">
      <c r="A30" s="8" t="str">
        <v>Работает для обычного рублёвого долга без капитализации. Лимиты пени, моратории, особая база или иной день начала — отдельная модель.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sheetProtection sheet="1" objects="1" scenarios="1" selectLockedCells="0" selectUnlockedCells="0"/>
  <printOptions horizontalCentered="1"/>
  <pageMargins left="0.25" right="0.25" top="0.3" bottom="0.3" header="0.1" footer="0.1"/>
  <pageSetup paperSize="8" orientation="landscape" fitToWidth="1" fitToHeight="1"/>
</worksheet>
</file>

<file path=xl/worksheets/sheet3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15" hidden="0" customWidth="1"/>
    <col min="2" max="2" width="20" hidden="0" customWidth="1"/>
    <col min="3" max="3" width="46" hidden="0" customWidth="1"/>
    <col min="4" max="4" width="23" hidden="0" customWidth="1"/>
    <col min="5" max="5" width="29" hidden="0" customWidth="1"/>
    <col min="6" max="6" width="8" hidden="0" customWidth="1"/>
  </cols>
  <sheetData>
    <row r="1" ht="22" customHeight="1">
      <c r="A1" s="8" t="str">
        <v>Платежи по одному обязательству</v>
      </c>
      <c r="B1" s="8"/>
      <c r="C1" s="8"/>
      <c r="D1" s="8"/>
      <c r="E1" s="8"/>
      <c r="F1" s="8"/>
    </row>
    <row r="2" ht="22" customHeight="1">
      <c r="A2" s="8" t="str">
        <v>Только суммы, отнесённые на основной долг. Подтвердите распределение платежа.</v>
      </c>
      <c r="B2" s="8"/>
      <c r="C2" s="8"/>
      <c r="D2" s="8"/>
      <c r="E2" s="8"/>
      <c r="F2" s="8"/>
    </row>
    <row r="3" ht="22" customHeight="1">
      <c r="A3" s="8"/>
      <c r="B3" s="8"/>
      <c r="C3" s="8"/>
      <c r="D3" s="8"/>
      <c r="E3" s="8"/>
      <c r="F3" s="8"/>
    </row>
    <row r="4" ht="36" customHeight="1">
      <c r="A4" s="11" t="str">
        <v>Дата исполнения</v>
      </c>
      <c r="B4" s="11" t="str">
        <v>Основной долг, руб.</v>
      </c>
      <c r="C4" s="11" t="str">
        <v>Документ и назначение</v>
      </c>
      <c r="D4" s="11" t="str">
        <v>Учёт на дату расчёта</v>
      </c>
      <c r="E4" s="11" t="str">
        <v>Контроль ввода</v>
      </c>
      <c r="F4" s="11" t="str">
        <v>Ошибок</v>
      </c>
    </row>
    <row r="5" ht="28" customHeight="1">
      <c r="A5" s="36"/>
      <c r="B5" s="37"/>
      <c r="C5" s="32"/>
      <c r="D5" s="12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</c>
      <c r="E5" s="12" t="str">
        <f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</c>
      <c r="F5" s="8" t="n">
        <f>IF(OR(E5="",E5="ГОТОВО"),0,1)</f>
        <v>0</v>
      </c>
    </row>
    <row r="6" ht="28" customHeight="1">
      <c r="A6" s="36"/>
      <c r="B6" s="37"/>
      <c r="C6" s="32"/>
      <c r="D6" s="12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</c>
      <c r="E6" s="12" t="str">
        <f>IF(AND(A6="",B6="",C6=""),"",IF(NOT(IF(ISNUMBER(A6),AND(A6&gt;=DATE(2016,8,1),A6&lt;=DATE(2100,12,31),MOD(A6,1)=0),FALSE)),"ОШИБКА: дата",IF(NOT(IF(ISNUMBER(B6),AND(B6&gt;=0,ROUND(B6,2)=B6),FALSE)),"ОШИБКА: сумма",IF(C6="","ОШИБКА: документ","ГОТОВО"))))</f>
      </c>
      <c r="F6" s="8" t="n">
        <f>IF(OR(E6="",E6="ГОТОВО"),0,1)</f>
        <v>0</v>
      </c>
    </row>
    <row r="7" ht="28" customHeight="1">
      <c r="A7" s="36"/>
      <c r="B7" s="37"/>
      <c r="C7" s="32"/>
      <c r="D7" s="12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</c>
      <c r="E7" s="12" t="str">
        <f>IF(AND(A7="",B7="",C7=""),"",IF(NOT(IF(ISNUMBER(A7),AND(A7&gt;=DATE(2016,8,1),A7&lt;=DATE(2100,12,31),MOD(A7,1)=0),FALSE)),"ОШИБКА: дата",IF(NOT(IF(ISNUMBER(B7),AND(B7&gt;=0,ROUND(B7,2)=B7),FALSE)),"ОШИБКА: сумма",IF(C7="","ОШИБКА: документ","ГОТОВО"))))</f>
      </c>
      <c r="F7" s="8" t="n">
        <f>IF(OR(E7="",E7="ГОТОВО"),0,1)</f>
        <v>0</v>
      </c>
    </row>
    <row r="8" ht="28" customHeight="1">
      <c r="A8" s="36"/>
      <c r="B8" s="37"/>
      <c r="C8" s="32"/>
      <c r="D8" s="12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</c>
      <c r="E8" s="12" t="str">
        <f>IF(AND(A8="",B8="",C8=""),"",IF(NOT(IF(ISNUMBER(A8),AND(A8&gt;=DATE(2016,8,1),A8&lt;=DATE(2100,12,31),MOD(A8,1)=0),FALSE)),"ОШИБКА: дата",IF(NOT(IF(ISNUMBER(B8),AND(B8&gt;=0,ROUND(B8,2)=B8),FALSE)),"ОШИБКА: сумма",IF(C8="","ОШИБКА: документ","ГОТОВО"))))</f>
      </c>
      <c r="F8" s="8" t="n">
        <f>IF(OR(E8="",E8="ГОТОВО"),0,1)</f>
        <v>0</v>
      </c>
    </row>
    <row r="9" ht="28" customHeight="1">
      <c r="A9" s="36"/>
      <c r="B9" s="37"/>
      <c r="C9" s="32"/>
      <c r="D9" s="12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</c>
      <c r="E9" s="12" t="str">
        <f>IF(AND(A9="",B9="",C9=""),"",IF(NOT(IF(ISNUMBER(A9),AND(A9&gt;=DATE(2016,8,1),A9&lt;=DATE(2100,12,31),MOD(A9,1)=0),FALSE)),"ОШИБКА: дата",IF(NOT(IF(ISNUMBER(B9),AND(B9&gt;=0,ROUND(B9,2)=B9),FALSE)),"ОШИБКА: сумма",IF(C9="","ОШИБКА: документ","ГОТОВО"))))</f>
      </c>
      <c r="F9" s="8" t="n">
        <f>IF(OR(E9="",E9="ГОТОВО"),0,1)</f>
        <v>0</v>
      </c>
    </row>
    <row r="10" ht="28" customHeight="1">
      <c r="A10" s="36"/>
      <c r="B10" s="37"/>
      <c r="C10" s="32"/>
      <c r="D10" s="12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</c>
      <c r="E10" s="12" t="str">
        <f>IF(AND(A10="",B10="",C10=""),"",IF(NOT(IF(ISNUMBER(A10),AND(A10&gt;=DATE(2016,8,1),A10&lt;=DATE(2100,12,31),MOD(A10,1)=0),FALSE)),"ОШИБКА: дата",IF(NOT(IF(ISNUMBER(B10),AND(B10&gt;=0,ROUND(B10,2)=B10),FALSE)),"ОШИБКА: сумма",IF(C10="","ОШИБКА: документ","ГОТОВО"))))</f>
      </c>
      <c r="F10" s="8" t="n">
        <f>IF(OR(E10="",E10="ГОТОВО"),0,1)</f>
        <v>0</v>
      </c>
    </row>
    <row r="11" ht="28" customHeight="1">
      <c r="A11" s="36"/>
      <c r="B11" s="37"/>
      <c r="C11" s="32"/>
      <c r="D11" s="12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</c>
      <c r="E11" s="12" t="str">
        <f>IF(AND(A11="",B11="",C11=""),"",IF(NOT(IF(ISNUMBER(A11),AND(A11&gt;=DATE(2016,8,1),A11&lt;=DATE(2100,12,31),MOD(A11,1)=0),FALSE)),"ОШИБКА: дата",IF(NOT(IF(ISNUMBER(B11),AND(B11&gt;=0,ROUND(B11,2)=B11),FALSE)),"ОШИБКА: сумма",IF(C11="","ОШИБКА: документ","ГОТОВО"))))</f>
      </c>
      <c r="F11" s="8" t="n">
        <f>IF(OR(E11="",E11="ГОТОВО"),0,1)</f>
        <v>0</v>
      </c>
    </row>
    <row r="12" ht="28" customHeight="1">
      <c r="A12" s="36"/>
      <c r="B12" s="37"/>
      <c r="C12" s="32"/>
      <c r="D12" s="12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</c>
      <c r="E12" s="12" t="str">
        <f>IF(AND(A12="",B12="",C12=""),"",IF(NOT(IF(ISNUMBER(A12),AND(A12&gt;=DATE(2016,8,1),A12&lt;=DATE(2100,12,31),MOD(A12,1)=0),FALSE)),"ОШИБКА: дата",IF(NOT(IF(ISNUMBER(B12),AND(B12&gt;=0,ROUND(B12,2)=B12),FALSE)),"ОШИБКА: сумма",IF(C12="","ОШИБКА: документ","ГОТОВО"))))</f>
      </c>
      <c r="F12" s="8" t="n">
        <f>IF(OR(E12="",E12="ГОТОВО"),0,1)</f>
        <v>0</v>
      </c>
    </row>
    <row r="13" ht="28" customHeight="1">
      <c r="A13" s="36"/>
      <c r="B13" s="37"/>
      <c r="C13" s="32"/>
      <c r="D13" s="12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</c>
      <c r="E13" s="12" t="str">
        <f>IF(AND(A13="",B13="",C13=""),"",IF(NOT(IF(ISNUMBER(A13),AND(A13&gt;=DATE(2016,8,1),A13&lt;=DATE(2100,12,31),MOD(A13,1)=0),FALSE)),"ОШИБКА: дата",IF(NOT(IF(ISNUMBER(B13),AND(B13&gt;=0,ROUND(B13,2)=B13),FALSE)),"ОШИБКА: сумма",IF(C13="","ОШИБКА: документ","ГОТОВО"))))</f>
      </c>
      <c r="F13" s="8" t="n">
        <f>IF(OR(E13="",E13="ГОТОВО"),0,1)</f>
        <v>0</v>
      </c>
    </row>
    <row r="14" ht="28" customHeight="1">
      <c r="A14" s="36"/>
      <c r="B14" s="37"/>
      <c r="C14" s="32"/>
      <c r="D14" s="12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</c>
      <c r="E14" s="12" t="str">
        <f>IF(AND(A14="",B14="",C14=""),"",IF(NOT(IF(ISNUMBER(A14),AND(A14&gt;=DATE(2016,8,1),A14&lt;=DATE(2100,12,31),MOD(A14,1)=0),FALSE)),"ОШИБКА: дата",IF(NOT(IF(ISNUMBER(B14),AND(B14&gt;=0,ROUND(B14,2)=B14),FALSE)),"ОШИБКА: сумма",IF(C14="","ОШИБКА: документ","ГОТОВО"))))</f>
      </c>
      <c r="F14" s="8" t="n">
        <f>IF(OR(E14="",E14="ГОТОВО"),0,1)</f>
        <v>0</v>
      </c>
    </row>
    <row r="15" ht="28" customHeight="1">
      <c r="A15" s="36"/>
      <c r="B15" s="37"/>
      <c r="C15" s="32"/>
      <c r="D15" s="12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</c>
      <c r="E15" s="12" t="str">
        <f>IF(AND(A15="",B15="",C15=""),"",IF(NOT(IF(ISNUMBER(A15),AND(A15&gt;=DATE(2016,8,1),A15&lt;=DATE(2100,12,31),MOD(A15,1)=0),FALSE)),"ОШИБКА: дата",IF(NOT(IF(ISNUMBER(B15),AND(B15&gt;=0,ROUND(B15,2)=B15),FALSE)),"ОШИБКА: сумма",IF(C15="","ОШИБКА: документ","ГОТОВО"))))</f>
      </c>
      <c r="F15" s="8" t="n">
        <f>IF(OR(E15="",E15="ГОТОВО"),0,1)</f>
        <v>0</v>
      </c>
    </row>
    <row r="16" ht="28" customHeight="1">
      <c r="A16" s="36"/>
      <c r="B16" s="37"/>
      <c r="C16" s="32"/>
      <c r="D16" s="12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</c>
      <c r="E16" s="12" t="str">
        <f>IF(AND(A16="",B16="",C16=""),"",IF(NOT(IF(ISNUMBER(A16),AND(A16&gt;=DATE(2016,8,1),A16&lt;=DATE(2100,12,31),MOD(A16,1)=0),FALSE)),"ОШИБКА: дата",IF(NOT(IF(ISNUMBER(B16),AND(B16&gt;=0,ROUND(B16,2)=B16),FALSE)),"ОШИБКА: сумма",IF(C16="","ОШИБКА: документ","ГОТОВО"))))</f>
      </c>
      <c r="F16" s="8" t="n">
        <f>IF(OR(E16="",E16="ГОТОВО"),0,1)</f>
        <v>0</v>
      </c>
    </row>
    <row r="17" ht="28" customHeight="1">
      <c r="A17" s="36"/>
      <c r="B17" s="37"/>
      <c r="C17" s="32"/>
      <c r="D17" s="12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</c>
      <c r="E17" s="12" t="str">
        <f>IF(AND(A17="",B17="",C17=""),"",IF(NOT(IF(ISNUMBER(A17),AND(A17&gt;=DATE(2016,8,1),A17&lt;=DATE(2100,12,31),MOD(A17,1)=0),FALSE)),"ОШИБКА: дата",IF(NOT(IF(ISNUMBER(B17),AND(B17&gt;=0,ROUND(B17,2)=B17),FALSE)),"ОШИБКА: сумма",IF(C17="","ОШИБКА: документ","ГОТОВО"))))</f>
      </c>
      <c r="F17" s="8" t="n">
        <f>IF(OR(E17="",E17="ГОТОВО"),0,1)</f>
        <v>0</v>
      </c>
    </row>
    <row r="18" ht="28" customHeight="1">
      <c r="A18" s="36"/>
      <c r="B18" s="37"/>
      <c r="C18" s="32"/>
      <c r="D18" s="12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</c>
      <c r="E18" s="12" t="str">
        <f>IF(AND(A18="",B18="",C18=""),"",IF(NOT(IF(ISNUMBER(A18),AND(A18&gt;=DATE(2016,8,1),A18&lt;=DATE(2100,12,31),MOD(A18,1)=0),FALSE)),"ОШИБКА: дата",IF(NOT(IF(ISNUMBER(B18),AND(B18&gt;=0,ROUND(B18,2)=B18),FALSE)),"ОШИБКА: сумма",IF(C18="","ОШИБКА: документ","ГОТОВО"))))</f>
      </c>
      <c r="F18" s="8" t="n">
        <f>IF(OR(E18="",E18="ГОТОВО"),0,1)</f>
        <v>0</v>
      </c>
    </row>
    <row r="19" ht="28" customHeight="1">
      <c r="A19" s="36"/>
      <c r="B19" s="37"/>
      <c r="C19" s="32"/>
      <c r="D19" s="12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</c>
      <c r="E19" s="12" t="str">
        <f>IF(AND(A19="",B19="",C19=""),"",IF(NOT(IF(ISNUMBER(A19),AND(A19&gt;=DATE(2016,8,1),A19&lt;=DATE(2100,12,31),MOD(A19,1)=0),FALSE)),"ОШИБКА: дата",IF(NOT(IF(ISNUMBER(B19),AND(B19&gt;=0,ROUND(B19,2)=B19),FALSE)),"ОШИБКА: сумма",IF(C19="","ОШИБКА: документ","ГОТОВО"))))</f>
      </c>
      <c r="F19" s="8" t="n">
        <f>IF(OR(E19="",E19="ГОТОВО"),0,1)</f>
        <v>0</v>
      </c>
    </row>
    <row r="20" ht="28" customHeight="1">
      <c r="A20" s="36"/>
      <c r="B20" s="37"/>
      <c r="C20" s="32"/>
      <c r="D20" s="12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</c>
      <c r="E20" s="12" t="str">
        <f>IF(AND(A20="",B20="",C20=""),"",IF(NOT(IF(ISNUMBER(A20),AND(A20&gt;=DATE(2016,8,1),A20&lt;=DATE(2100,12,31),MOD(A20,1)=0),FALSE)),"ОШИБКА: дата",IF(NOT(IF(ISNUMBER(B20),AND(B20&gt;=0,ROUND(B20,2)=B20),FALSE)),"ОШИБКА: сумма",IF(C20="","ОШИБКА: документ","ГОТОВО"))))</f>
      </c>
      <c r="F20" s="8" t="n">
        <f>IF(OR(E20="",E20="ГОТОВО"),0,1)</f>
        <v>0</v>
      </c>
    </row>
    <row r="21" ht="28" customHeight="1">
      <c r="A21" s="36"/>
      <c r="B21" s="37"/>
      <c r="C21" s="32"/>
      <c r="D21" s="12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</c>
      <c r="E21" s="12" t="str">
        <f>IF(AND(A21="",B21="",C21=""),"",IF(NOT(IF(ISNUMBER(A21),AND(A21&gt;=DATE(2016,8,1),A21&lt;=DATE(2100,12,31),MOD(A21,1)=0),FALSE)),"ОШИБКА: дата",IF(NOT(IF(ISNUMBER(B21),AND(B21&gt;=0,ROUND(B21,2)=B21),FALSE)),"ОШИБКА: сумма",IF(C21="","ОШИБКА: документ","ГОТОВО"))))</f>
      </c>
      <c r="F21" s="8" t="n">
        <f>IF(OR(E21="",E21="ГОТОВО"),0,1)</f>
        <v>0</v>
      </c>
    </row>
    <row r="22" ht="28" customHeight="1">
      <c r="A22" s="36"/>
      <c r="B22" s="37"/>
      <c r="C22" s="32"/>
      <c r="D22" s="12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</c>
      <c r="E22" s="12" t="str">
        <f>IF(AND(A22="",B22="",C22=""),"",IF(NOT(IF(ISNUMBER(A22),AND(A22&gt;=DATE(2016,8,1),A22&lt;=DATE(2100,12,31),MOD(A22,1)=0),FALSE)),"ОШИБКА: дата",IF(NOT(IF(ISNUMBER(B22),AND(B22&gt;=0,ROUND(B22,2)=B22),FALSE)),"ОШИБКА: сумма",IF(C22="","ОШИБКА: документ","ГОТОВО"))))</f>
      </c>
      <c r="F22" s="8" t="n">
        <f>IF(OR(E22="",E22="ГОТОВО"),0,1)</f>
        <v>0</v>
      </c>
    </row>
    <row r="23" ht="28" customHeight="1">
      <c r="A23" s="36"/>
      <c r="B23" s="37"/>
      <c r="C23" s="32"/>
      <c r="D23" s="12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</c>
      <c r="E23" s="12" t="str">
        <f>IF(AND(A23="",B23="",C23=""),"",IF(NOT(IF(ISNUMBER(A23),AND(A23&gt;=DATE(2016,8,1),A23&lt;=DATE(2100,12,31),MOD(A23,1)=0),FALSE)),"ОШИБКА: дата",IF(NOT(IF(ISNUMBER(B23),AND(B23&gt;=0,ROUND(B23,2)=B23),FALSE)),"ОШИБКА: сумма",IF(C23="","ОШИБКА: документ","ГОТОВО"))))</f>
      </c>
      <c r="F23" s="8" t="n">
        <f>IF(OR(E23="",E23="ГОТОВО"),0,1)</f>
        <v>0</v>
      </c>
    </row>
    <row r="24" ht="28" customHeight="1">
      <c r="A24" s="36"/>
      <c r="B24" s="37"/>
      <c r="C24" s="32"/>
      <c r="D24" s="12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</c>
      <c r="E24" s="12" t="str">
        <f>IF(AND(A24="",B24="",C24=""),"",IF(NOT(IF(ISNUMBER(A24),AND(A24&gt;=DATE(2016,8,1),A24&lt;=DATE(2100,12,31),MOD(A24,1)=0),FALSE)),"ОШИБКА: дата",IF(NOT(IF(ISNUMBER(B24),AND(B24&gt;=0,ROUND(B24,2)=B24),FALSE)),"ОШИБКА: сумма",IF(C24="","ОШИБКА: документ","ГОТОВО"))))</f>
      </c>
      <c r="F24" s="8" t="n">
        <f>IF(OR(E24="",E24="ГОТОВО"),0,1)</f>
        <v>0</v>
      </c>
    </row>
    <row r="25" ht="22" customHeight="1">
      <c r="A25" s="8"/>
      <c r="B25" s="8"/>
      <c r="C25" s="8"/>
      <c r="D25" s="8"/>
      <c r="E25" s="8"/>
      <c r="F25" s="8"/>
    </row>
    <row r="26" ht="22" customHeight="1">
      <c r="A26" s="8" t="str">
        <v>Одна операция — одна строка. Повторный платёж не вносите дважды.</v>
      </c>
      <c r="B26" s="8"/>
      <c r="C26" s="8"/>
      <c r="D26" s="8"/>
      <c r="E26" s="8"/>
      <c r="F26" s="8"/>
    </row>
    <row r="27" ht="22" customHeight="1">
      <c r="A27" s="8" t="str">
        <v>По п. 48 Пленума № 7 день оплаты входит в расчёт; база уменьшается со следующего дня.</v>
      </c>
      <c r="B27" s="8"/>
      <c r="C27" s="8"/>
      <c r="D27" s="8"/>
      <c r="E27" s="8"/>
      <c r="F27" s="8"/>
    </row>
    <row r="28" ht="22" customHeight="1">
      <c r="A28" s="8" t="str">
        <v>Для другого порядка по специальной норме или договору нужен отдельный расчёт.</v>
      </c>
      <c r="B28" s="8"/>
      <c r="C28" s="8"/>
      <c r="D28" s="8"/>
      <c r="E28" s="8"/>
      <c r="F28" s="8"/>
    </row>
  </sheetData>
  <sheetProtection sheet="1" objects="1" scenarios="1" selectLockedCells="0" selectUnlockedCells="0"/>
  <printOptions horizontalCentered="1"/>
  <pageMargins left="0.25" right="0.25" top="0.3" bottom="0.3" header="0.1" footer="0.1"/>
  <pageSetup paperSize="8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17" hidden="0" customWidth="1"/>
    <col min="2" max="2" width="28" hidden="0" customWidth="1"/>
    <col min="3" max="3" width="44" hidden="0" customWidth="1"/>
  </cols>
  <sheetData>
    <row r="1" ht="22" customHeight="1">
      <c r="A1" s="8" t="str">
        <v>Календарь срока оплаты 2026</v>
      </c>
      <c r="B1" s="8"/>
      <c r="C1" s="8"/>
    </row>
    <row r="2" ht="22" customHeight="1">
      <c r="A2" s="8" t="str">
        <v>Пятидневка 2026. Иной календарь — ручная дата.</v>
      </c>
      <c r="B2" s="8"/>
      <c r="C2" s="8"/>
    </row>
    <row r="3" ht="22" customHeight="1">
      <c r="A3" s="8"/>
      <c r="B3" s="8"/>
      <c r="C3" s="8"/>
    </row>
    <row r="4" ht="22" customHeight="1">
      <c r="A4" s="11" t="str">
        <v>Нерабочая дата</v>
      </c>
      <c r="B4" s="11" t="str">
        <v>Основание</v>
      </c>
      <c r="C4" s="11" t="str">
        <v>Источники и условия</v>
      </c>
    </row>
    <row r="5" ht="28" customHeight="1">
      <c r="A5" s="24" t="n">
        <v>46023</v>
      </c>
      <c r="B5" s="8" t="str">
        <v>ТК РФ ст. 112 и перенос</v>
      </c>
      <c r="C5" s="12" t="str">
        <v>ТК РФ ст. 112</v>
      </c>
    </row>
    <row r="6" ht="28" customHeight="1">
      <c r="A6" s="24" t="n">
        <v>46024</v>
      </c>
      <c r="B6" s="8" t="str">
        <v>ТК РФ ст. 112 и перенос</v>
      </c>
      <c r="C6" s="12" t="str">
        <v>ПП РФ № 1466</v>
      </c>
    </row>
    <row r="7" ht="28" customHeight="1">
      <c r="A7" s="24" t="n">
        <v>46025</v>
      </c>
      <c r="B7" s="8" t="str">
        <v>ТК РФ ст. 112 и перенос</v>
      </c>
      <c r="C7" s="12" t="str">
        <v>ГК РФ ст. 191</v>
      </c>
    </row>
    <row r="8" ht="28" customHeight="1">
      <c r="A8" s="24" t="n">
        <v>46026</v>
      </c>
      <c r="B8" s="8" t="str">
        <v>ТК РФ ст. 112 и перенос</v>
      </c>
      <c r="C8" s="12" t="str">
        <v>ГК РФ ст. 193</v>
      </c>
    </row>
    <row r="9" ht="28" customHeight="1">
      <c r="A9" s="24" t="n">
        <v>46027</v>
      </c>
      <c r="B9" s="8" t="str">
        <v>ТК РФ ст. 112 и перенос</v>
      </c>
      <c r="C9" s="12" t="str">
        <v>Ключевая ставка Банка России</v>
      </c>
    </row>
    <row r="10" ht="28" customHeight="1">
      <c r="A10" s="24" t="n">
        <v>46028</v>
      </c>
      <c r="B10" s="8" t="str">
        <v>ТК РФ ст. 112 и перенос</v>
      </c>
      <c r="C10" s="12"/>
    </row>
    <row r="11" ht="28" customHeight="1">
      <c r="A11" s="24" t="n">
        <v>46029</v>
      </c>
      <c r="B11" s="8" t="str">
        <v>ТК РФ ст. 112 и перенос</v>
      </c>
      <c r="C11" s="12" t="str">
        <v>Автоматический срок — только внутри 2026 года.</v>
      </c>
    </row>
    <row r="12" ht="28" customHeight="1">
      <c r="A12" s="24" t="n">
        <v>46030</v>
      </c>
      <c r="B12" s="8" t="str">
        <v>ТК РФ ст. 112 и перенос</v>
      </c>
      <c r="C12" s="12"/>
    </row>
    <row r="13" ht="28" customHeight="1">
      <c r="A13" s="24" t="n">
        <v>46031</v>
      </c>
      <c r="B13" s="8" t="str">
        <v>ПП РФ № 1466</v>
      </c>
      <c r="C13" s="12" t="str">
        <v>Для иных лет используйте проверенную конечную дату.</v>
      </c>
    </row>
    <row r="14" ht="28" customHeight="1">
      <c r="A14" s="24" t="n">
        <v>46076</v>
      </c>
      <c r="B14" s="8" t="str">
        <v>ТК РФ ст. 112 и перенос</v>
      </c>
      <c r="C14" s="12"/>
    </row>
    <row r="15" ht="46" customHeight="1">
      <c r="A15" s="24" t="n">
        <v>46089</v>
      </c>
      <c r="B15" s="8" t="str">
        <v>ТК РФ ст. 112 и перенос</v>
      </c>
      <c r="C15" s="12" t="str">
        <v>Не переносите день начала просрочки автоматически на рабочий: после срока считаются календарные дни.</v>
      </c>
    </row>
    <row r="16" ht="28" customHeight="1">
      <c r="A16" s="24" t="n">
        <v>46090</v>
      </c>
      <c r="B16" s="8" t="str">
        <v>ТК РФ ст. 112 и перенос</v>
      </c>
      <c r="C16" s="12"/>
    </row>
    <row r="17" ht="28" customHeight="1">
      <c r="A17" s="24" t="n">
        <v>46143</v>
      </c>
      <c r="B17" s="8" t="str">
        <v>ТК РФ ст. 112 и перенос</v>
      </c>
      <c r="C17" s="12"/>
    </row>
    <row r="18" ht="46" customHeight="1">
      <c r="A18" s="24" t="n">
        <v>46151</v>
      </c>
      <c r="B18" s="8" t="str">
        <v>ТК РФ ст. 112 и перенос</v>
      </c>
      <c r="C18" s="12" t="str">
        <v>В строке 16 главного листа подтвердите применимость календаря к вашему обязательству.</v>
      </c>
    </row>
    <row r="19" ht="28" customHeight="1">
      <c r="A19" s="24" t="n">
        <v>46153</v>
      </c>
      <c r="B19" s="8" t="str">
        <v>ТК РФ ст. 112 и перенос</v>
      </c>
      <c r="C19" s="12"/>
    </row>
    <row r="20" ht="28" customHeight="1">
      <c r="A20" s="24" t="n">
        <v>46185</v>
      </c>
      <c r="B20" s="8" t="str">
        <v>ТК РФ ст. 112 и перенос</v>
      </c>
      <c r="C20" s="12"/>
    </row>
    <row r="21" ht="46" customHeight="1">
      <c r="A21" s="24" t="n">
        <v>46330</v>
      </c>
      <c r="B21" s="8" t="str">
        <v>ТК РФ ст. 112 и перенос</v>
      </c>
      <c r="C21" s="12" t="str">
        <v>Ставки не загружаются из сети. Проверяйте все даты изменений по источнику.</v>
      </c>
    </row>
    <row r="22" ht="28" customHeight="1">
      <c r="A22" s="24" t="n">
        <v>46387</v>
      </c>
      <c r="B22" s="8" t="str">
        <v>ПП РФ № 1466</v>
      </c>
      <c r="C22" s="12"/>
    </row>
  </sheetData>
  <sheetProtection sheet="1" objects="1" scenarios="1" selectLockedCells="0" selectUnlockedCells="0"/>
  <hyperlinks>
    <hyperlink r:id="qa02link1" ref="C5"/>
    <hyperlink r:id="qa02link2" ref="C6"/>
    <hyperlink r:id="qa02link3" ref="C7"/>
    <hyperlink r:id="qa02link4" ref="C8"/>
    <hyperlink r:id="qa02link5" ref="C9"/>
  </hyperlinks>
  <printOptions horizontalCentered="1"/>
  <pageMargins left="0.25" right="0.25" top="0.3" bottom="0.3" header="0.1" footer="0.1"/>
  <pageSetup paperSize="9" orientation="portrait" fitToWidth="1" fitToHeight="1"/>
</worksheet>
</file>