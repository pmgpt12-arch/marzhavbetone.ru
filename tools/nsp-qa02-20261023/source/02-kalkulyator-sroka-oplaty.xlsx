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4f3a789c0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тор срока оплаты" sheetId="1" r:id="R521349bf94a2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.00%"/>
    <x:numFmt numFmtId="202" formatCode="#,##0.00 &quot;₽&quot;"/>
  </x:numFmts>
  <x:fonts count="2">
    <x:font>
      <x:sz val="11"/>
      <x:color theme="1"/>
      <x:name val="Calibri"/>
      <x:family val="2"/>
      <x:scheme val="minor"/>
    </x:font>
    <x:font>
      <x:b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366092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d09ac5048496b" /><Relationship Type="http://schemas.openxmlformats.org/officeDocument/2006/relationships/theme" Target="/xl/theme/theme1.xml" Id="Rc9ba29d6e92f4938" /><Relationship Type="http://schemas.openxmlformats.org/officeDocument/2006/relationships/sharedStrings" Target="/xl/sharedStrings.xml" Id="R758024961a374d49" /><Relationship Type="http://schemas.openxmlformats.org/officeDocument/2006/relationships/worksheet" Target="/xl/worksheets/sheet1.xml" Id="R521349bf94a243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5" customWidth="1"/>
    <x:col min="2" max="2" width="25" customWidth="1"/>
    <x:col min="3" max="3" width="48" hidden="0" customWidth="1"/>
  </x:cols>
  <x:sheetData>
    <x:row r="1">
      <x:c r="A1" s="1" t="inlineStr">
        <x:is>
          <x:t xml:space="preserve">Параметр</x:t>
        </x:is>
      </x:c>
      <x:c r="B1" s="1" t="inlineStr">
        <x:is>
          <x:t xml:space="preserve">Значение</x:t>
        </x:is>
      </x:c>
      <x:c r="C1" s="1" t="inlineStr">
        <x:is>
          <x:t xml:space="preserve">Примечание</x:t>
        </x:is>
      </x:c>
    </x:row>
    <x:row r="2">
      <x:c r="A2" s="2" t="inlineStr">
        <x:is>
          <x:t xml:space="preserve">Дата подписания КС-2</x:t>
        </x:is>
      </x:c>
      <x:c r="B2" s="3" t="inlineStr">
        <x:is>
          <x:t xml:space="preserve"/>
        </x:is>
      </x:c>
      <x:c r="C2" s="2" t="inlineStr">
        <x:is>
          <x:t xml:space="preserve">Введите дату</x:t>
        </x:is>
      </x:c>
    </x:row>
    <x:row r="3">
      <x:c r="A3" s="2" t="inlineStr">
        <x:is>
          <x:t xml:space="preserve">Дата подписания КС-3</x:t>
        </x:is>
      </x:c>
      <x:c r="B3" s="3" t="inlineStr">
        <x:is>
          <x:t xml:space="preserve"/>
        </x:is>
      </x:c>
      <x:c r="C3" s="2" t="inlineStr">
        <x:is>
          <x:t xml:space="preserve">Введите дату</x:t>
        </x:is>
      </x:c>
    </x:row>
    <x:row r="4">
      <x:c r="A4" s="2" t="inlineStr">
        <x:is>
          <x:t xml:space="preserve">Срок оплаты по договору (дней)</x:t>
        </x:is>
      </x:c>
      <x:c r="B4" s="2"/>
      <x:c r="C4" s="2" t="inlineStr">
        <x:is>
          <x:t xml:space="preserve">Например: 15 рабочих дней</x:t>
        </x:is>
      </x:c>
    </x:row>
    <x:row r="5">
      <x:c r="A5" s="2" t="inlineStr">
        <x:is>
          <x:t xml:space="preserve">Тип срока</x:t>
        </x:is>
      </x:c>
      <x:c r="B5" s="2"/>
      <x:c r="C5" s="2" t="inlineStr">
        <x:is>
          <x:t xml:space="preserve">рабочие / календарные</x:t>
        </x:is>
      </x:c>
    </x:row>
    <x:row r="6">
      <x:c r="A6" s="2" t="str">
        <x:v>Дата начала срока по договору</x:v>
      </x:c>
      <x:c r="B6" s="3"/>
      <x:c r="C6" s="6" t="str">
        <x:v>Укажите событие из договора, от которого считается срок.</x:v>
      </x:c>
    </x:row>
    <x:row r="7">
      <x:c r="A7" s="2" t="str">
        <x:v>Ориентир срока оплаты</x:v>
      </x:c>
      <x:c r="B7" s="3" t="str">
        <x:f>IF(OR(NOT(ISNUMBER(B6)),NOT(ISNUMBER(B4)),B4&lt;0,AND(B5&lt;&gt;"рабочие",B5&lt;&gt;"календарные")),"",IF(B5="рабочие",WORKDAY(B6,B4),B6+B4))</x:f>
      </x:c>
      <x:c r="C7" s="6" t="str">
        <x:v>Проверьте праздники и перенос срока по ст. 193 ГК РФ.</x:v>
      </x:c>
    </x:row>
    <x:row r="8">
      <x:c r="A8" s="2" t="inlineStr">
        <x:is>
          <x:t xml:space="preserve">Просрочка (дней)</x:t>
        </x:is>
      </x:c>
      <x:c r="B8" s="2" t="str">
        <x:f>IF(NOT(ISNUMBER(B7)),"",MAX(0,TODAY()-B7))</x:f>
      </x:c>
      <x:c r="C8" s="6" t="str">
        <x:v>От ориентировочной даты; проверьте её по договору.</x:v>
      </x:c>
    </x:row>
    <x:row r="9">
      <x:c r="A9" s="2" t="inlineStr">
        <x:is>
          <x:t xml:space="preserve"/>
        </x:is>
      </x:c>
      <x:c r="B9" s="2" t="inlineStr">
        <x:is>
          <x:t xml:space="preserve"/>
        </x:is>
      </x:c>
      <x:c r="C9" s="6" t="inlineStr">
        <x:is>
          <x:t xml:space="preserve"/>
        </x:is>
      </x:c>
    </x:row>
    <x:row r="10">
      <x:c r="A10" s="2" t="inlineStr">
        <x:is>
          <x:t xml:space="preserve">Ставка пени по договору (%/день)</x:t>
        </x:is>
      </x:c>
      <x:c r="B10" s="4"/>
      <x:c r="C10" s="6" t="str">
        <x:v>Введите договорную ставку как процент, например 0,1%.</x:v>
      </x:c>
    </x:row>
    <x:row r="11">
      <x:c r="A11" s="2" t="inlineStr">
        <x:is>
          <x:t xml:space="preserve">Сумма по КС-2 (руб.)</x:t>
        </x:is>
      </x:c>
      <x:c r="B11" s="5"/>
      <x:c r="C11" s="6" t="inlineStr">
        <x:is>
          <x:t xml:space="preserve">Введите сумму</x:t>
        </x:is>
      </x:c>
    </x:row>
    <x:row r="12">
      <x:c r="A12" s="2" t="inlineStr">
        <x:is>
          <x:t xml:space="preserve">Начисленные пени</x:t>
        </x:is>
      </x:c>
      <x:c r="B12" s="5" t="str">
        <x:f>IF(OR(NOT(ISNUMBER(B8)),NOT(ISNUMBER(B10)),NOT(ISNUMBER(B11))),"",B8*B10*B11)</x:f>
      </x:c>
      <x:c r="C12" s="6" t="str">
        <x:v>Только если договор предусматривает пеню.</x:v>
      </x:c>
    </x:row>
  </x:sheetData>
  <x:dataValidations count="1">
    <x:dataValidation type="list" sqref="B5">
      <x:formula1>"рабочие,календарные"</x:formula1>
    </x:dataValidation>
  </x:dataValidations>
  <x:pageMargins left="0.7" right="0.7" top="0.75" bottom="0.75" header="0.3" footer="0.3"/>
</x:worksheet>
</file>