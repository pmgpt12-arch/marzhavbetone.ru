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Договор и аванс" sheetId="2" state="visible" r:id="rId2"/>
    <sheet name="Выполнено" sheetId="3" state="visible" r:id="rId3"/>
    <sheet name="Встречное" sheetId="4" state="visible" r:id="rId4"/>
    <sheet name="Сальдо" sheetId="5" state="visible" r:id="rId5"/>
    <sheet name="Акт сверки" sheetId="6" state="visible" r:id="rId6"/>
    <sheet name="Пример заполнен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1"/>
    </font>
    <font>
      <name val="Times New Roman"/>
      <sz val="11"/>
    </font>
    <font>
      <name val="Times New Roman"/>
      <color rgb="00595959"/>
      <sz val="10"/>
    </font>
    <font>
      <name val="Times New Roman"/>
      <color rgb="000000FF"/>
      <sz val="11"/>
    </font>
    <font>
      <name val="Times New Roman"/>
      <color rgb="00008000"/>
      <sz val="11"/>
    </font>
    <font>
      <name val="Times New Roman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AF1F8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4" fontId="5" fillId="3" borderId="1" pivotButton="0" quotePrefix="0" xfId="0"/>
    <xf numFmtId="164" fontId="5" fillId="3" borderId="1" pivotButton="0" quotePrefix="0" xfId="0"/>
    <xf numFmtId="0" fontId="5" fillId="3" borderId="1" pivotButton="0" quotePrefix="0" xfId="0"/>
    <xf numFmtId="4" fontId="6" fillId="4" borderId="1" pivotButton="0" quotePrefix="0" xfId="0"/>
    <xf numFmtId="165" fontId="6" fillId="4" borderId="1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4" pivotButton="0" quotePrefix="0" xfId="0"/>
    <xf numFmtId="0" fontId="4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4" borderId="1" pivotButton="0" quotePrefix="0" xfId="0"/>
    <xf numFmtId="4" fontId="3" fillId="4" borderId="1" pivotButton="0" quotePrefix="0" xfId="0"/>
    <xf numFmtId="4" fontId="2" fillId="4" borderId="1" pivotButton="0" quotePrefix="0" xfId="0"/>
    <xf numFmtId="0" fontId="6" fillId="4" borderId="1" pivotButton="0" quotePrefix="0" xfId="0"/>
    <xf numFmtId="0" fontId="7" fillId="4" borderId="1" pivotButton="0" quotePrefix="0" xfId="0"/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4" fontId="3" fillId="0" borderId="1" pivotButton="0" quotePrefix="0" xfId="0"/>
    <xf numFmtId="4" fontId="6" fillId="0" borderId="1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>Расчёт отработанной части аванса и сальдо расчётов</t>
        </is>
      </c>
    </row>
    <row r="3">
      <c r="A3" s="2" t="inlineStr">
        <is>
          <t>Что этот файл делает</t>
        </is>
      </c>
    </row>
    <row r="4" ht="65" customHeight="1">
      <c r="A4" s="3" t="inlineStr">
        <is>
          <t>От вас требуют вернуть аванс. В требовании почти всегда стоит вся полученная сумма — так его пишут по умолчанию, независимо от того, сколько работ вы успели выполнить. Предмет разговора — разница между этой суммой и тем, что подтверждено вашими документами. Какая часть аванса подлежит возврату именно в вашем случае, зависит от договора и от основания прекращения и оценивается юристом; файл считает разницу и показывает, из чего она сложилась.</t>
        </is>
      </c>
    </row>
    <row r="5" ht="65" customHeight="1">
      <c r="A5" s="3" t="inlineStr">
        <is>
          <t>Считаете её вы, и это не фигура речи: перечисление аванса доказывает тот, кто требует его назад, а то, что аванс отработан, — подрядчик. Так распределяется бремя доказывания по устоявшейся практике (процессуальное правило — статья 65 Арбитражного процессуального кодекса РФ, а не норма о подряде); как оно ляжет в вашем деле, оценивает юрист. Пока цифры нет на бумаге, ваше письмо остаётся просьбой войти в положение.</t>
        </is>
      </c>
    </row>
    <row r="6" ht="39" customHeight="1">
      <c r="A6" s="3" t="inlineStr">
        <is>
          <t>Файл собирает эту цифру из документов, которые у вас уже есть, и показывает, из чего она сложилась. Именно этого расчёта обычно не хватает к первой встрече с юристом, и на его составление уходят первые оплаченные часы.</t>
        </is>
      </c>
    </row>
    <row r="7">
      <c r="A7" s="2" t="inlineStr">
        <is>
          <t>Чего он не делает</t>
        </is>
      </c>
    </row>
    <row r="8" ht="52" customHeight="1">
      <c r="A8" s="3" t="inlineStr">
        <is>
          <t>Не квалифицирует отношения сторон, не оценивает перспективу спора и не предсказывает, чем кончится дело. Не заменяет юриста и не является юридической консультацией. Основание прекращения договора вы вводите как факт из документов, а не как правовую позицию: какие последствия оно влечёт, оценивает юрист по вашему договору и вашей переписке.</t>
        </is>
      </c>
    </row>
    <row r="9" ht="26" customHeight="1">
      <c r="A9" s="3" t="inlineStr">
        <is>
          <t>Не считает проценты, неустойку и убытки. Это отдельные требования со своими основаниями, и в сальдо расчётов они не входят.</t>
        </is>
      </c>
    </row>
    <row r="10">
      <c r="A10" s="2" t="inlineStr">
        <is>
          <t>Порядок работы</t>
        </is>
      </c>
    </row>
    <row r="11" ht="26" customHeight="1">
      <c r="A11" s="3" t="inlineStr">
        <is>
          <t>1. Лист «Договор и аванс» — реквизиты, сумма договора, сколько аванса получено по платёжным поручениям, что и когда от вас потребовали.</t>
        </is>
      </c>
    </row>
    <row r="12" ht="39" customHeight="1">
      <c r="A12" s="3" t="inlineStr">
        <is>
          <t>2. Лист «Выполнено» — все акты по объекту, включая те, которые вторая сторона не подписала. Неподписанный акт вносится наравне с подписанным: суммы, подтверждённой обеими сторонами, он не даёт, но и молчать о нём нельзя.</t>
        </is>
      </c>
    </row>
    <row r="13" ht="39" customHeight="1">
      <c r="A13" s="3" t="inlineStr">
        <is>
          <t>3. Лист «Встречное» — материалы, затраты и удержанное гарантийное. Акты сюда не переносятся: они уже посчитаны на листе «Выполнено», а одна и та же сумма, попавшая в расчёт дважды, обесценивает весь расчёт целиком.</t>
        </is>
      </c>
    </row>
    <row r="14" ht="26" customHeight="1">
      <c r="A14" s="3" t="inlineStr">
        <is>
          <t>4. Лист «Сальдо» — итог и блок проверок. Начинайте чтение с проверок: если там есть красная строка, итог считать рано.</t>
        </is>
      </c>
    </row>
    <row r="15" ht="15" customHeight="1">
      <c r="A15" s="3" t="inlineStr">
        <is>
          <t>5. Лист «Акт сверки» — печатная форма из тех же чисел. Ни одно число в неё не вводится руками.</t>
        </is>
      </c>
    </row>
    <row r="16">
      <c r="A16" s="2" t="inlineStr">
        <is>
          <t>Цвета</t>
        </is>
      </c>
    </row>
    <row r="17" ht="39" customHeight="1">
      <c r="A17" s="3" t="inlineStr">
        <is>
          <t>Синим — то, что вводите вы. Чёрным — то, что считает файл. Зелёным — ссылка на другой лист. Жёлтая заливка означает поле ввода: если вы пишете поверх формулы, расчёт молча перестаёт быть расчётом.</t>
        </is>
      </c>
    </row>
    <row r="18">
      <c r="A18" s="2" t="inlineStr">
        <is>
          <t>Что нельзя делать до того, как расчёт готов</t>
        </is>
      </c>
    </row>
    <row r="19" ht="52" customHeight="1">
      <c r="A19" s="3" t="inlineStr">
        <is>
          <t>Не подписывать акт сверки со стороны генподрядчика, не подписывать соглашение о зачёте, не признавать сумму в переписке — ни цифрой, ни словами «мы вернём, дайте срок». Своя цифра должна появиться раньше ответа на чужую. Какое значение подписанный вами документ будет иметь в вашем деле — оценивает юрист, и оценивает уже по факту.</t>
        </is>
      </c>
    </row>
    <row r="20">
      <c r="A20" s="2" t="inlineStr">
        <is>
          <t>Про односторонний акт</t>
        </is>
      </c>
    </row>
    <row r="21" ht="65" customHeight="1">
      <c r="A21" s="3" t="inlineStr">
        <is>
          <t>В реестре «Выполнено» есть статус «подписан односторонне», и он не то же самое, что «передан, не подписан». Механизм даёт пункт 4 статьи 753 Гражданского кодекса РФ: сдача и приёмка оформляются актом, подписанным обеими сторонами, а при отказе одной из сторон от подписания в акте делается отметка об этом и акт подписывается другой стороной. Так и появляется односторонний акт — это не акт, на который просто не ответили, а акт с зафиксированным отказом, подписанный вами.</t>
        </is>
      </c>
    </row>
    <row r="22" ht="65" customHeight="1">
      <c r="A22" s="3" t="inlineStr">
        <is>
          <t>Что это даёт в вашем деле, здесь не сказано намеренно. Тот же пункт говорит, что односторонний акт может быть признан судом недействительным, если мотивы отказа от подписания признаны обоснованными, — то есть вес такого акта зависит от содержания отказа, а это оценка, и делает её юрист. Поэтому на листе «Сальдо» односторонние акты стоят отдельной строкой от переданных без подписи: складывать в одну сумму то, что норма различает, значит потерять различие в самом начале.</t>
        </is>
      </c>
    </row>
    <row r="23">
      <c r="A23" s="2" t="inlineStr">
        <is>
          <t>Про статьи</t>
        </is>
      </c>
    </row>
    <row r="24" ht="78" customHeight="1">
      <c r="A24" s="3" t="inlineStr">
        <is>
          <t>Судьбу неотработанной части при расторжении договора обсуждают вокруг статьи 453 Гражданского кодекса РФ о последствиях расторжения и главы 60 того же кодекса о неосновательном обогащении; последствия отказа заказчика от исполнения договора подряда — вокруг статьи 717, отказа из-за нарушений подрядчика — вокруг статьи 715; значение акта, от подписания которого сторона уклонилась, — вокруг пункта 4 статьи 753. Здесь названо, вокруг чего идёт разговор, а не то, чем он кончится: применимость каждой из них к вашему случаю определяет юрист.</t>
        </is>
      </c>
    </row>
    <row r="25" ht="78" customHeight="1">
      <c r="A25" s="3" t="inlineStr">
        <is>
          <t>Две оговорки, из-за которых эти статьи читают не глядя и ошибаются. Первая: статья 717 начинается словами «если иное не предусмотрено договором подряда» — договор может установить свой порядок, и в договорах субподряда это «иное» встречается постоянно. Сначала смотрите свой договор, потом кодекс. Вторая: статьи 715 и 717 — общие правила о подряде, к строительному подряду они применяются, пока правила о нём не устанавливают другого; статья 753 — правило именно строительного подряда. Какая норма работает в вашем случае, определяет юрист.</t>
        </is>
      </c>
    </row>
    <row r="26" ht="39" customHeight="1">
      <c r="A26" s="3" t="inlineStr">
        <is>
          <t>Ни одного срока и ни одной ставки числом в файле нет намеренно. Срок ответа на требование берётся из вашего договора, сроки исковой давности и порядок их исчисления — вопрос к юристу на дату обращения. Скачанный файл не обновляется, а зашитое в нём число выглядит проверенным.</t>
        </is>
      </c>
    </row>
  </sheetData>
  <mergeCells count="8">
    <mergeCell ref="A18"/>
    <mergeCell ref="A3"/>
    <mergeCell ref="A7"/>
    <mergeCell ref="A20"/>
    <mergeCell ref="A16"/>
    <mergeCell ref="A10"/>
    <mergeCell ref="A1"/>
    <mergeCell ref="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46" customWidth="1" min="3" max="3"/>
  </cols>
  <sheetData>
    <row r="1" ht="22" customHeight="1">
      <c r="A1" s="1" t="inlineStr">
        <is>
          <t>Договор, аванс и предъявленное требование</t>
        </is>
      </c>
    </row>
    <row r="3" ht="30" customHeight="1">
      <c r="A3" s="4" t="inlineStr">
        <is>
          <t>Заполняется по документам, а не по памяти. Сумма аванса — по платёжным поручениям, а не по пункту договора: договором могло быть предусмотрено одно, перечислено другое.</t>
        </is>
      </c>
    </row>
    <row r="5" ht="30" customHeight="1">
      <c r="A5" s="3" t="inlineStr">
        <is>
          <t>Цена работ по договору с учётом всех допсоглашений</t>
        </is>
      </c>
      <c r="B5" s="5" t="n"/>
      <c r="C5" s="4" t="inlineStr">
        <is>
          <t>договор и все допсоглашения на изменение цены</t>
        </is>
      </c>
    </row>
    <row r="6" ht="30" customHeight="1">
      <c r="A6" s="3" t="inlineStr">
        <is>
          <t>Аванс получен всего</t>
        </is>
      </c>
      <c r="B6" s="5" t="n"/>
      <c r="C6" s="4" t="inlineStr">
        <is>
          <t>платёжные поручения с назначением «аванс». Складывайте все, включая доплаты</t>
        </is>
      </c>
    </row>
    <row r="7" ht="30" customHeight="1">
      <c r="A7" s="3" t="inlineStr">
        <is>
          <t>Дата последнего платежа аванса</t>
        </is>
      </c>
      <c r="B7" s="6" t="n"/>
      <c r="C7" s="4" t="inlineStr">
        <is>
          <t>платёжное поручение</t>
        </is>
      </c>
    </row>
    <row r="8" ht="30" customHeight="1">
      <c r="A8" s="3" t="inlineStr">
        <is>
          <t>Основание прекращения договора</t>
        </is>
      </c>
      <c r="B8" s="7" t="n"/>
      <c r="C8" s="4" t="inlineStr">
        <is>
          <t>выберите из списка по документу: уведомление, соглашение, решение суда</t>
        </is>
      </c>
    </row>
    <row r="9" ht="30" customHeight="1">
      <c r="A9" s="3" t="inlineStr">
        <is>
          <t>Дата, с которой договор считается прекращённым</t>
        </is>
      </c>
      <c r="B9" s="6" t="n"/>
      <c r="C9" s="4" t="inlineStr">
        <is>
          <t>уведомление об отказе, соглашение сторон. Если дата спорная — впишите ту, что назвала вторая сторона, и отметьте это для юриста</t>
        </is>
      </c>
    </row>
    <row r="10" ht="30" customHeight="1">
      <c r="A10" s="3" t="inlineStr">
        <is>
          <t>Дата получения требования о возврате</t>
        </is>
      </c>
      <c r="B10" s="6" t="n"/>
      <c r="C10" s="4" t="inlineStr">
        <is>
          <t>конверт, отчёт об отслеживании, входящий штамп, дата письма на почте</t>
        </is>
      </c>
    </row>
    <row r="11" ht="30" customHeight="1">
      <c r="A11" s="3" t="inlineStr">
        <is>
          <t>Сумма, которую требуют вернуть</t>
        </is>
      </c>
      <c r="B11" s="5" t="n"/>
      <c r="C11" s="4" t="inlineStr">
        <is>
          <t>текст требования</t>
        </is>
      </c>
    </row>
    <row r="12" ht="30" customHeight="1">
      <c r="A12" s="3" t="inlineStr">
        <is>
          <t>Срок ответа на требование</t>
        </is>
      </c>
      <c r="B12" s="7" t="n"/>
      <c r="C12" s="4" t="inlineStr">
        <is>
          <t>дословно из договора или из самого требования. Числом в файле не задан намеренно: он у всех свой</t>
        </is>
      </c>
    </row>
    <row r="15">
      <c r="A15" s="2" t="inlineStr">
        <is>
          <t>Считается по листам «Выполнено» и «Встречное»</t>
        </is>
      </c>
    </row>
    <row r="16" ht="32" customHeight="1">
      <c r="A16" s="3" t="inlineStr">
        <is>
          <t>Зачтено в счёт аванса подписанными обеими сторонами актами</t>
        </is>
      </c>
      <c r="B16" s="8">
        <f>SUMIFS('Выполнено'!I6:I45,'Выполнено'!F6:F45,"подписан обеими сторонами")</f>
        <v/>
      </c>
      <c r="C16" s="4" t="inlineStr">
        <is>
          <t>сумма столбцы «Зачтено в счёт аванса» по актам со статусом «подписан обеими сторонами»</t>
        </is>
      </c>
    </row>
    <row r="17" ht="32" customHeight="1">
      <c r="A17" s="3" t="inlineStr">
        <is>
          <t>Аванс, не закрытый двусторонними актами</t>
        </is>
      </c>
      <c r="B17" s="8">
        <f>MAX(0,B6-B16)</f>
        <v/>
      </c>
      <c r="C17" s="4" t="inlineStr">
        <is>
          <t>аванс минус то, что закрыто подписанными актами. Эта часть аванса не подтверждена двусторонними документами, и с неё начинается разговор; подлежит ли она возврату и в каком объёме — зависит от основания прекращения договора и от его условий</t>
        </is>
      </c>
    </row>
    <row r="18" ht="32" customHeight="1">
      <c r="A18" s="3" t="inlineStr">
        <is>
          <t>Доля аванса, оставшаяся неотработанной</t>
        </is>
      </c>
      <c r="B18" s="9">
        <f>IFERROR(B17/B6,"")</f>
        <v/>
      </c>
      <c r="C18" s="4" t="inlineStr">
        <is>
          <t>для понимания масштаба: сравните с долей выполнения по факту</t>
        </is>
      </c>
    </row>
    <row r="19">
      <c r="A19" s="10" t="inlineStr">
        <is>
          <t>Проверка заполнения</t>
        </is>
      </c>
      <c r="B19" s="11">
        <f>IF(B5="","не заполнена цена договора",IF(B6="","не заполнена сумма полученного аванса",IF(B8="","не выбрано основание прекращения договора",IF(B11="","не заполнена сумма требования",IF(B6&gt;B5,"ПРОВЕРЬТЕ: аванс больше цены договора","заполнено")))))</f>
        <v/>
      </c>
      <c r="C19" s="12" t="n"/>
    </row>
    <row r="21">
      <c r="A21" s="13" t="inlineStr">
        <is>
          <t>Справочник оснований прекращения договора</t>
        </is>
      </c>
    </row>
    <row r="22">
      <c r="A22" s="13" t="inlineStr">
        <is>
          <t>генподрядчик отказался от исполнения, о наших нарушениях не заявлено</t>
        </is>
      </c>
    </row>
    <row r="23">
      <c r="A23" s="13" t="inlineStr">
        <is>
          <t>генподрядчик отказался от исполнения, ссылаясь на наши нарушения</t>
        </is>
      </c>
    </row>
    <row r="24">
      <c r="A24" s="13" t="inlineStr">
        <is>
          <t>договор расторгнут по решению суда</t>
        </is>
      </c>
    </row>
    <row r="25">
      <c r="A25" s="13" t="inlineStr">
        <is>
          <t>мы отказались от исполнения</t>
        </is>
      </c>
    </row>
    <row r="26">
      <c r="A26" s="13" t="inlineStr">
        <is>
          <t>соглашение сторон</t>
        </is>
      </c>
    </row>
    <row r="27">
      <c r="A27" s="13" t="inlineStr">
        <is>
          <t>договор не расторгнут, требование заявлено</t>
        </is>
      </c>
    </row>
    <row r="29" ht="30" customHeight="1">
      <c r="A29" s="4" t="inlineStr">
        <is>
          <t>Основание вводится как факт из документа. Оно влияет на то, какие встречные суммы вообще имеет смысл заявлять, но вывод об этом делает юрист: таблица подсказывает, а не решает.</t>
        </is>
      </c>
    </row>
  </sheetData>
  <mergeCells count="5">
    <mergeCell ref="A1:C1"/>
    <mergeCell ref="B19:C19"/>
    <mergeCell ref="A3:C3"/>
    <mergeCell ref="A29:C29"/>
    <mergeCell ref="A15:C15"/>
  </mergeCells>
  <dataValidations count="1">
    <dataValidation sqref="B8" showDropDown="0" showInputMessage="0" showErrorMessage="0" allowBlank="1" error="Выберите основание из списка" type="list">
      <formula1>=$A$22:$A$27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20" customWidth="1" min="4" max="4"/>
    <col width="15" customWidth="1" min="5" max="5"/>
    <col width="24" customWidth="1" min="6" max="6"/>
    <col width="14" customWidth="1" min="7" max="7"/>
    <col width="26" customWidth="1" min="8" max="8"/>
    <col width="15" customWidth="1" min="9" max="9"/>
    <col width="15" customWidth="1" min="10" max="10"/>
    <col width="15" customWidth="1" min="11" max="11"/>
    <col width="34" customWidth="1" min="12" max="12"/>
  </cols>
  <sheetData>
    <row r="1" ht="22" customHeight="1">
      <c r="A1" s="1" t="inlineStr">
        <is>
          <t>Что выполнено по объекту: все акты, включая неподписанные</t>
        </is>
      </c>
    </row>
    <row r="3" ht="44" customHeight="1">
      <c r="A3" s="4" t="inlineStr">
        <is>
          <t>Неподписанный акт вносится наравне с подписанным. Суммы, подтверждённой обеими сторонами, он не даёт, но он показывает, что работы передавались, и без него расчёт выглядит так, будто вы ничего не сделали. Дата передачи и чем она подтверждена — здесь самые важные столбцы: без них акт не считается переданным.</t>
        </is>
      </c>
    </row>
    <row r="5" ht="32" customHeight="1">
      <c r="A5" s="14" t="inlineStr">
        <is>
          <t>№</t>
        </is>
      </c>
      <c r="B5" s="14" t="inlineStr">
        <is>
          <t>Документ</t>
        </is>
      </c>
      <c r="C5" s="14" t="inlineStr">
        <is>
          <t>№ и дата</t>
        </is>
      </c>
      <c r="D5" s="14" t="inlineStr">
        <is>
          <t>Период работ</t>
        </is>
      </c>
      <c r="E5" s="14" t="inlineStr">
        <is>
          <t>Стоимость по акту</t>
        </is>
      </c>
      <c r="F5" s="14" t="inlineStr">
        <is>
          <t>Статус</t>
        </is>
      </c>
      <c r="G5" s="14" t="inlineStr">
        <is>
          <t>Дата передачи</t>
        </is>
      </c>
      <c r="H5" s="14" t="inlineStr">
        <is>
          <t>Чем подтверждена передача</t>
        </is>
      </c>
      <c r="I5" s="14" t="inlineStr">
        <is>
          <t>Зачтено в счёт аванса</t>
        </is>
      </c>
      <c r="J5" s="14" t="inlineStr">
        <is>
          <t>Оплачено деньгами</t>
        </is>
      </c>
      <c r="K5" s="14" t="inlineStr">
        <is>
          <t>Не оплачено</t>
        </is>
      </c>
      <c r="L5" s="14" t="inlineStr">
        <is>
          <t>Проверка</t>
        </is>
      </c>
    </row>
    <row r="6">
      <c r="A6" s="15">
        <f>IF(C6="","",ROW()-5)</f>
        <v/>
      </c>
      <c r="B6" s="16" t="n"/>
      <c r="C6" s="16" t="n"/>
      <c r="D6" s="16" t="n"/>
      <c r="E6" s="17" t="n"/>
      <c r="F6" s="16" t="n"/>
      <c r="G6" s="18" t="n"/>
      <c r="H6" s="16" t="n"/>
      <c r="I6" s="17" t="n"/>
      <c r="J6" s="17" t="n"/>
      <c r="K6" s="19">
        <f>IF(E6="","",ROUND(E6-I6-J6,2))</f>
        <v/>
      </c>
      <c r="L6" s="15">
        <f>IF(E6="","",IF(F6="","не выбран статус",IF(I6+J6&gt;E6+0.01,"ОШИБКА: зачтено и оплачено больше стоимости акта",IF(AND(F6&lt;&gt;"подписан обеими сторонами",I6&gt;0),"ОШИБКА: зачёт аванса по неподписанному акту",IF(AND(F6="подписан обеими сторонами",I6+J6=0),"акт подписан, но по нему ничего не зачтено и не оплачено — проверьте",IF(AND(F6&lt;&gt;"подписан обеими сторонами",G6=""),"акт не подписан: без даты передачи он в расчёте не работает",IF(AND(F6&lt;&gt;"подписан обеими сторонами",H6=""),"акт не подписан: нечем подтвердить передачу","строка заполнена")))))))</f>
        <v/>
      </c>
    </row>
    <row r="7">
      <c r="A7" s="15">
        <f>IF(C7="","",ROW()-5)</f>
        <v/>
      </c>
      <c r="B7" s="16" t="n"/>
      <c r="C7" s="16" t="n"/>
      <c r="D7" s="16" t="n"/>
      <c r="E7" s="17" t="n"/>
      <c r="F7" s="16" t="n"/>
      <c r="G7" s="18" t="n"/>
      <c r="H7" s="16" t="n"/>
      <c r="I7" s="17" t="n"/>
      <c r="J7" s="17" t="n"/>
      <c r="K7" s="19">
        <f>IF(E7="","",ROUND(E7-I7-J7,2))</f>
        <v/>
      </c>
      <c r="L7" s="15">
        <f>IF(E7="","",IF(F7="","не выбран статус",IF(I7+J7&gt;E7+0.01,"ОШИБКА: зачтено и оплачено больше стоимости акта",IF(AND(F7&lt;&gt;"подписан обеими сторонами",I7&gt;0),"ОШИБКА: зачёт аванса по неподписанному акту",IF(AND(F7="подписан обеими сторонами",I7+J7=0),"акт подписан, но по нему ничего не зачтено и не оплачено — проверьте",IF(AND(F7&lt;&gt;"подписан обеими сторонами",G7=""),"акт не подписан: без даты передачи он в расчёте не работает",IF(AND(F7&lt;&gt;"подписан обеими сторонами",H7=""),"акт не подписан: нечем подтвердить передачу","строка заполнена")))))))</f>
        <v/>
      </c>
    </row>
    <row r="8">
      <c r="A8" s="15">
        <f>IF(C8="","",ROW()-5)</f>
        <v/>
      </c>
      <c r="B8" s="16" t="n"/>
      <c r="C8" s="16" t="n"/>
      <c r="D8" s="16" t="n"/>
      <c r="E8" s="17" t="n"/>
      <c r="F8" s="16" t="n"/>
      <c r="G8" s="18" t="n"/>
      <c r="H8" s="16" t="n"/>
      <c r="I8" s="17" t="n"/>
      <c r="J8" s="17" t="n"/>
      <c r="K8" s="19">
        <f>IF(E8="","",ROUND(E8-I8-J8,2))</f>
        <v/>
      </c>
      <c r="L8" s="15">
        <f>IF(E8="","",IF(F8="","не выбран статус",IF(I8+J8&gt;E8+0.01,"ОШИБКА: зачтено и оплачено больше стоимости акта",IF(AND(F8&lt;&gt;"подписан обеими сторонами",I8&gt;0),"ОШИБКА: зачёт аванса по неподписанному акту",IF(AND(F8="подписан обеими сторонами",I8+J8=0),"акт подписан, но по нему ничего не зачтено и не оплачено — проверьте",IF(AND(F8&lt;&gt;"подписан обеими сторонами",G8=""),"акт не подписан: без даты передачи он в расчёте не работает",IF(AND(F8&lt;&gt;"подписан обеими сторонами",H8=""),"акт не подписан: нечем подтвердить передачу","строка заполнена")))))))</f>
        <v/>
      </c>
    </row>
    <row r="9">
      <c r="A9" s="15">
        <f>IF(C9="","",ROW()-5)</f>
        <v/>
      </c>
      <c r="B9" s="16" t="n"/>
      <c r="C9" s="16" t="n"/>
      <c r="D9" s="16" t="n"/>
      <c r="E9" s="17" t="n"/>
      <c r="F9" s="16" t="n"/>
      <c r="G9" s="18" t="n"/>
      <c r="H9" s="16" t="n"/>
      <c r="I9" s="17" t="n"/>
      <c r="J9" s="17" t="n"/>
      <c r="K9" s="19">
        <f>IF(E9="","",ROUND(E9-I9-J9,2))</f>
        <v/>
      </c>
      <c r="L9" s="15">
        <f>IF(E9="","",IF(F9="","не выбран статус",IF(I9+J9&gt;E9+0.01,"ОШИБКА: зачтено и оплачено больше стоимости акта",IF(AND(F9&lt;&gt;"подписан обеими сторонами",I9&gt;0),"ОШИБКА: зачёт аванса по неподписанному акту",IF(AND(F9="подписан обеими сторонами",I9+J9=0),"акт подписан, но по нему ничего не зачтено и не оплачено — проверьте",IF(AND(F9&lt;&gt;"подписан обеими сторонами",G9=""),"акт не подписан: без даты передачи он в расчёте не работает",IF(AND(F9&lt;&gt;"подписан обеими сторонами",H9=""),"акт не подписан: нечем подтвердить передачу","строка заполнена")))))))</f>
        <v/>
      </c>
    </row>
    <row r="10">
      <c r="A10" s="15">
        <f>IF(C10="","",ROW()-5)</f>
        <v/>
      </c>
      <c r="B10" s="16" t="n"/>
      <c r="C10" s="16" t="n"/>
      <c r="D10" s="16" t="n"/>
      <c r="E10" s="17" t="n"/>
      <c r="F10" s="16" t="n"/>
      <c r="G10" s="18" t="n"/>
      <c r="H10" s="16" t="n"/>
      <c r="I10" s="17" t="n"/>
      <c r="J10" s="17" t="n"/>
      <c r="K10" s="19">
        <f>IF(E10="","",ROUND(E10-I10-J10,2))</f>
        <v/>
      </c>
      <c r="L10" s="15">
        <f>IF(E10="","",IF(F10="","не выбран статус",IF(I10+J10&gt;E10+0.01,"ОШИБКА: зачтено и оплачено больше стоимости акта",IF(AND(F10&lt;&gt;"подписан обеими сторонами",I10&gt;0),"ОШИБКА: зачёт аванса по неподписанному акту",IF(AND(F10="подписан обеими сторонами",I10+J10=0),"акт подписан, но по нему ничего не зачтено и не оплачено — проверьте",IF(AND(F10&lt;&gt;"подписан обеими сторонами",G10=""),"акт не подписан: без даты передачи он в расчёте не работает",IF(AND(F10&lt;&gt;"подписан обеими сторонами",H10=""),"акт не подписан: нечем подтвердить передачу","строка заполнена")))))))</f>
        <v/>
      </c>
    </row>
    <row r="11">
      <c r="A11" s="15">
        <f>IF(C11="","",ROW()-5)</f>
        <v/>
      </c>
      <c r="B11" s="16" t="n"/>
      <c r="C11" s="16" t="n"/>
      <c r="D11" s="16" t="n"/>
      <c r="E11" s="17" t="n"/>
      <c r="F11" s="16" t="n"/>
      <c r="G11" s="18" t="n"/>
      <c r="H11" s="16" t="n"/>
      <c r="I11" s="17" t="n"/>
      <c r="J11" s="17" t="n"/>
      <c r="K11" s="19">
        <f>IF(E11="","",ROUND(E11-I11-J11,2))</f>
        <v/>
      </c>
      <c r="L11" s="15">
        <f>IF(E11="","",IF(F11="","не выбран статус",IF(I11+J11&gt;E11+0.01,"ОШИБКА: зачтено и оплачено больше стоимости акта",IF(AND(F11&lt;&gt;"подписан обеими сторонами",I11&gt;0),"ОШИБКА: зачёт аванса по неподписанному акту",IF(AND(F11="подписан обеими сторонами",I11+J11=0),"акт подписан, но по нему ничего не зачтено и не оплачено — проверьте",IF(AND(F11&lt;&gt;"подписан обеими сторонами",G11=""),"акт не подписан: без даты передачи он в расчёте не работает",IF(AND(F11&lt;&gt;"подписан обеими сторонами",H11=""),"акт не подписан: нечем подтвердить передачу","строка заполнена")))))))</f>
        <v/>
      </c>
    </row>
    <row r="12">
      <c r="A12" s="15">
        <f>IF(C12="","",ROW()-5)</f>
        <v/>
      </c>
      <c r="B12" s="16" t="n"/>
      <c r="C12" s="16" t="n"/>
      <c r="D12" s="16" t="n"/>
      <c r="E12" s="17" t="n"/>
      <c r="F12" s="16" t="n"/>
      <c r="G12" s="18" t="n"/>
      <c r="H12" s="16" t="n"/>
      <c r="I12" s="17" t="n"/>
      <c r="J12" s="17" t="n"/>
      <c r="K12" s="19">
        <f>IF(E12="","",ROUND(E12-I12-J12,2))</f>
        <v/>
      </c>
      <c r="L12" s="15">
        <f>IF(E12="","",IF(F12="","не выбран статус",IF(I12+J12&gt;E12+0.01,"ОШИБКА: зачтено и оплачено больше стоимости акта",IF(AND(F12&lt;&gt;"подписан обеими сторонами",I12&gt;0),"ОШИБКА: зачёт аванса по неподписанному акту",IF(AND(F12="подписан обеими сторонами",I12+J12=0),"акт подписан, но по нему ничего не зачтено и не оплачено — проверьте",IF(AND(F12&lt;&gt;"подписан обеими сторонами",G12=""),"акт не подписан: без даты передачи он в расчёте не работает",IF(AND(F12&lt;&gt;"подписан обеими сторонами",H12=""),"акт не подписан: нечем подтвердить передачу","строка заполнена")))))))</f>
        <v/>
      </c>
    </row>
    <row r="13">
      <c r="A13" s="15">
        <f>IF(C13="","",ROW()-5)</f>
        <v/>
      </c>
      <c r="B13" s="16" t="n"/>
      <c r="C13" s="16" t="n"/>
      <c r="D13" s="16" t="n"/>
      <c r="E13" s="17" t="n"/>
      <c r="F13" s="16" t="n"/>
      <c r="G13" s="18" t="n"/>
      <c r="H13" s="16" t="n"/>
      <c r="I13" s="17" t="n"/>
      <c r="J13" s="17" t="n"/>
      <c r="K13" s="19">
        <f>IF(E13="","",ROUND(E13-I13-J13,2))</f>
        <v/>
      </c>
      <c r="L13" s="15">
        <f>IF(E13="","",IF(F13="","не выбран статус",IF(I13+J13&gt;E13+0.01,"ОШИБКА: зачтено и оплачено больше стоимости акта",IF(AND(F13&lt;&gt;"подписан обеими сторонами",I13&gt;0),"ОШИБКА: зачёт аванса по неподписанному акту",IF(AND(F13="подписан обеими сторонами",I13+J13=0),"акт подписан, но по нему ничего не зачтено и не оплачено — проверьте",IF(AND(F13&lt;&gt;"подписан обеими сторонами",G13=""),"акт не подписан: без даты передачи он в расчёте не работает",IF(AND(F13&lt;&gt;"подписан обеими сторонами",H13=""),"акт не подписан: нечем подтвердить передачу","строка заполнена")))))))</f>
        <v/>
      </c>
    </row>
    <row r="14">
      <c r="A14" s="15">
        <f>IF(C14="","",ROW()-5)</f>
        <v/>
      </c>
      <c r="B14" s="16" t="n"/>
      <c r="C14" s="16" t="n"/>
      <c r="D14" s="16" t="n"/>
      <c r="E14" s="17" t="n"/>
      <c r="F14" s="16" t="n"/>
      <c r="G14" s="18" t="n"/>
      <c r="H14" s="16" t="n"/>
      <c r="I14" s="17" t="n"/>
      <c r="J14" s="17" t="n"/>
      <c r="K14" s="19">
        <f>IF(E14="","",ROUND(E14-I14-J14,2))</f>
        <v/>
      </c>
      <c r="L14" s="15">
        <f>IF(E14="","",IF(F14="","не выбран статус",IF(I14+J14&gt;E14+0.01,"ОШИБКА: зачтено и оплачено больше стоимости акта",IF(AND(F14&lt;&gt;"подписан обеими сторонами",I14&gt;0),"ОШИБКА: зачёт аванса по неподписанному акту",IF(AND(F14="подписан обеими сторонами",I14+J14=0),"акт подписан, но по нему ничего не зачтено и не оплачено — проверьте",IF(AND(F14&lt;&gt;"подписан обеими сторонами",G14=""),"акт не подписан: без даты передачи он в расчёте не работает",IF(AND(F14&lt;&gt;"подписан обеими сторонами",H14=""),"акт не подписан: нечем подтвердить передачу","строка заполнена")))))))</f>
        <v/>
      </c>
    </row>
    <row r="15">
      <c r="A15" s="15">
        <f>IF(C15="","",ROW()-5)</f>
        <v/>
      </c>
      <c r="B15" s="16" t="n"/>
      <c r="C15" s="16" t="n"/>
      <c r="D15" s="16" t="n"/>
      <c r="E15" s="17" t="n"/>
      <c r="F15" s="16" t="n"/>
      <c r="G15" s="18" t="n"/>
      <c r="H15" s="16" t="n"/>
      <c r="I15" s="17" t="n"/>
      <c r="J15" s="17" t="n"/>
      <c r="K15" s="19">
        <f>IF(E15="","",ROUND(E15-I15-J15,2))</f>
        <v/>
      </c>
      <c r="L15" s="15">
        <f>IF(E15="","",IF(F15="","не выбран статус",IF(I15+J15&gt;E15+0.01,"ОШИБКА: зачтено и оплачено больше стоимости акта",IF(AND(F15&lt;&gt;"подписан обеими сторонами",I15&gt;0),"ОШИБКА: зачёт аванса по неподписанному акту",IF(AND(F15="подписан обеими сторонами",I15+J15=0),"акт подписан, но по нему ничего не зачтено и не оплачено — проверьте",IF(AND(F15&lt;&gt;"подписан обеими сторонами",G15=""),"акт не подписан: без даты передачи он в расчёте не работает",IF(AND(F15&lt;&gt;"подписан обеими сторонами",H15=""),"акт не подписан: нечем подтвердить передачу","строка заполнена")))))))</f>
        <v/>
      </c>
    </row>
    <row r="16">
      <c r="A16" s="15">
        <f>IF(C16="","",ROW()-5)</f>
        <v/>
      </c>
      <c r="B16" s="16" t="n"/>
      <c r="C16" s="16" t="n"/>
      <c r="D16" s="16" t="n"/>
      <c r="E16" s="17" t="n"/>
      <c r="F16" s="16" t="n"/>
      <c r="G16" s="18" t="n"/>
      <c r="H16" s="16" t="n"/>
      <c r="I16" s="17" t="n"/>
      <c r="J16" s="17" t="n"/>
      <c r="K16" s="19">
        <f>IF(E16="","",ROUND(E16-I16-J16,2))</f>
        <v/>
      </c>
      <c r="L16" s="15">
        <f>IF(E16="","",IF(F16="","не выбран статус",IF(I16+J16&gt;E16+0.01,"ОШИБКА: зачтено и оплачено больше стоимости акта",IF(AND(F16&lt;&gt;"подписан обеими сторонами",I16&gt;0),"ОШИБКА: зачёт аванса по неподписанному акту",IF(AND(F16="подписан обеими сторонами",I16+J16=0),"акт подписан, но по нему ничего не зачтено и не оплачено — проверьте",IF(AND(F16&lt;&gt;"подписан обеими сторонами",G16=""),"акт не подписан: без даты передачи он в расчёте не работает",IF(AND(F16&lt;&gt;"подписан обеими сторонами",H16=""),"акт не подписан: нечем подтвердить передачу","строка заполнена")))))))</f>
        <v/>
      </c>
    </row>
    <row r="17">
      <c r="A17" s="15">
        <f>IF(C17="","",ROW()-5)</f>
        <v/>
      </c>
      <c r="B17" s="16" t="n"/>
      <c r="C17" s="16" t="n"/>
      <c r="D17" s="16" t="n"/>
      <c r="E17" s="17" t="n"/>
      <c r="F17" s="16" t="n"/>
      <c r="G17" s="18" t="n"/>
      <c r="H17" s="16" t="n"/>
      <c r="I17" s="17" t="n"/>
      <c r="J17" s="17" t="n"/>
      <c r="K17" s="19">
        <f>IF(E17="","",ROUND(E17-I17-J17,2))</f>
        <v/>
      </c>
      <c r="L17" s="15">
        <f>IF(E17="","",IF(F17="","не выбран статус",IF(I17+J17&gt;E17+0.01,"ОШИБКА: зачтено и оплачено больше стоимости акта",IF(AND(F17&lt;&gt;"подписан обеими сторонами",I17&gt;0),"ОШИБКА: зачёт аванса по неподписанному акту",IF(AND(F17="подписан обеими сторонами",I17+J17=0),"акт подписан, но по нему ничего не зачтено и не оплачено — проверьте",IF(AND(F17&lt;&gt;"подписан обеими сторонами",G17=""),"акт не подписан: без даты передачи он в расчёте не работает",IF(AND(F17&lt;&gt;"подписан обеими сторонами",H17=""),"акт не подписан: нечем подтвердить передачу","строка заполнена")))))))</f>
        <v/>
      </c>
    </row>
    <row r="18">
      <c r="A18" s="15">
        <f>IF(C18="","",ROW()-5)</f>
        <v/>
      </c>
      <c r="B18" s="16" t="n"/>
      <c r="C18" s="16" t="n"/>
      <c r="D18" s="16" t="n"/>
      <c r="E18" s="17" t="n"/>
      <c r="F18" s="16" t="n"/>
      <c r="G18" s="18" t="n"/>
      <c r="H18" s="16" t="n"/>
      <c r="I18" s="17" t="n"/>
      <c r="J18" s="17" t="n"/>
      <c r="K18" s="19">
        <f>IF(E18="","",ROUND(E18-I18-J18,2))</f>
        <v/>
      </c>
      <c r="L18" s="15">
        <f>IF(E18="","",IF(F18="","не выбран статус",IF(I18+J18&gt;E18+0.01,"ОШИБКА: зачтено и оплачено больше стоимости акта",IF(AND(F18&lt;&gt;"подписан обеими сторонами",I18&gt;0),"ОШИБКА: зачёт аванса по неподписанному акту",IF(AND(F18="подписан обеими сторонами",I18+J18=0),"акт подписан, но по нему ничего не зачтено и не оплачено — проверьте",IF(AND(F18&lt;&gt;"подписан обеими сторонами",G18=""),"акт не подписан: без даты передачи он в расчёте не работает",IF(AND(F18&lt;&gt;"подписан обеими сторонами",H18=""),"акт не подписан: нечем подтвердить передачу","строка заполнена")))))))</f>
        <v/>
      </c>
    </row>
    <row r="19">
      <c r="A19" s="15">
        <f>IF(C19="","",ROW()-5)</f>
        <v/>
      </c>
      <c r="B19" s="16" t="n"/>
      <c r="C19" s="16" t="n"/>
      <c r="D19" s="16" t="n"/>
      <c r="E19" s="17" t="n"/>
      <c r="F19" s="16" t="n"/>
      <c r="G19" s="18" t="n"/>
      <c r="H19" s="16" t="n"/>
      <c r="I19" s="17" t="n"/>
      <c r="J19" s="17" t="n"/>
      <c r="K19" s="19">
        <f>IF(E19="","",ROUND(E19-I19-J19,2))</f>
        <v/>
      </c>
      <c r="L19" s="15">
        <f>IF(E19="","",IF(F19="","не выбран статус",IF(I19+J19&gt;E19+0.01,"ОШИБКА: зачтено и оплачено больше стоимости акта",IF(AND(F19&lt;&gt;"подписан обеими сторонами",I19&gt;0),"ОШИБКА: зачёт аванса по неподписанному акту",IF(AND(F19="подписан обеими сторонами",I19+J19=0),"акт подписан, но по нему ничего не зачтено и не оплачено — проверьте",IF(AND(F19&lt;&gt;"подписан обеими сторонами",G19=""),"акт не подписан: без даты передачи он в расчёте не работает",IF(AND(F19&lt;&gt;"подписан обеими сторонами",H19=""),"акт не подписан: нечем подтвердить передачу","строка заполнена")))))))</f>
        <v/>
      </c>
    </row>
    <row r="20">
      <c r="A20" s="15">
        <f>IF(C20="","",ROW()-5)</f>
        <v/>
      </c>
      <c r="B20" s="16" t="n"/>
      <c r="C20" s="16" t="n"/>
      <c r="D20" s="16" t="n"/>
      <c r="E20" s="17" t="n"/>
      <c r="F20" s="16" t="n"/>
      <c r="G20" s="18" t="n"/>
      <c r="H20" s="16" t="n"/>
      <c r="I20" s="17" t="n"/>
      <c r="J20" s="17" t="n"/>
      <c r="K20" s="19">
        <f>IF(E20="","",ROUND(E20-I20-J20,2))</f>
        <v/>
      </c>
      <c r="L20" s="15">
        <f>IF(E20="","",IF(F20="","не выбран статус",IF(I20+J20&gt;E20+0.01,"ОШИБКА: зачтено и оплачено больше стоимости акта",IF(AND(F20&lt;&gt;"подписан обеими сторонами",I20&gt;0),"ОШИБКА: зачёт аванса по неподписанному акту",IF(AND(F20="подписан обеими сторонами",I20+J20=0),"акт подписан, но по нему ничего не зачтено и не оплачено — проверьте",IF(AND(F20&lt;&gt;"подписан обеими сторонами",G20=""),"акт не подписан: без даты передачи он в расчёте не работает",IF(AND(F20&lt;&gt;"подписан обеими сторонами",H20=""),"акт не подписан: нечем подтвердить передачу","строка заполнена")))))))</f>
        <v/>
      </c>
    </row>
    <row r="21">
      <c r="A21" s="15">
        <f>IF(C21="","",ROW()-5)</f>
        <v/>
      </c>
      <c r="B21" s="16" t="n"/>
      <c r="C21" s="16" t="n"/>
      <c r="D21" s="16" t="n"/>
      <c r="E21" s="17" t="n"/>
      <c r="F21" s="16" t="n"/>
      <c r="G21" s="18" t="n"/>
      <c r="H21" s="16" t="n"/>
      <c r="I21" s="17" t="n"/>
      <c r="J21" s="17" t="n"/>
      <c r="K21" s="19">
        <f>IF(E21="","",ROUND(E21-I21-J21,2))</f>
        <v/>
      </c>
      <c r="L21" s="15">
        <f>IF(E21="","",IF(F21="","не выбран статус",IF(I21+J21&gt;E21+0.01,"ОШИБКА: зачтено и оплачено больше стоимости акта",IF(AND(F21&lt;&gt;"подписан обеими сторонами",I21&gt;0),"ОШИБКА: зачёт аванса по неподписанному акту",IF(AND(F21="подписан обеими сторонами",I21+J21=0),"акт подписан, но по нему ничего не зачтено и не оплачено — проверьте",IF(AND(F21&lt;&gt;"подписан обеими сторонами",G21=""),"акт не подписан: без даты передачи он в расчёте не работает",IF(AND(F21&lt;&gt;"подписан обеими сторонами",H21=""),"акт не подписан: нечем подтвердить передачу","строка заполнена")))))))</f>
        <v/>
      </c>
    </row>
    <row r="22">
      <c r="A22" s="15">
        <f>IF(C22="","",ROW()-5)</f>
        <v/>
      </c>
      <c r="B22" s="16" t="n"/>
      <c r="C22" s="16" t="n"/>
      <c r="D22" s="16" t="n"/>
      <c r="E22" s="17" t="n"/>
      <c r="F22" s="16" t="n"/>
      <c r="G22" s="18" t="n"/>
      <c r="H22" s="16" t="n"/>
      <c r="I22" s="17" t="n"/>
      <c r="J22" s="17" t="n"/>
      <c r="K22" s="19">
        <f>IF(E22="","",ROUND(E22-I22-J22,2))</f>
        <v/>
      </c>
      <c r="L22" s="15">
        <f>IF(E22="","",IF(F22="","не выбран статус",IF(I22+J22&gt;E22+0.01,"ОШИБКА: зачтено и оплачено больше стоимости акта",IF(AND(F22&lt;&gt;"подписан обеими сторонами",I22&gt;0),"ОШИБКА: зачёт аванса по неподписанному акту",IF(AND(F22="подписан обеими сторонами",I22+J22=0),"акт подписан, но по нему ничего не зачтено и не оплачено — проверьте",IF(AND(F22&lt;&gt;"подписан обеими сторонами",G22=""),"акт не подписан: без даты передачи он в расчёте не работает",IF(AND(F22&lt;&gt;"подписан обеими сторонами",H22=""),"акт не подписан: нечем подтвердить передачу","строка заполнена")))))))</f>
        <v/>
      </c>
    </row>
    <row r="23">
      <c r="A23" s="15">
        <f>IF(C23="","",ROW()-5)</f>
        <v/>
      </c>
      <c r="B23" s="16" t="n"/>
      <c r="C23" s="16" t="n"/>
      <c r="D23" s="16" t="n"/>
      <c r="E23" s="17" t="n"/>
      <c r="F23" s="16" t="n"/>
      <c r="G23" s="18" t="n"/>
      <c r="H23" s="16" t="n"/>
      <c r="I23" s="17" t="n"/>
      <c r="J23" s="17" t="n"/>
      <c r="K23" s="19">
        <f>IF(E23="","",ROUND(E23-I23-J23,2))</f>
        <v/>
      </c>
      <c r="L23" s="15">
        <f>IF(E23="","",IF(F23="","не выбран статус",IF(I23+J23&gt;E23+0.01,"ОШИБКА: зачтено и оплачено больше стоимости акта",IF(AND(F23&lt;&gt;"подписан обеими сторонами",I23&gt;0),"ОШИБКА: зачёт аванса по неподписанному акту",IF(AND(F23="подписан обеими сторонами",I23+J23=0),"акт подписан, но по нему ничего не зачтено и не оплачено — проверьте",IF(AND(F23&lt;&gt;"подписан обеими сторонами",G23=""),"акт не подписан: без даты передачи он в расчёте не работает",IF(AND(F23&lt;&gt;"подписан обеими сторонами",H23=""),"акт не подписан: нечем подтвердить передачу","строка заполнена")))))))</f>
        <v/>
      </c>
    </row>
    <row r="24">
      <c r="A24" s="15">
        <f>IF(C24="","",ROW()-5)</f>
        <v/>
      </c>
      <c r="B24" s="16" t="n"/>
      <c r="C24" s="16" t="n"/>
      <c r="D24" s="16" t="n"/>
      <c r="E24" s="17" t="n"/>
      <c r="F24" s="16" t="n"/>
      <c r="G24" s="18" t="n"/>
      <c r="H24" s="16" t="n"/>
      <c r="I24" s="17" t="n"/>
      <c r="J24" s="17" t="n"/>
      <c r="K24" s="19">
        <f>IF(E24="","",ROUND(E24-I24-J24,2))</f>
        <v/>
      </c>
      <c r="L24" s="15">
        <f>IF(E24="","",IF(F24="","не выбран статус",IF(I24+J24&gt;E24+0.01,"ОШИБКА: зачтено и оплачено больше стоимости акта",IF(AND(F24&lt;&gt;"подписан обеими сторонами",I24&gt;0),"ОШИБКА: зачёт аванса по неподписанному акту",IF(AND(F24="подписан обеими сторонами",I24+J24=0),"акт подписан, но по нему ничего не зачтено и не оплачено — проверьте",IF(AND(F24&lt;&gt;"подписан обеими сторонами",G24=""),"акт не подписан: без даты передачи он в расчёте не работает",IF(AND(F24&lt;&gt;"подписан обеими сторонами",H24=""),"акт не подписан: нечем подтвердить передачу","строка заполнена")))))))</f>
        <v/>
      </c>
    </row>
    <row r="25">
      <c r="A25" s="15">
        <f>IF(C25="","",ROW()-5)</f>
        <v/>
      </c>
      <c r="B25" s="16" t="n"/>
      <c r="C25" s="16" t="n"/>
      <c r="D25" s="16" t="n"/>
      <c r="E25" s="17" t="n"/>
      <c r="F25" s="16" t="n"/>
      <c r="G25" s="18" t="n"/>
      <c r="H25" s="16" t="n"/>
      <c r="I25" s="17" t="n"/>
      <c r="J25" s="17" t="n"/>
      <c r="K25" s="19">
        <f>IF(E25="","",ROUND(E25-I25-J25,2))</f>
        <v/>
      </c>
      <c r="L25" s="15">
        <f>IF(E25="","",IF(F25="","не выбран статус",IF(I25+J25&gt;E25+0.01,"ОШИБКА: зачтено и оплачено больше стоимости акта",IF(AND(F25&lt;&gt;"подписан обеими сторонами",I25&gt;0),"ОШИБКА: зачёт аванса по неподписанному акту",IF(AND(F25="подписан обеими сторонами",I25+J25=0),"акт подписан, но по нему ничего не зачтено и не оплачено — проверьте",IF(AND(F25&lt;&gt;"подписан обеими сторонами",G25=""),"акт не подписан: без даты передачи он в расчёте не работает",IF(AND(F25&lt;&gt;"подписан обеими сторонами",H25=""),"акт не подписан: нечем подтвердить передачу","строка заполнена")))))))</f>
        <v/>
      </c>
    </row>
    <row r="26">
      <c r="A26" s="15">
        <f>IF(C26="","",ROW()-5)</f>
        <v/>
      </c>
      <c r="B26" s="16" t="n"/>
      <c r="C26" s="16" t="n"/>
      <c r="D26" s="16" t="n"/>
      <c r="E26" s="17" t="n"/>
      <c r="F26" s="16" t="n"/>
      <c r="G26" s="18" t="n"/>
      <c r="H26" s="16" t="n"/>
      <c r="I26" s="17" t="n"/>
      <c r="J26" s="17" t="n"/>
      <c r="K26" s="19">
        <f>IF(E26="","",ROUND(E26-I26-J26,2))</f>
        <v/>
      </c>
      <c r="L26" s="15">
        <f>IF(E26="","",IF(F26="","не выбран статус",IF(I26+J26&gt;E26+0.01,"ОШИБКА: зачтено и оплачено больше стоимости акта",IF(AND(F26&lt;&gt;"подписан обеими сторонами",I26&gt;0),"ОШИБКА: зачёт аванса по неподписанному акту",IF(AND(F26="подписан обеими сторонами",I26+J26=0),"акт подписан, но по нему ничего не зачтено и не оплачено — проверьте",IF(AND(F26&lt;&gt;"подписан обеими сторонами",G26=""),"акт не подписан: без даты передачи он в расчёте не работает",IF(AND(F26&lt;&gt;"подписан обеими сторонами",H26=""),"акт не подписан: нечем подтвердить передачу","строка заполнена")))))))</f>
        <v/>
      </c>
    </row>
    <row r="27">
      <c r="A27" s="15">
        <f>IF(C27="","",ROW()-5)</f>
        <v/>
      </c>
      <c r="B27" s="16" t="n"/>
      <c r="C27" s="16" t="n"/>
      <c r="D27" s="16" t="n"/>
      <c r="E27" s="17" t="n"/>
      <c r="F27" s="16" t="n"/>
      <c r="G27" s="18" t="n"/>
      <c r="H27" s="16" t="n"/>
      <c r="I27" s="17" t="n"/>
      <c r="J27" s="17" t="n"/>
      <c r="K27" s="19">
        <f>IF(E27="","",ROUND(E27-I27-J27,2))</f>
        <v/>
      </c>
      <c r="L27" s="15">
        <f>IF(E27="","",IF(F27="","не выбран статус",IF(I27+J27&gt;E27+0.01,"ОШИБКА: зачтено и оплачено больше стоимости акта",IF(AND(F27&lt;&gt;"подписан обеими сторонами",I27&gt;0),"ОШИБКА: зачёт аванса по неподписанному акту",IF(AND(F27="подписан обеими сторонами",I27+J27=0),"акт подписан, но по нему ничего не зачтено и не оплачено — проверьте",IF(AND(F27&lt;&gt;"подписан обеими сторонами",G27=""),"акт не подписан: без даты передачи он в расчёте не работает",IF(AND(F27&lt;&gt;"подписан обеими сторонами",H27=""),"акт не подписан: нечем подтвердить передачу","строка заполнена")))))))</f>
        <v/>
      </c>
    </row>
    <row r="28">
      <c r="A28" s="15">
        <f>IF(C28="","",ROW()-5)</f>
        <v/>
      </c>
      <c r="B28" s="16" t="n"/>
      <c r="C28" s="16" t="n"/>
      <c r="D28" s="16" t="n"/>
      <c r="E28" s="17" t="n"/>
      <c r="F28" s="16" t="n"/>
      <c r="G28" s="18" t="n"/>
      <c r="H28" s="16" t="n"/>
      <c r="I28" s="17" t="n"/>
      <c r="J28" s="17" t="n"/>
      <c r="K28" s="19">
        <f>IF(E28="","",ROUND(E28-I28-J28,2))</f>
        <v/>
      </c>
      <c r="L28" s="15">
        <f>IF(E28="","",IF(F28="","не выбран статус",IF(I28+J28&gt;E28+0.01,"ОШИБКА: зачтено и оплачено больше стоимости акта",IF(AND(F28&lt;&gt;"подписан обеими сторонами",I28&gt;0),"ОШИБКА: зачёт аванса по неподписанному акту",IF(AND(F28="подписан обеими сторонами",I28+J28=0),"акт подписан, но по нему ничего не зачтено и не оплачено — проверьте",IF(AND(F28&lt;&gt;"подписан обеими сторонами",G28=""),"акт не подписан: без даты передачи он в расчёте не работает",IF(AND(F28&lt;&gt;"подписан обеими сторонами",H28=""),"акт не подписан: нечем подтвердить передачу","строка заполнена")))))))</f>
        <v/>
      </c>
    </row>
    <row r="29">
      <c r="A29" s="15">
        <f>IF(C29="","",ROW()-5)</f>
        <v/>
      </c>
      <c r="B29" s="16" t="n"/>
      <c r="C29" s="16" t="n"/>
      <c r="D29" s="16" t="n"/>
      <c r="E29" s="17" t="n"/>
      <c r="F29" s="16" t="n"/>
      <c r="G29" s="18" t="n"/>
      <c r="H29" s="16" t="n"/>
      <c r="I29" s="17" t="n"/>
      <c r="J29" s="17" t="n"/>
      <c r="K29" s="19">
        <f>IF(E29="","",ROUND(E29-I29-J29,2))</f>
        <v/>
      </c>
      <c r="L29" s="15">
        <f>IF(E29="","",IF(F29="","не выбран статус",IF(I29+J29&gt;E29+0.01,"ОШИБКА: зачтено и оплачено больше стоимости акта",IF(AND(F29&lt;&gt;"подписан обеими сторонами",I29&gt;0),"ОШИБКА: зачёт аванса по неподписанному акту",IF(AND(F29="подписан обеими сторонами",I29+J29=0),"акт подписан, но по нему ничего не зачтено и не оплачено — проверьте",IF(AND(F29&lt;&gt;"подписан обеими сторонами",G29=""),"акт не подписан: без даты передачи он в расчёте не работает",IF(AND(F29&lt;&gt;"подписан обеими сторонами",H29=""),"акт не подписан: нечем подтвердить передачу","строка заполнена")))))))</f>
        <v/>
      </c>
    </row>
    <row r="30">
      <c r="A30" s="15">
        <f>IF(C30="","",ROW()-5)</f>
        <v/>
      </c>
      <c r="B30" s="16" t="n"/>
      <c r="C30" s="16" t="n"/>
      <c r="D30" s="16" t="n"/>
      <c r="E30" s="17" t="n"/>
      <c r="F30" s="16" t="n"/>
      <c r="G30" s="18" t="n"/>
      <c r="H30" s="16" t="n"/>
      <c r="I30" s="17" t="n"/>
      <c r="J30" s="17" t="n"/>
      <c r="K30" s="19">
        <f>IF(E30="","",ROUND(E30-I30-J30,2))</f>
        <v/>
      </c>
      <c r="L30" s="15">
        <f>IF(E30="","",IF(F30="","не выбран статус",IF(I30+J30&gt;E30+0.01,"ОШИБКА: зачтено и оплачено больше стоимости акта",IF(AND(F30&lt;&gt;"подписан обеими сторонами",I30&gt;0),"ОШИБКА: зачёт аванса по неподписанному акту",IF(AND(F30="подписан обеими сторонами",I30+J30=0),"акт подписан, но по нему ничего не зачтено и не оплачено — проверьте",IF(AND(F30&lt;&gt;"подписан обеими сторонами",G30=""),"акт не подписан: без даты передачи он в расчёте не работает",IF(AND(F30&lt;&gt;"подписан обеими сторонами",H30=""),"акт не подписан: нечем подтвердить передачу","строка заполнена")))))))</f>
        <v/>
      </c>
    </row>
    <row r="31">
      <c r="A31" s="15">
        <f>IF(C31="","",ROW()-5)</f>
        <v/>
      </c>
      <c r="B31" s="16" t="n"/>
      <c r="C31" s="16" t="n"/>
      <c r="D31" s="16" t="n"/>
      <c r="E31" s="17" t="n"/>
      <c r="F31" s="16" t="n"/>
      <c r="G31" s="18" t="n"/>
      <c r="H31" s="16" t="n"/>
      <c r="I31" s="17" t="n"/>
      <c r="J31" s="17" t="n"/>
      <c r="K31" s="19">
        <f>IF(E31="","",ROUND(E31-I31-J31,2))</f>
        <v/>
      </c>
      <c r="L31" s="15">
        <f>IF(E31="","",IF(F31="","не выбран статус",IF(I31+J31&gt;E31+0.01,"ОШИБКА: зачтено и оплачено больше стоимости акта",IF(AND(F31&lt;&gt;"подписан обеими сторонами",I31&gt;0),"ОШИБКА: зачёт аванса по неподписанному акту",IF(AND(F31="подписан обеими сторонами",I31+J31=0),"акт подписан, но по нему ничего не зачтено и не оплачено — проверьте",IF(AND(F31&lt;&gt;"подписан обеими сторонами",G31=""),"акт не подписан: без даты передачи он в расчёте не работает",IF(AND(F31&lt;&gt;"подписан обеими сторонами",H31=""),"акт не подписан: нечем подтвердить передачу","строка заполнена")))))))</f>
        <v/>
      </c>
    </row>
    <row r="32">
      <c r="A32" s="15">
        <f>IF(C32="","",ROW()-5)</f>
        <v/>
      </c>
      <c r="B32" s="16" t="n"/>
      <c r="C32" s="16" t="n"/>
      <c r="D32" s="16" t="n"/>
      <c r="E32" s="17" t="n"/>
      <c r="F32" s="16" t="n"/>
      <c r="G32" s="18" t="n"/>
      <c r="H32" s="16" t="n"/>
      <c r="I32" s="17" t="n"/>
      <c r="J32" s="17" t="n"/>
      <c r="K32" s="19">
        <f>IF(E32="","",ROUND(E32-I32-J32,2))</f>
        <v/>
      </c>
      <c r="L32" s="15">
        <f>IF(E32="","",IF(F32="","не выбран статус",IF(I32+J32&gt;E32+0.01,"ОШИБКА: зачтено и оплачено больше стоимости акта",IF(AND(F32&lt;&gt;"подписан обеими сторонами",I32&gt;0),"ОШИБКА: зачёт аванса по неподписанному акту",IF(AND(F32="подписан обеими сторонами",I32+J32=0),"акт подписан, но по нему ничего не зачтено и не оплачено — проверьте",IF(AND(F32&lt;&gt;"подписан обеими сторонами",G32=""),"акт не подписан: без даты передачи он в расчёте не работает",IF(AND(F32&lt;&gt;"подписан обеими сторонами",H32=""),"акт не подписан: нечем подтвердить передачу","строка заполнена")))))))</f>
        <v/>
      </c>
    </row>
    <row r="33">
      <c r="A33" s="15">
        <f>IF(C33="","",ROW()-5)</f>
        <v/>
      </c>
      <c r="B33" s="16" t="n"/>
      <c r="C33" s="16" t="n"/>
      <c r="D33" s="16" t="n"/>
      <c r="E33" s="17" t="n"/>
      <c r="F33" s="16" t="n"/>
      <c r="G33" s="18" t="n"/>
      <c r="H33" s="16" t="n"/>
      <c r="I33" s="17" t="n"/>
      <c r="J33" s="17" t="n"/>
      <c r="K33" s="19">
        <f>IF(E33="","",ROUND(E33-I33-J33,2))</f>
        <v/>
      </c>
      <c r="L33" s="15">
        <f>IF(E33="","",IF(F33="","не выбран статус",IF(I33+J33&gt;E33+0.01,"ОШИБКА: зачтено и оплачено больше стоимости акта",IF(AND(F33&lt;&gt;"подписан обеими сторонами",I33&gt;0),"ОШИБКА: зачёт аванса по неподписанному акту",IF(AND(F33="подписан обеими сторонами",I33+J33=0),"акт подписан, но по нему ничего не зачтено и не оплачено — проверьте",IF(AND(F33&lt;&gt;"подписан обеими сторонами",G33=""),"акт не подписан: без даты передачи он в расчёте не работает",IF(AND(F33&lt;&gt;"подписан обеими сторонами",H33=""),"акт не подписан: нечем подтвердить передачу","строка заполнена")))))))</f>
        <v/>
      </c>
    </row>
    <row r="34">
      <c r="A34" s="15">
        <f>IF(C34="","",ROW()-5)</f>
        <v/>
      </c>
      <c r="B34" s="16" t="n"/>
      <c r="C34" s="16" t="n"/>
      <c r="D34" s="16" t="n"/>
      <c r="E34" s="17" t="n"/>
      <c r="F34" s="16" t="n"/>
      <c r="G34" s="18" t="n"/>
      <c r="H34" s="16" t="n"/>
      <c r="I34" s="17" t="n"/>
      <c r="J34" s="17" t="n"/>
      <c r="K34" s="19">
        <f>IF(E34="","",ROUND(E34-I34-J34,2))</f>
        <v/>
      </c>
      <c r="L34" s="15">
        <f>IF(E34="","",IF(F34="","не выбран статус",IF(I34+J34&gt;E34+0.01,"ОШИБКА: зачтено и оплачено больше стоимости акта",IF(AND(F34&lt;&gt;"подписан обеими сторонами",I34&gt;0),"ОШИБКА: зачёт аванса по неподписанному акту",IF(AND(F34="подписан обеими сторонами",I34+J34=0),"акт подписан, но по нему ничего не зачтено и не оплачено — проверьте",IF(AND(F34&lt;&gt;"подписан обеими сторонами",G34=""),"акт не подписан: без даты передачи он в расчёте не работает",IF(AND(F34&lt;&gt;"подписан обеими сторонами",H34=""),"акт не подписан: нечем подтвердить передачу","строка заполнена")))))))</f>
        <v/>
      </c>
    </row>
    <row r="35">
      <c r="A35" s="15">
        <f>IF(C35="","",ROW()-5)</f>
        <v/>
      </c>
      <c r="B35" s="16" t="n"/>
      <c r="C35" s="16" t="n"/>
      <c r="D35" s="16" t="n"/>
      <c r="E35" s="17" t="n"/>
      <c r="F35" s="16" t="n"/>
      <c r="G35" s="18" t="n"/>
      <c r="H35" s="16" t="n"/>
      <c r="I35" s="17" t="n"/>
      <c r="J35" s="17" t="n"/>
      <c r="K35" s="19">
        <f>IF(E35="","",ROUND(E35-I35-J35,2))</f>
        <v/>
      </c>
      <c r="L35" s="15">
        <f>IF(E35="","",IF(F35="","не выбран статус",IF(I35+J35&gt;E35+0.01,"ОШИБКА: зачтено и оплачено больше стоимости акта",IF(AND(F35&lt;&gt;"подписан обеими сторонами",I35&gt;0),"ОШИБКА: зачёт аванса по неподписанному акту",IF(AND(F35="подписан обеими сторонами",I35+J35=0),"акт подписан, но по нему ничего не зачтено и не оплачено — проверьте",IF(AND(F35&lt;&gt;"подписан обеими сторонами",G35=""),"акт не подписан: без даты передачи он в расчёте не работает",IF(AND(F35&lt;&gt;"подписан обеими сторонами",H35=""),"акт не подписан: нечем подтвердить передачу","строка заполнена")))))))</f>
        <v/>
      </c>
    </row>
    <row r="36">
      <c r="A36" s="15">
        <f>IF(C36="","",ROW()-5)</f>
        <v/>
      </c>
      <c r="B36" s="16" t="n"/>
      <c r="C36" s="16" t="n"/>
      <c r="D36" s="16" t="n"/>
      <c r="E36" s="17" t="n"/>
      <c r="F36" s="16" t="n"/>
      <c r="G36" s="18" t="n"/>
      <c r="H36" s="16" t="n"/>
      <c r="I36" s="17" t="n"/>
      <c r="J36" s="17" t="n"/>
      <c r="K36" s="19">
        <f>IF(E36="","",ROUND(E36-I36-J36,2))</f>
        <v/>
      </c>
      <c r="L36" s="15">
        <f>IF(E36="","",IF(F36="","не выбран статус",IF(I36+J36&gt;E36+0.01,"ОШИБКА: зачтено и оплачено больше стоимости акта",IF(AND(F36&lt;&gt;"подписан обеими сторонами",I36&gt;0),"ОШИБКА: зачёт аванса по неподписанному акту",IF(AND(F36="подписан обеими сторонами",I36+J36=0),"акт подписан, но по нему ничего не зачтено и не оплачено — проверьте",IF(AND(F36&lt;&gt;"подписан обеими сторонами",G36=""),"акт не подписан: без даты передачи он в расчёте не работает",IF(AND(F36&lt;&gt;"подписан обеими сторонами",H36=""),"акт не подписан: нечем подтвердить передачу","строка заполнена")))))))</f>
        <v/>
      </c>
    </row>
    <row r="37">
      <c r="A37" s="15">
        <f>IF(C37="","",ROW()-5)</f>
        <v/>
      </c>
      <c r="B37" s="16" t="n"/>
      <c r="C37" s="16" t="n"/>
      <c r="D37" s="16" t="n"/>
      <c r="E37" s="17" t="n"/>
      <c r="F37" s="16" t="n"/>
      <c r="G37" s="18" t="n"/>
      <c r="H37" s="16" t="n"/>
      <c r="I37" s="17" t="n"/>
      <c r="J37" s="17" t="n"/>
      <c r="K37" s="19">
        <f>IF(E37="","",ROUND(E37-I37-J37,2))</f>
        <v/>
      </c>
      <c r="L37" s="15">
        <f>IF(E37="","",IF(F37="","не выбран статус",IF(I37+J37&gt;E37+0.01,"ОШИБКА: зачтено и оплачено больше стоимости акта",IF(AND(F37&lt;&gt;"подписан обеими сторонами",I37&gt;0),"ОШИБКА: зачёт аванса по неподписанному акту",IF(AND(F37="подписан обеими сторонами",I37+J37=0),"акт подписан, но по нему ничего не зачтено и не оплачено — проверьте",IF(AND(F37&lt;&gt;"подписан обеими сторонами",G37=""),"акт не подписан: без даты передачи он в расчёте не работает",IF(AND(F37&lt;&gt;"подписан обеими сторонами",H37=""),"акт не подписан: нечем подтвердить передачу","строка заполнена")))))))</f>
        <v/>
      </c>
    </row>
    <row r="38">
      <c r="A38" s="15">
        <f>IF(C38="","",ROW()-5)</f>
        <v/>
      </c>
      <c r="B38" s="16" t="n"/>
      <c r="C38" s="16" t="n"/>
      <c r="D38" s="16" t="n"/>
      <c r="E38" s="17" t="n"/>
      <c r="F38" s="16" t="n"/>
      <c r="G38" s="18" t="n"/>
      <c r="H38" s="16" t="n"/>
      <c r="I38" s="17" t="n"/>
      <c r="J38" s="17" t="n"/>
      <c r="K38" s="19">
        <f>IF(E38="","",ROUND(E38-I38-J38,2))</f>
        <v/>
      </c>
      <c r="L38" s="15">
        <f>IF(E38="","",IF(F38="","не выбран статус",IF(I38+J38&gt;E38+0.01,"ОШИБКА: зачтено и оплачено больше стоимости акта",IF(AND(F38&lt;&gt;"подписан обеими сторонами",I38&gt;0),"ОШИБКА: зачёт аванса по неподписанному акту",IF(AND(F38="подписан обеими сторонами",I38+J38=0),"акт подписан, но по нему ничего не зачтено и не оплачено — проверьте",IF(AND(F38&lt;&gt;"подписан обеими сторонами",G38=""),"акт не подписан: без даты передачи он в расчёте не работает",IF(AND(F38&lt;&gt;"подписан обеими сторонами",H38=""),"акт не подписан: нечем подтвердить передачу","строка заполнена")))))))</f>
        <v/>
      </c>
    </row>
    <row r="39">
      <c r="A39" s="15">
        <f>IF(C39="","",ROW()-5)</f>
        <v/>
      </c>
      <c r="B39" s="16" t="n"/>
      <c r="C39" s="16" t="n"/>
      <c r="D39" s="16" t="n"/>
      <c r="E39" s="17" t="n"/>
      <c r="F39" s="16" t="n"/>
      <c r="G39" s="18" t="n"/>
      <c r="H39" s="16" t="n"/>
      <c r="I39" s="17" t="n"/>
      <c r="J39" s="17" t="n"/>
      <c r="K39" s="19">
        <f>IF(E39="","",ROUND(E39-I39-J39,2))</f>
        <v/>
      </c>
      <c r="L39" s="15">
        <f>IF(E39="","",IF(F39="","не выбран статус",IF(I39+J39&gt;E39+0.01,"ОШИБКА: зачтено и оплачено больше стоимости акта",IF(AND(F39&lt;&gt;"подписан обеими сторонами",I39&gt;0),"ОШИБКА: зачёт аванса по неподписанному акту",IF(AND(F39="подписан обеими сторонами",I39+J39=0),"акт подписан, но по нему ничего не зачтено и не оплачено — проверьте",IF(AND(F39&lt;&gt;"подписан обеими сторонами",G39=""),"акт не подписан: без даты передачи он в расчёте не работает",IF(AND(F39&lt;&gt;"подписан обеими сторонами",H39=""),"акт не подписан: нечем подтвердить передачу","строка заполнена")))))))</f>
        <v/>
      </c>
    </row>
    <row r="40">
      <c r="A40" s="15">
        <f>IF(C40="","",ROW()-5)</f>
        <v/>
      </c>
      <c r="B40" s="16" t="n"/>
      <c r="C40" s="16" t="n"/>
      <c r="D40" s="16" t="n"/>
      <c r="E40" s="17" t="n"/>
      <c r="F40" s="16" t="n"/>
      <c r="G40" s="18" t="n"/>
      <c r="H40" s="16" t="n"/>
      <c r="I40" s="17" t="n"/>
      <c r="J40" s="17" t="n"/>
      <c r="K40" s="19">
        <f>IF(E40="","",ROUND(E40-I40-J40,2))</f>
        <v/>
      </c>
      <c r="L40" s="15">
        <f>IF(E40="","",IF(F40="","не выбран статус",IF(I40+J40&gt;E40+0.01,"ОШИБКА: зачтено и оплачено больше стоимости акта",IF(AND(F40&lt;&gt;"подписан обеими сторонами",I40&gt;0),"ОШИБКА: зачёт аванса по неподписанному акту",IF(AND(F40="подписан обеими сторонами",I40+J40=0),"акт подписан, но по нему ничего не зачтено и не оплачено — проверьте",IF(AND(F40&lt;&gt;"подписан обеими сторонами",G40=""),"акт не подписан: без даты передачи он в расчёте не работает",IF(AND(F40&lt;&gt;"подписан обеими сторонами",H40=""),"акт не подписан: нечем подтвердить передачу","строка заполнена")))))))</f>
        <v/>
      </c>
    </row>
    <row r="41">
      <c r="A41" s="15">
        <f>IF(C41="","",ROW()-5)</f>
        <v/>
      </c>
      <c r="B41" s="16" t="n"/>
      <c r="C41" s="16" t="n"/>
      <c r="D41" s="16" t="n"/>
      <c r="E41" s="17" t="n"/>
      <c r="F41" s="16" t="n"/>
      <c r="G41" s="18" t="n"/>
      <c r="H41" s="16" t="n"/>
      <c r="I41" s="17" t="n"/>
      <c r="J41" s="17" t="n"/>
      <c r="K41" s="19">
        <f>IF(E41="","",ROUND(E41-I41-J41,2))</f>
        <v/>
      </c>
      <c r="L41" s="15">
        <f>IF(E41="","",IF(F41="","не выбран статус",IF(I41+J41&gt;E41+0.01,"ОШИБКА: зачтено и оплачено больше стоимости акта",IF(AND(F41&lt;&gt;"подписан обеими сторонами",I41&gt;0),"ОШИБКА: зачёт аванса по неподписанному акту",IF(AND(F41="подписан обеими сторонами",I41+J41=0),"акт подписан, но по нему ничего не зачтено и не оплачено — проверьте",IF(AND(F41&lt;&gt;"подписан обеими сторонами",G41=""),"акт не подписан: без даты передачи он в расчёте не работает",IF(AND(F41&lt;&gt;"подписан обеими сторонами",H41=""),"акт не подписан: нечем подтвердить передачу","строка заполнена")))))))</f>
        <v/>
      </c>
    </row>
    <row r="42">
      <c r="A42" s="15">
        <f>IF(C42="","",ROW()-5)</f>
        <v/>
      </c>
      <c r="B42" s="16" t="n"/>
      <c r="C42" s="16" t="n"/>
      <c r="D42" s="16" t="n"/>
      <c r="E42" s="17" t="n"/>
      <c r="F42" s="16" t="n"/>
      <c r="G42" s="18" t="n"/>
      <c r="H42" s="16" t="n"/>
      <c r="I42" s="17" t="n"/>
      <c r="J42" s="17" t="n"/>
      <c r="K42" s="19">
        <f>IF(E42="","",ROUND(E42-I42-J42,2))</f>
        <v/>
      </c>
      <c r="L42" s="15">
        <f>IF(E42="","",IF(F42="","не выбран статус",IF(I42+J42&gt;E42+0.01,"ОШИБКА: зачтено и оплачено больше стоимости акта",IF(AND(F42&lt;&gt;"подписан обеими сторонами",I42&gt;0),"ОШИБКА: зачёт аванса по неподписанному акту",IF(AND(F42="подписан обеими сторонами",I42+J42=0),"акт подписан, но по нему ничего не зачтено и не оплачено — проверьте",IF(AND(F42&lt;&gt;"подписан обеими сторонами",G42=""),"акт не подписан: без даты передачи он в расчёте не работает",IF(AND(F42&lt;&gt;"подписан обеими сторонами",H42=""),"акт не подписан: нечем подтвердить передачу","строка заполнена")))))))</f>
        <v/>
      </c>
    </row>
    <row r="43">
      <c r="A43" s="15">
        <f>IF(C43="","",ROW()-5)</f>
        <v/>
      </c>
      <c r="B43" s="16" t="n"/>
      <c r="C43" s="16" t="n"/>
      <c r="D43" s="16" t="n"/>
      <c r="E43" s="17" t="n"/>
      <c r="F43" s="16" t="n"/>
      <c r="G43" s="18" t="n"/>
      <c r="H43" s="16" t="n"/>
      <c r="I43" s="17" t="n"/>
      <c r="J43" s="17" t="n"/>
      <c r="K43" s="19">
        <f>IF(E43="","",ROUND(E43-I43-J43,2))</f>
        <v/>
      </c>
      <c r="L43" s="15">
        <f>IF(E43="","",IF(F43="","не выбран статус",IF(I43+J43&gt;E43+0.01,"ОШИБКА: зачтено и оплачено больше стоимости акта",IF(AND(F43&lt;&gt;"подписан обеими сторонами",I43&gt;0),"ОШИБКА: зачёт аванса по неподписанному акту",IF(AND(F43="подписан обеими сторонами",I43+J43=0),"акт подписан, но по нему ничего не зачтено и не оплачено — проверьте",IF(AND(F43&lt;&gt;"подписан обеими сторонами",G43=""),"акт не подписан: без даты передачи он в расчёте не работает",IF(AND(F43&lt;&gt;"подписан обеими сторонами",H43=""),"акт не подписан: нечем подтвердить передачу","строка заполнена")))))))</f>
        <v/>
      </c>
    </row>
    <row r="44">
      <c r="A44" s="15">
        <f>IF(C44="","",ROW()-5)</f>
        <v/>
      </c>
      <c r="B44" s="16" t="n"/>
      <c r="C44" s="16" t="n"/>
      <c r="D44" s="16" t="n"/>
      <c r="E44" s="17" t="n"/>
      <c r="F44" s="16" t="n"/>
      <c r="G44" s="18" t="n"/>
      <c r="H44" s="16" t="n"/>
      <c r="I44" s="17" t="n"/>
      <c r="J44" s="17" t="n"/>
      <c r="K44" s="19">
        <f>IF(E44="","",ROUND(E44-I44-J44,2))</f>
        <v/>
      </c>
      <c r="L44" s="15">
        <f>IF(E44="","",IF(F44="","не выбран статус",IF(I44+J44&gt;E44+0.01,"ОШИБКА: зачтено и оплачено больше стоимости акта",IF(AND(F44&lt;&gt;"подписан обеими сторонами",I44&gt;0),"ОШИБКА: зачёт аванса по неподписанному акту",IF(AND(F44="подписан обеими сторонами",I44+J44=0),"акт подписан, но по нему ничего не зачтено и не оплачено — проверьте",IF(AND(F44&lt;&gt;"подписан обеими сторонами",G44=""),"акт не подписан: без даты передачи он в расчёте не работает",IF(AND(F44&lt;&gt;"подписан обеими сторонами",H44=""),"акт не подписан: нечем подтвердить передачу","строка заполнена")))))))</f>
        <v/>
      </c>
    </row>
    <row r="45">
      <c r="A45" s="15">
        <f>IF(C45="","",ROW()-5)</f>
        <v/>
      </c>
      <c r="B45" s="16" t="n"/>
      <c r="C45" s="16" t="n"/>
      <c r="D45" s="16" t="n"/>
      <c r="E45" s="17" t="n"/>
      <c r="F45" s="16" t="n"/>
      <c r="G45" s="18" t="n"/>
      <c r="H45" s="16" t="n"/>
      <c r="I45" s="17" t="n"/>
      <c r="J45" s="17" t="n"/>
      <c r="K45" s="19">
        <f>IF(E45="","",ROUND(E45-I45-J45,2))</f>
        <v/>
      </c>
      <c r="L45" s="15">
        <f>IF(E45="","",IF(F45="","не выбран статус",IF(I45+J45&gt;E45+0.01,"ОШИБКА: зачтено и оплачено больше стоимости акта",IF(AND(F45&lt;&gt;"подписан обеими сторонами",I45&gt;0),"ОШИБКА: зачёт аванса по неподписанному акту",IF(AND(F45="подписан обеими сторонами",I45+J45=0),"акт подписан, но по нему ничего не зачтено и не оплачено — проверьте",IF(AND(F45&lt;&gt;"подписан обеими сторонами",G45=""),"акт не подписан: без даты передачи он в расчёте не работает",IF(AND(F45&lt;&gt;"подписан обеими сторонами",H45=""),"акт не подписан: нечем подтвердить передачу","строка заполнена")))))))</f>
        <v/>
      </c>
    </row>
    <row r="46">
      <c r="A46" s="2" t="inlineStr">
        <is>
          <t>Итоги</t>
        </is>
      </c>
    </row>
    <row r="47">
      <c r="A47" s="20" t="inlineStr">
        <is>
          <t>Всего актов внесено</t>
        </is>
      </c>
      <c r="E47" s="21">
        <f>COUNTIF(E6:E45,"&gt;0")</f>
        <v/>
      </c>
    </row>
    <row r="48">
      <c r="A48" s="20" t="inlineStr">
        <is>
          <t>Стоимость по актам, подписанным обеими сторонами</t>
        </is>
      </c>
      <c r="E48" s="22">
        <f>SUMIF(F6:F45,"подписан обеими сторонами",E6:E45)</f>
        <v/>
      </c>
    </row>
    <row r="49">
      <c r="A49" s="20" t="inlineStr">
        <is>
          <t>Стоимость по актам переданным, но не подписанным</t>
        </is>
      </c>
      <c r="E49" s="22">
        <f>SUMIF(F6:F45,"передан, не подписан",E6:E45)</f>
        <v/>
      </c>
    </row>
    <row r="50">
      <c r="A50" s="20" t="inlineStr">
        <is>
          <t>Стоимость по актам, подписанным односторонне</t>
        </is>
      </c>
      <c r="E50" s="22">
        <f>SUMIF(F6:F45,"подписан односторонне",E6:E45)</f>
        <v/>
      </c>
    </row>
    <row r="51">
      <c r="A51" s="20" t="inlineStr">
        <is>
          <t>Стоимость по актам, на которые получен мотивированный отказ</t>
        </is>
      </c>
      <c r="E51" s="22">
        <f>SUMIF(F6:F45,"получен мотивированный отказ",E6:E45)</f>
        <v/>
      </c>
    </row>
    <row r="52">
      <c r="A52" s="20" t="inlineStr">
        <is>
          <t>Зачтено в счёт аванса подписанными актами</t>
        </is>
      </c>
      <c r="E52" s="22">
        <f>SUMIFS(I6:I45,F6:F45,"подписан обеими сторонами")</f>
        <v/>
      </c>
    </row>
    <row r="53">
      <c r="A53" s="20" t="inlineStr">
        <is>
          <t>Оплачено деньгами по всем актам</t>
        </is>
      </c>
      <c r="E53" s="22">
        <f>SUM(J6:J45)</f>
        <v/>
      </c>
    </row>
    <row r="54">
      <c r="A54" s="20" t="inlineStr">
        <is>
          <t>Не оплачено по подписанным актам</t>
        </is>
      </c>
      <c r="E54" s="22">
        <f>SUMIFS(K6:K45,F6:F45,"подписан обеими сторонами")</f>
        <v/>
      </c>
    </row>
    <row r="55">
      <c r="A55" s="20" t="inlineStr">
        <is>
          <t>Строк с ошибкой в столбце «Проверка»</t>
        </is>
      </c>
      <c r="E55" s="21">
        <f>COUNTIF(L6:L45,"ОШИБКА*")</f>
        <v/>
      </c>
    </row>
    <row r="57" ht="60" customHeight="1">
      <c r="A57" s="4" t="inlineStr">
        <is>
          <t>Столбец «Не оплачено» считается как стоимость акта минус зачтённое в счёт аванса минус оплаченное деньгами. По подписанным актам это задолженность генподрядчика перед вами, и она уменьшает сумму к возврату — но требованием о возврате аванса она не закрывается автоматически: зачёт встречных требований — самостоятельная сделка (для зачёта достаточно заявления одной стороны, статья 410 Гражданского кодекса РФ), и он допускается не во всех случаях (статья 411 того же кодекса). Порядок оформления обсуждайте с юристом.</t>
        </is>
      </c>
    </row>
  </sheetData>
  <mergeCells count="13">
    <mergeCell ref="A57:L57"/>
    <mergeCell ref="A53:D53"/>
    <mergeCell ref="A50:D50"/>
    <mergeCell ref="A48:D48"/>
    <mergeCell ref="A1:L1"/>
    <mergeCell ref="A46:L46"/>
    <mergeCell ref="A54:D54"/>
    <mergeCell ref="A55:D55"/>
    <mergeCell ref="A52:D52"/>
    <mergeCell ref="A51:D51"/>
    <mergeCell ref="A49:D49"/>
    <mergeCell ref="A3:L3"/>
    <mergeCell ref="A47:D47"/>
  </mergeCells>
  <dataValidations count="1">
    <dataValidation sqref="F6:F45" showDropDown="0" showInputMessage="0" showErrorMessage="0" allowBlank="1" error="Выберите статус акта из списка" type="list">
      <formula1>"подписан обеими сторонами,передан, не подписан,подписан односторонне,получен мотивированный отказ"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16" customWidth="1" min="4" max="4"/>
    <col width="32" customWidth="1" min="5" max="5"/>
    <col width="16" customWidth="1" min="6" max="6"/>
    <col width="34" customWidth="1" min="7" max="7"/>
  </cols>
  <sheetData>
    <row r="1" ht="22" customHeight="1">
      <c r="A1" s="1" t="inlineStr">
        <is>
          <t>Что стоит против возврата: материалы, затраты, удержанное</t>
        </is>
      </c>
    </row>
    <row r="3" ht="44" customHeight="1">
      <c r="A3" s="4" t="inlineStr">
        <is>
          <t>Акты сюда не переносятся — они посчитаны на листе «Выполнено». Одна и та же сумма, попавшая в расчёт дважды, обесценивает расчёт целиком: вторая сторона найдёт повтор, и дальше обсуждать будут его, а не ваши деньги. Каждая строка здесь обязана опираться на документ; строка без документа в переписке работает против вас.</t>
        </is>
      </c>
    </row>
    <row r="5" ht="32" customHeight="1">
      <c r="A5" s="14" t="inlineStr">
        <is>
          <t>№</t>
        </is>
      </c>
      <c r="B5" s="14" t="inlineStr">
        <is>
          <t>Основание</t>
        </is>
      </c>
      <c r="C5" s="14" t="inlineStr">
        <is>
          <t>Что именно</t>
        </is>
      </c>
      <c r="D5" s="14" t="inlineStr">
        <is>
          <t>Сумма</t>
        </is>
      </c>
      <c r="E5" s="14" t="inlineStr">
        <is>
          <t>Чем подтверждено</t>
        </is>
      </c>
      <c r="F5" s="14" t="inlineStr">
        <is>
          <t>Документ подписан второй стороной</t>
        </is>
      </c>
      <c r="G5" s="14" t="inlineStr">
        <is>
          <t>Проверка</t>
        </is>
      </c>
    </row>
    <row r="6">
      <c r="A6" s="15">
        <f>IF(C6="","",ROW()-5)</f>
        <v/>
      </c>
      <c r="B6" s="16" t="n"/>
      <c r="C6" s="16" t="n"/>
      <c r="D6" s="17" t="n"/>
      <c r="E6" s="16" t="n"/>
      <c r="F6" s="16" t="n"/>
      <c r="G6" s="15">
        <f>IF(D6="","",IF(B6="","не выбрано основание",IF(E6="","ОШИБКА: сумма без подтверждающего документа",IF(F6="","не указано, подписан ли документ второй стороной",IF(F6="нет","заявлять можно, но обосновывать придётся отдельно","строка заполнена")))))</f>
        <v/>
      </c>
    </row>
    <row r="7">
      <c r="A7" s="15">
        <f>IF(C7="","",ROW()-5)</f>
        <v/>
      </c>
      <c r="B7" s="16" t="n"/>
      <c r="C7" s="16" t="n"/>
      <c r="D7" s="17" t="n"/>
      <c r="E7" s="16" t="n"/>
      <c r="F7" s="16" t="n"/>
      <c r="G7" s="15">
        <f>IF(D7="","",IF(B7="","не выбрано основание",IF(E7="","ОШИБКА: сумма без подтверждающего документа",IF(F7="","не указано, подписан ли документ второй стороной",IF(F7="нет","заявлять можно, но обосновывать придётся отдельно","строка заполнена")))))</f>
        <v/>
      </c>
    </row>
    <row r="8">
      <c r="A8" s="15">
        <f>IF(C8="","",ROW()-5)</f>
        <v/>
      </c>
      <c r="B8" s="16" t="n"/>
      <c r="C8" s="16" t="n"/>
      <c r="D8" s="17" t="n"/>
      <c r="E8" s="16" t="n"/>
      <c r="F8" s="16" t="n"/>
      <c r="G8" s="15">
        <f>IF(D8="","",IF(B8="","не выбрано основание",IF(E8="","ОШИБКА: сумма без подтверждающего документа",IF(F8="","не указано, подписан ли документ второй стороной",IF(F8="нет","заявлять можно, но обосновывать придётся отдельно","строка заполнена")))))</f>
        <v/>
      </c>
    </row>
    <row r="9">
      <c r="A9" s="15">
        <f>IF(C9="","",ROW()-5)</f>
        <v/>
      </c>
      <c r="B9" s="16" t="n"/>
      <c r="C9" s="16" t="n"/>
      <c r="D9" s="17" t="n"/>
      <c r="E9" s="16" t="n"/>
      <c r="F9" s="16" t="n"/>
      <c r="G9" s="15">
        <f>IF(D9="","",IF(B9="","не выбрано основание",IF(E9="","ОШИБКА: сумма без подтверждающего документа",IF(F9="","не указано, подписан ли документ второй стороной",IF(F9="нет","заявлять можно, но обосновывать придётся отдельно","строка заполнена")))))</f>
        <v/>
      </c>
    </row>
    <row r="10">
      <c r="A10" s="15">
        <f>IF(C10="","",ROW()-5)</f>
        <v/>
      </c>
      <c r="B10" s="16" t="n"/>
      <c r="C10" s="16" t="n"/>
      <c r="D10" s="17" t="n"/>
      <c r="E10" s="16" t="n"/>
      <c r="F10" s="16" t="n"/>
      <c r="G10" s="15">
        <f>IF(D10="","",IF(B10="","не выбрано основание",IF(E10="","ОШИБКА: сумма без подтверждающего документа",IF(F10="","не указано, подписан ли документ второй стороной",IF(F10="нет","заявлять можно, но обосновывать придётся отдельно","строка заполнена")))))</f>
        <v/>
      </c>
    </row>
    <row r="11">
      <c r="A11" s="15">
        <f>IF(C11="","",ROW()-5)</f>
        <v/>
      </c>
      <c r="B11" s="16" t="n"/>
      <c r="C11" s="16" t="n"/>
      <c r="D11" s="17" t="n"/>
      <c r="E11" s="16" t="n"/>
      <c r="F11" s="16" t="n"/>
      <c r="G11" s="15">
        <f>IF(D11="","",IF(B11="","не выбрано основание",IF(E11="","ОШИБКА: сумма без подтверждающего документа",IF(F11="","не указано, подписан ли документ второй стороной",IF(F11="нет","заявлять можно, но обосновывать придётся отдельно","строка заполнена")))))</f>
        <v/>
      </c>
    </row>
    <row r="12">
      <c r="A12" s="15">
        <f>IF(C12="","",ROW()-5)</f>
        <v/>
      </c>
      <c r="B12" s="16" t="n"/>
      <c r="C12" s="16" t="n"/>
      <c r="D12" s="17" t="n"/>
      <c r="E12" s="16" t="n"/>
      <c r="F12" s="16" t="n"/>
      <c r="G12" s="15">
        <f>IF(D12="","",IF(B12="","не выбрано основание",IF(E12="","ОШИБКА: сумма без подтверждающего документа",IF(F12="","не указано, подписан ли документ второй стороной",IF(F12="нет","заявлять можно, но обосновывать придётся отдельно","строка заполнена")))))</f>
        <v/>
      </c>
    </row>
    <row r="13">
      <c r="A13" s="15">
        <f>IF(C13="","",ROW()-5)</f>
        <v/>
      </c>
      <c r="B13" s="16" t="n"/>
      <c r="C13" s="16" t="n"/>
      <c r="D13" s="17" t="n"/>
      <c r="E13" s="16" t="n"/>
      <c r="F13" s="16" t="n"/>
      <c r="G13" s="15">
        <f>IF(D13="","",IF(B13="","не выбрано основание",IF(E13="","ОШИБКА: сумма без подтверждающего документа",IF(F13="","не указано, подписан ли документ второй стороной",IF(F13="нет","заявлять можно, но обосновывать придётся отдельно","строка заполнена")))))</f>
        <v/>
      </c>
    </row>
    <row r="14">
      <c r="A14" s="15">
        <f>IF(C14="","",ROW()-5)</f>
        <v/>
      </c>
      <c r="B14" s="16" t="n"/>
      <c r="C14" s="16" t="n"/>
      <c r="D14" s="17" t="n"/>
      <c r="E14" s="16" t="n"/>
      <c r="F14" s="16" t="n"/>
      <c r="G14" s="15">
        <f>IF(D14="","",IF(B14="","не выбрано основание",IF(E14="","ОШИБКА: сумма без подтверждающего документа",IF(F14="","не указано, подписан ли документ второй стороной",IF(F14="нет","заявлять можно, но обосновывать придётся отдельно","строка заполнена")))))</f>
        <v/>
      </c>
    </row>
    <row r="15">
      <c r="A15" s="15">
        <f>IF(C15="","",ROW()-5)</f>
        <v/>
      </c>
      <c r="B15" s="16" t="n"/>
      <c r="C15" s="16" t="n"/>
      <c r="D15" s="17" t="n"/>
      <c r="E15" s="16" t="n"/>
      <c r="F15" s="16" t="n"/>
      <c r="G15" s="15">
        <f>IF(D15="","",IF(B15="","не выбрано основание",IF(E15="","ОШИБКА: сумма без подтверждающего документа",IF(F15="","не указано, подписан ли документ второй стороной",IF(F15="нет","заявлять можно, но обосновывать придётся отдельно","строка заполнена")))))</f>
        <v/>
      </c>
    </row>
    <row r="16">
      <c r="A16" s="15">
        <f>IF(C16="","",ROW()-5)</f>
        <v/>
      </c>
      <c r="B16" s="16" t="n"/>
      <c r="C16" s="16" t="n"/>
      <c r="D16" s="17" t="n"/>
      <c r="E16" s="16" t="n"/>
      <c r="F16" s="16" t="n"/>
      <c r="G16" s="15">
        <f>IF(D16="","",IF(B16="","не выбрано основание",IF(E16="","ОШИБКА: сумма без подтверждающего документа",IF(F16="","не указано, подписан ли документ второй стороной",IF(F16="нет","заявлять можно, но обосновывать придётся отдельно","строка заполнена")))))</f>
        <v/>
      </c>
    </row>
    <row r="17">
      <c r="A17" s="15">
        <f>IF(C17="","",ROW()-5)</f>
        <v/>
      </c>
      <c r="B17" s="16" t="n"/>
      <c r="C17" s="16" t="n"/>
      <c r="D17" s="17" t="n"/>
      <c r="E17" s="16" t="n"/>
      <c r="F17" s="16" t="n"/>
      <c r="G17" s="15">
        <f>IF(D17="","",IF(B17="","не выбрано основание",IF(E17="","ОШИБКА: сумма без подтверждающего документа",IF(F17="","не указано, подписан ли документ второй стороной",IF(F17="нет","заявлять можно, но обосновывать придётся отдельно","строка заполнена")))))</f>
        <v/>
      </c>
    </row>
    <row r="18">
      <c r="A18" s="15">
        <f>IF(C18="","",ROW()-5)</f>
        <v/>
      </c>
      <c r="B18" s="16" t="n"/>
      <c r="C18" s="16" t="n"/>
      <c r="D18" s="17" t="n"/>
      <c r="E18" s="16" t="n"/>
      <c r="F18" s="16" t="n"/>
      <c r="G18" s="15">
        <f>IF(D18="","",IF(B18="","не выбрано основание",IF(E18="","ОШИБКА: сумма без подтверждающего документа",IF(F18="","не указано, подписан ли документ второй стороной",IF(F18="нет","заявлять можно, но обосновывать придётся отдельно","строка заполнена")))))</f>
        <v/>
      </c>
    </row>
    <row r="19">
      <c r="A19" s="15">
        <f>IF(C19="","",ROW()-5)</f>
        <v/>
      </c>
      <c r="B19" s="16" t="n"/>
      <c r="C19" s="16" t="n"/>
      <c r="D19" s="17" t="n"/>
      <c r="E19" s="16" t="n"/>
      <c r="F19" s="16" t="n"/>
      <c r="G19" s="15">
        <f>IF(D19="","",IF(B19="","не выбрано основание",IF(E19="","ОШИБКА: сумма без подтверждающего документа",IF(F19="","не указано, подписан ли документ второй стороной",IF(F19="нет","заявлять можно, но обосновывать придётся отдельно","строка заполнена")))))</f>
        <v/>
      </c>
    </row>
    <row r="20">
      <c r="A20" s="15">
        <f>IF(C20="","",ROW()-5)</f>
        <v/>
      </c>
      <c r="B20" s="16" t="n"/>
      <c r="C20" s="16" t="n"/>
      <c r="D20" s="17" t="n"/>
      <c r="E20" s="16" t="n"/>
      <c r="F20" s="16" t="n"/>
      <c r="G20" s="15">
        <f>IF(D20="","",IF(B20="","не выбрано основание",IF(E20="","ОШИБКА: сумма без подтверждающего документа",IF(F20="","не указано, подписан ли документ второй стороной",IF(F20="нет","заявлять можно, но обосновывать придётся отдельно","строка заполнена")))))</f>
        <v/>
      </c>
    </row>
    <row r="21">
      <c r="A21" s="15">
        <f>IF(C21="","",ROW()-5)</f>
        <v/>
      </c>
      <c r="B21" s="16" t="n"/>
      <c r="C21" s="16" t="n"/>
      <c r="D21" s="17" t="n"/>
      <c r="E21" s="16" t="n"/>
      <c r="F21" s="16" t="n"/>
      <c r="G21" s="15">
        <f>IF(D21="","",IF(B21="","не выбрано основание",IF(E21="","ОШИБКА: сумма без подтверждающего документа",IF(F21="","не указано, подписан ли документ второй стороной",IF(F21="нет","заявлять можно, но обосновывать придётся отдельно","строка заполнена")))))</f>
        <v/>
      </c>
    </row>
    <row r="22">
      <c r="A22" s="15">
        <f>IF(C22="","",ROW()-5)</f>
        <v/>
      </c>
      <c r="B22" s="16" t="n"/>
      <c r="C22" s="16" t="n"/>
      <c r="D22" s="17" t="n"/>
      <c r="E22" s="16" t="n"/>
      <c r="F22" s="16" t="n"/>
      <c r="G22" s="15">
        <f>IF(D22="","",IF(B22="","не выбрано основание",IF(E22="","ОШИБКА: сумма без подтверждающего документа",IF(F22="","не указано, подписан ли документ второй стороной",IF(F22="нет","заявлять можно, но обосновывать придётся отдельно","строка заполнена")))))</f>
        <v/>
      </c>
    </row>
    <row r="23">
      <c r="A23" s="15">
        <f>IF(C23="","",ROW()-5)</f>
        <v/>
      </c>
      <c r="B23" s="16" t="n"/>
      <c r="C23" s="16" t="n"/>
      <c r="D23" s="17" t="n"/>
      <c r="E23" s="16" t="n"/>
      <c r="F23" s="16" t="n"/>
      <c r="G23" s="15">
        <f>IF(D23="","",IF(B23="","не выбрано основание",IF(E23="","ОШИБКА: сумма без подтверждающего документа",IF(F23="","не указано, подписан ли документ второй стороной",IF(F23="нет","заявлять можно, но обосновывать придётся отдельно","строка заполнена")))))</f>
        <v/>
      </c>
    </row>
    <row r="24">
      <c r="A24" s="15">
        <f>IF(C24="","",ROW()-5)</f>
        <v/>
      </c>
      <c r="B24" s="16" t="n"/>
      <c r="C24" s="16" t="n"/>
      <c r="D24" s="17" t="n"/>
      <c r="E24" s="16" t="n"/>
      <c r="F24" s="16" t="n"/>
      <c r="G24" s="15">
        <f>IF(D24="","",IF(B24="","не выбрано основание",IF(E24="","ОШИБКА: сумма без подтверждающего документа",IF(F24="","не указано, подписан ли документ второй стороной",IF(F24="нет","заявлять можно, но обосновывать придётся отдельно","строка заполнена")))))</f>
        <v/>
      </c>
    </row>
    <row r="25">
      <c r="A25" s="15">
        <f>IF(C25="","",ROW()-5)</f>
        <v/>
      </c>
      <c r="B25" s="16" t="n"/>
      <c r="C25" s="16" t="n"/>
      <c r="D25" s="17" t="n"/>
      <c r="E25" s="16" t="n"/>
      <c r="F25" s="16" t="n"/>
      <c r="G25" s="15">
        <f>IF(D25="","",IF(B25="","не выбрано основание",IF(E25="","ОШИБКА: сумма без подтверждающего документа",IF(F25="","не указано, подписан ли документ второй стороной",IF(F25="нет","заявлять можно, но обосновывать придётся отдельно","строка заполнена")))))</f>
        <v/>
      </c>
    </row>
    <row r="26">
      <c r="A26" s="15">
        <f>IF(C26="","",ROW()-5)</f>
        <v/>
      </c>
      <c r="B26" s="16" t="n"/>
      <c r="C26" s="16" t="n"/>
      <c r="D26" s="17" t="n"/>
      <c r="E26" s="16" t="n"/>
      <c r="F26" s="16" t="n"/>
      <c r="G26" s="15">
        <f>IF(D26="","",IF(B26="","не выбрано основание",IF(E26="","ОШИБКА: сумма без подтверждающего документа",IF(F26="","не указано, подписан ли документ второй стороной",IF(F26="нет","заявлять можно, но обосновывать придётся отдельно","строка заполнена")))))</f>
        <v/>
      </c>
    </row>
    <row r="27">
      <c r="A27" s="15">
        <f>IF(C27="","",ROW()-5)</f>
        <v/>
      </c>
      <c r="B27" s="16" t="n"/>
      <c r="C27" s="16" t="n"/>
      <c r="D27" s="17" t="n"/>
      <c r="E27" s="16" t="n"/>
      <c r="F27" s="16" t="n"/>
      <c r="G27" s="15">
        <f>IF(D27="","",IF(B27="","не выбрано основание",IF(E27="","ОШИБКА: сумма без подтверждающего документа",IF(F27="","не указано, подписан ли документ второй стороной",IF(F27="нет","заявлять можно, но обосновывать придётся отдельно","строка заполнена")))))</f>
        <v/>
      </c>
    </row>
    <row r="28">
      <c r="A28" s="15">
        <f>IF(C28="","",ROW()-5)</f>
        <v/>
      </c>
      <c r="B28" s="16" t="n"/>
      <c r="C28" s="16" t="n"/>
      <c r="D28" s="17" t="n"/>
      <c r="E28" s="16" t="n"/>
      <c r="F28" s="16" t="n"/>
      <c r="G28" s="15">
        <f>IF(D28="","",IF(B28="","не выбрано основание",IF(E28="","ОШИБКА: сумма без подтверждающего документа",IF(F28="","не указано, подписан ли документ второй стороной",IF(F28="нет","заявлять можно, но обосновывать придётся отдельно","строка заполнена")))))</f>
        <v/>
      </c>
    </row>
    <row r="29">
      <c r="A29" s="15">
        <f>IF(C29="","",ROW()-5)</f>
        <v/>
      </c>
      <c r="B29" s="16" t="n"/>
      <c r="C29" s="16" t="n"/>
      <c r="D29" s="17" t="n"/>
      <c r="E29" s="16" t="n"/>
      <c r="F29" s="16" t="n"/>
      <c r="G29" s="15">
        <f>IF(D29="","",IF(B29="","не выбрано основание",IF(E29="","ОШИБКА: сумма без подтверждающего документа",IF(F29="","не указано, подписан ли документ второй стороной",IF(F29="нет","заявлять можно, но обосновывать придётся отдельно","строка заполнена")))))</f>
        <v/>
      </c>
    </row>
    <row r="30">
      <c r="A30" s="15">
        <f>IF(C30="","",ROW()-5)</f>
        <v/>
      </c>
      <c r="B30" s="16" t="n"/>
      <c r="C30" s="16" t="n"/>
      <c r="D30" s="17" t="n"/>
      <c r="E30" s="16" t="n"/>
      <c r="F30" s="16" t="n"/>
      <c r="G30" s="15">
        <f>IF(D30="","",IF(B30="","не выбрано основание",IF(E30="","ОШИБКА: сумма без подтверждающего документа",IF(F30="","не указано, подписан ли документ второй стороной",IF(F30="нет","заявлять можно, но обосновывать придётся отдельно","строка заполнена")))))</f>
        <v/>
      </c>
    </row>
    <row r="31">
      <c r="A31" s="2" t="inlineStr">
        <is>
          <t>Итоги по основаниям</t>
        </is>
      </c>
    </row>
    <row r="32">
      <c r="A32" s="20" t="inlineStr">
        <is>
          <t>материалы переданы генподрядчику</t>
        </is>
      </c>
      <c r="D32" s="22">
        <f>SUMIF(B6:B30,"материалы переданы генподрядчику",D6:D30)</f>
        <v/>
      </c>
    </row>
    <row r="33">
      <c r="A33" s="20" t="inlineStr">
        <is>
          <t>материалы и оборудование остались на объекте</t>
        </is>
      </c>
      <c r="D33" s="22">
        <f>SUMIF(B6:B30,"материалы и оборудование остались на объекте",D6:D30)</f>
        <v/>
      </c>
    </row>
    <row r="34">
      <c r="A34" s="20" t="inlineStr">
        <is>
          <t>затраты на мобилизацию и демобилизацию</t>
        </is>
      </c>
      <c r="D34" s="22">
        <f>SUMIF(B6:B30,"затраты на мобилизацию и демобилизацию",D6:D30)</f>
        <v/>
      </c>
    </row>
    <row r="35">
      <c r="A35" s="20" t="inlineStr">
        <is>
          <t>гарантийное удержание из оплаченных актов</t>
        </is>
      </c>
      <c r="D35" s="22">
        <f>SUMIF(B6:B30,"гарантийное удержание из оплаченных актов",D6:D30)</f>
        <v/>
      </c>
    </row>
    <row r="36">
      <c r="A36" s="20" t="inlineStr">
        <is>
          <t>иное</t>
        </is>
      </c>
      <c r="D36" s="22">
        <f>SUMIF(B6:B30,"иное",D6:D30)</f>
        <v/>
      </c>
    </row>
    <row r="37">
      <c r="A37" s="10" t="inlineStr">
        <is>
          <t>Итого заявляется встречного</t>
        </is>
      </c>
      <c r="D37" s="23">
        <f>SUM(D6:D30)</f>
        <v/>
      </c>
    </row>
    <row r="38">
      <c r="A38" s="10" t="inlineStr">
        <is>
          <t>Строк с ошибкой в столбце «Проверка»</t>
        </is>
      </c>
      <c r="D38" s="21">
        <f>COUNTIF(G6:G30,"ОШИБКА*")</f>
        <v/>
      </c>
    </row>
    <row r="40" ht="46" customHeight="1">
      <c r="A40" s="4" t="inlineStr">
        <is>
          <t>Гарантийное удержание, уже удержанное генподрядчиком из оплаченных актов, вносится сюда: это удержанная им часть оплаты по вашим актам, и в сальдо расчётов она на вашей стороне. Чем именно является удержание по вашему договору — частью цены с отложенным сроком, обеспечением или чем-то ещё — определяет формулировка договора, и от неё же зависит, когда его возвращают. Срок и событие возврата берите из договора — может оказаться, что срок ещё не наступил, и тогда это надо назвать в письме прямо, а не умолчать.</t>
        </is>
      </c>
    </row>
    <row r="41" ht="46" customHeight="1">
      <c r="A41" s="4" t="inlineStr">
        <is>
          <t>Затраты на мобилизацию и демобилизацию, закупку под объект и содержание площадки — самая спорная часть расчёта. Вопрос о том, подлежат ли они возмещению, зависит от основания прекращения договора и решается юристом. Вносите их с документами и не считайте включёнными в сальдо заранее: на листе «Сальдо» они видны отдельной строкой именно поэтому.</t>
        </is>
      </c>
    </row>
  </sheetData>
  <mergeCells count="12">
    <mergeCell ref="A33:C33"/>
    <mergeCell ref="A1:G1"/>
    <mergeCell ref="A36:C36"/>
    <mergeCell ref="A40:G40"/>
    <mergeCell ref="A31:G31"/>
    <mergeCell ref="A32:C32"/>
    <mergeCell ref="A3:G3"/>
    <mergeCell ref="A37:C37"/>
    <mergeCell ref="A34:C34"/>
    <mergeCell ref="A35:C35"/>
    <mergeCell ref="A41:G41"/>
    <mergeCell ref="A38:C38"/>
  </mergeCells>
  <dataValidations count="2">
    <dataValidation sqref="B6:B30" showDropDown="0" showInputMessage="0" showErrorMessage="0" allowBlank="1" error="Выберите основание из списка" type="list">
      <formula1>"материалы переданы генподрядчику,материалы и оборудование остались на объекте,затраты на мобилизацию и демобилизацию,гарантийное удержание из оплаченных актов,иное"</formula1>
    </dataValidation>
    <dataValidation sqref="F6:F3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48" customWidth="1" min="3" max="3"/>
  </cols>
  <sheetData>
    <row r="1" ht="22" customHeight="1">
      <c r="A1" s="1" t="inlineStr">
        <is>
          <t>Сальдо расчётов по договору</t>
        </is>
      </c>
    </row>
    <row r="3" ht="26" customHeight="1">
      <c r="A3" s="4" t="inlineStr">
        <is>
          <t>Читайте снизу вверх: сначала блок «Проверки». Если там есть строка, начинающаяся со слова ПРОВЕРЬТЕ, итог считать рано.</t>
        </is>
      </c>
    </row>
    <row r="5">
      <c r="A5" s="2" t="inlineStr">
        <is>
          <t>Поступило от генподрядчика</t>
        </is>
      </c>
    </row>
    <row r="6" ht="30" customHeight="1">
      <c r="A6" s="3" t="inlineStr">
        <is>
          <t>Аванс получен всего</t>
        </is>
      </c>
      <c r="B6" s="8">
        <f>'Договор и аванс'!B6</f>
        <v/>
      </c>
      <c r="C6" s="4" t="inlineStr">
        <is>
          <t>лист «Договор и аванс»</t>
        </is>
      </c>
    </row>
    <row r="7" ht="30" customHeight="1">
      <c r="A7" s="3" t="inlineStr">
        <is>
          <t>Оплачено деньгами по актам</t>
        </is>
      </c>
      <c r="B7" s="8">
        <f>SUM('Выполнено'!J6:J45)</f>
        <v/>
      </c>
      <c r="C7" s="4" t="inlineStr">
        <is>
          <t>лист «Выполнено», столбец «Оплачено деньгами», все строки</t>
        </is>
      </c>
    </row>
    <row r="8" ht="30" customHeight="1">
      <c r="A8" s="20" t="inlineStr">
        <is>
          <t>Итого поступило</t>
        </is>
      </c>
      <c r="B8" s="23">
        <f>ROUND(B6+B7,2)</f>
        <v/>
      </c>
      <c r="C8" s="4" t="inlineStr"/>
    </row>
    <row r="10">
      <c r="A10" s="2" t="inlineStr">
        <is>
          <t>Принято работ</t>
        </is>
      </c>
    </row>
    <row r="11" ht="30" customHeight="1">
      <c r="A11" s="3" t="inlineStr">
        <is>
          <t>Стоимость работ по актам, подписанным обеими сторонами</t>
        </is>
      </c>
      <c r="B11" s="8">
        <f>SUMIF('Выполнено'!F6:F45,"подписан обеими сторонами",'Выполнено'!E6:E45)</f>
        <v/>
      </c>
      <c r="C11" s="4" t="inlineStr">
        <is>
          <t>часть выполненного, подтверждённая обеими сторонами</t>
        </is>
      </c>
    </row>
    <row r="12" ht="30" customHeight="1">
      <c r="A12" s="3" t="inlineStr">
        <is>
          <t>в том числе зачтено в счёт аванса</t>
        </is>
      </c>
      <c r="B12" s="8">
        <f>SUMIFS('Выполнено'!I6:I45,'Выполнено'!F6:F45,"подписан обеими сторонами")</f>
        <v/>
      </c>
      <c r="C12" s="4" t="inlineStr"/>
    </row>
    <row r="13" ht="30" customHeight="1">
      <c r="A13" s="3" t="inlineStr">
        <is>
          <t>в том числе оплачено деньгами</t>
        </is>
      </c>
      <c r="B13" s="8">
        <f>SUMIFS('Выполнено'!J6:J45,'Выполнено'!F6:F45,"подписан обеими сторонами")</f>
        <v/>
      </c>
      <c r="C13" s="4" t="inlineStr"/>
    </row>
    <row r="14" ht="30" customHeight="1">
      <c r="A14" s="3" t="inlineStr">
        <is>
          <t>не оплачено по подписанным актам</t>
        </is>
      </c>
      <c r="B14" s="8">
        <f>ROUND(B11-B12-B13,2)</f>
        <v/>
      </c>
      <c r="C14" s="4" t="inlineStr">
        <is>
          <t>задолженность генподрядчика перед вами по документам, подписанным обеими сторонами</t>
        </is>
      </c>
    </row>
    <row r="16">
      <c r="A16" s="2" t="inlineStr">
        <is>
          <t>Не закрытая актами часть</t>
        </is>
      </c>
    </row>
    <row r="17" ht="30" customHeight="1">
      <c r="A17" s="20" t="inlineStr">
        <is>
          <t>Аванс, не закрытый двусторонними актами</t>
        </is>
      </c>
      <c r="B17" s="23">
        <f>'Договор и аванс'!B17</f>
        <v/>
      </c>
      <c r="C17" s="4" t="inlineStr">
        <is>
          <t>аванс минус закрытое подписанными актами. Именно эту сумму, а не весь аванс, имеет смысл обсуждать как отправную точку; подлежит ли она возврату целиком — отдельный вопрос</t>
        </is>
      </c>
    </row>
    <row r="19">
      <c r="A19" s="2" t="inlineStr">
        <is>
          <t>Что заявляется против возврата</t>
        </is>
      </c>
    </row>
    <row r="20" ht="30" customHeight="1">
      <c r="A20" s="3" t="inlineStr">
        <is>
          <t>Работы переданы, акты не подписаны</t>
        </is>
      </c>
      <c r="B20" s="8">
        <f>SUMIF('Выполнено'!F6:F45,"передан, не подписан",'Выполнено'!E6:E45)</f>
        <v/>
      </c>
      <c r="C20" s="4" t="inlineStr">
        <is>
          <t>спорная часть. Работает только вместе с доказательством передачи</t>
        </is>
      </c>
    </row>
    <row r="21" ht="30" customHeight="1">
      <c r="A21" s="3" t="inlineStr">
        <is>
          <t>Работы переданы, акты подписаны односторонне</t>
        </is>
      </c>
      <c r="B21" s="8">
        <f>SUMIF('Выполнено'!F6:F45,"подписан односторонне",'Выполнено'!E6:E45)</f>
        <v/>
      </c>
      <c r="C21" s="4" t="inlineStr">
        <is>
          <t>отдельно от предыдущей строки: по пункту 4 статьи 753 ГК РФ это документы разного веса. Что даёт односторонний акт в вашем деле, оценивает юрист — см. лист «Как читать»</t>
        </is>
      </c>
    </row>
    <row r="22" ht="30" customHeight="1">
      <c r="A22" s="3" t="inlineStr">
        <is>
          <t>Материалы и оборудование</t>
        </is>
      </c>
      <c r="B22" s="8">
        <f>SUMIF('Встречное'!B6:B30,"материалы переданы генподрядчику",'Встречное'!D6:D30)+SUMIF('Встречное'!B6:B30,"материалы и оборудование остались на объекте",'Встречное'!D6:D30)</f>
        <v/>
      </c>
      <c r="C22" s="4" t="inlineStr"/>
    </row>
    <row r="23" ht="30" customHeight="1">
      <c r="A23" s="3" t="inlineStr">
        <is>
          <t>Затраты на мобилизацию и демобилизацию</t>
        </is>
      </c>
      <c r="B23" s="8">
        <f>SUMIF('Встречное'!B6:B30,"затраты на мобилизацию и демобилизацию",'Встречное'!D6:D30)</f>
        <v/>
      </c>
      <c r="C23" s="4" t="inlineStr">
        <is>
          <t>самая спорная строка расчёта: зависит от основания прекращения договора, оценивает юрист</t>
        </is>
      </c>
    </row>
    <row r="24" ht="30" customHeight="1">
      <c r="A24" s="3" t="inlineStr">
        <is>
          <t>Гарантийное удержание из оплаченных актов</t>
        </is>
      </c>
      <c r="B24" s="8">
        <f>SUMIF('Встречное'!B6:B30,"гарантийное удержание из оплаченных актов",'Встречное'!D6:D30)</f>
        <v/>
      </c>
      <c r="C24" s="4" t="inlineStr">
        <is>
          <t>ваши деньги у генподрядчика. Проверьте по договору, наступил ли срок возврата</t>
        </is>
      </c>
    </row>
    <row r="25" ht="30" customHeight="1">
      <c r="A25" s="3" t="inlineStr">
        <is>
          <t>Иное</t>
        </is>
      </c>
      <c r="B25" s="8">
        <f>SUMIF('Встречное'!B6:B30,"иное",'Встречное'!D6:D30)</f>
        <v/>
      </c>
      <c r="C25" s="4" t="inlineStr"/>
    </row>
    <row r="26" ht="30" customHeight="1">
      <c r="A26" s="3" t="inlineStr">
        <is>
          <t>Задолженность по принятым и не оплаченным работам</t>
        </is>
      </c>
      <c r="B26" s="8">
        <f>B14</f>
        <v/>
      </c>
      <c r="C26" s="4" t="inlineStr">
        <is>
          <t>из блока «Принято работ»</t>
        </is>
      </c>
    </row>
    <row r="27" ht="30" customHeight="1">
      <c r="A27" s="20" t="inlineStr">
        <is>
          <t>Итого заявляется против возврата</t>
        </is>
      </c>
      <c r="B27" s="23">
        <f>ROUND(SUM(B20:B26),2)</f>
        <v/>
      </c>
      <c r="C27" s="4" t="inlineStr"/>
    </row>
    <row r="29">
      <c r="A29" s="2" t="inlineStr">
        <is>
          <t>Итог</t>
        </is>
      </c>
    </row>
    <row r="30" ht="30" customHeight="1">
      <c r="A30" s="3" t="inlineStr">
        <is>
          <t>Требуют вернуть</t>
        </is>
      </c>
      <c r="B30" s="8">
        <f>'Договор и аванс'!B11</f>
        <v/>
      </c>
      <c r="C30" s="4" t="inlineStr">
        <is>
          <t>из требования</t>
        </is>
      </c>
    </row>
    <row r="31" ht="30" customHeight="1">
      <c r="A31" s="20" t="inlineStr">
        <is>
          <t>Не закрыто двусторонними актами</t>
        </is>
      </c>
      <c r="B31" s="23">
        <f>B17</f>
        <v/>
      </c>
      <c r="C31" s="4" t="inlineStr">
        <is>
          <t>с этой суммы начинается разговор. Что из неё подлежит возврату — вопрос основания прекращения договора и его условий, не арифметики</t>
        </is>
      </c>
    </row>
    <row r="32" ht="30" customHeight="1">
      <c r="A32" s="20" t="inlineStr">
        <is>
          <t>Сальдо с учётом заявленного встречного</t>
        </is>
      </c>
      <c r="B32" s="23">
        <f>ROUND(B17-B27,2)</f>
        <v/>
      </c>
      <c r="C32" s="4" t="inlineStr">
        <is>
          <t>положительное — к возврату, отрицательное — в вашу пользу. Это ваша позиция, а не результат: встречное надо обосновать документами</t>
        </is>
      </c>
    </row>
    <row r="33" ht="30" customHeight="1">
      <c r="A33" s="3" t="inlineStr">
        <is>
          <t>Направление сальдо</t>
        </is>
      </c>
      <c r="B33" s="24">
        <f>IF(B32&gt;0,"к возврату генподрядчику",IF(B32&lt;0,"в вашу пользу","ноль"))</f>
        <v/>
      </c>
      <c r="C33" s="4" t="inlineStr"/>
    </row>
    <row r="34" ht="30" customHeight="1">
      <c r="A34" s="3" t="inlineStr">
        <is>
          <t>Расхождение между требованием и незакрытой частью</t>
        </is>
      </c>
      <c r="B34" s="8">
        <f>ROUND(B30-B31,2)</f>
        <v/>
      </c>
      <c r="C34" s="4" t="inlineStr">
        <is>
          <t>ровно эта сумма требуется с вас сверх незакрытого актами. Она и есть предмет вашего ответа</t>
        </is>
      </c>
    </row>
    <row r="36">
      <c r="A36" s="2" t="inlineStr">
        <is>
          <t>Проверки</t>
        </is>
      </c>
    </row>
    <row r="37" ht="32" customHeight="1">
      <c r="A37" s="3" t="inlineStr">
        <is>
          <t>Сальдо сходится двумя способами</t>
        </is>
      </c>
      <c r="B37" s="25">
        <f>IF(ROUND(B11-B8,2)=ROUND(B14-B17,2),"сходится","ПРОВЕРЬТЕ: деньги приходили под акты, которые не подписаны обеими сторонами — расхождение "&amp;ROUND((B11-B8)-(B14-B17),2))</f>
        <v/>
      </c>
      <c r="C37" s="4" t="inlineStr">
        <is>
          <t>обороты (принято минус поступило) сверяются с расчётом от аванса. Расхождение — не поломка, а находка: платёж лёг на неподписанный акт</t>
        </is>
      </c>
    </row>
    <row r="38" ht="32" customHeight="1">
      <c r="A38" s="3" t="inlineStr">
        <is>
          <t>Ошибки в реестре «Выполнено»</t>
        </is>
      </c>
      <c r="B38" s="25">
        <f>IF(COUNTIF('Выполнено'!L6:L45,"ОШИБКА*")=0,"нет","ПРОВЕРЬТЕ: строк с ошибкой — "&amp;COUNTIF('Выполнено'!L6:L45,"ОШИБКА*"))</f>
        <v/>
      </c>
      <c r="C38" s="4" t="inlineStr">
        <is>
          <t>столбец «Проверка» на листе «Выполнено»</t>
        </is>
      </c>
    </row>
    <row r="39" ht="32" customHeight="1">
      <c r="A39" s="3" t="inlineStr">
        <is>
          <t>Ошибки в реестре «Встречное»</t>
        </is>
      </c>
      <c r="B39" s="25">
        <f>IF(COUNTIF('Встречное'!G6:G30,"ОШИБКА*")=0,"нет","ПРОВЕРЬТЕ: сумм без подтверждающего документа — "&amp;COUNTIF('Встречное'!G6:G30,"ОШИБКА*"))</f>
        <v/>
      </c>
      <c r="C39" s="4" t="inlineStr">
        <is>
          <t>сумма без документа в письме работает против вас</t>
        </is>
      </c>
    </row>
    <row r="40" ht="32" customHeight="1">
      <c r="A40" s="3" t="inlineStr">
        <is>
          <t>Заполнение листа «Договор и аванс»</t>
        </is>
      </c>
      <c r="B40" s="25">
        <f>'Договор и аванс'!B19</f>
        <v/>
      </c>
      <c r="C40" s="4" t="inlineStr"/>
    </row>
    <row r="41" ht="32" customHeight="1">
      <c r="A41" s="3" t="inlineStr">
        <is>
          <t>Требование больше полученного аванса</t>
        </is>
      </c>
      <c r="B41" s="25">
        <f>IF(B30&gt;B6+0.01,"ПРОВЕРЬТЕ: требуют больше, чем было получено авансом","нет")</f>
        <v/>
      </c>
      <c r="C41" s="4" t="inlineStr">
        <is>
          <t>типовая ошибка второй стороны: в требование попадают суммы, авансом не являющиеся</t>
        </is>
      </c>
    </row>
    <row r="42" ht="32" customHeight="1">
      <c r="A42" s="3" t="inlineStr">
        <is>
          <t>Есть акты, переданные без подтверждения передачи</t>
        </is>
      </c>
      <c r="B42" s="25">
        <f>IF(COUNTIFS('Выполнено'!F6:F45,"передан, не подписан",'Выполнено'!H6:H45,"")=0,"нет","ПРОВЕРЬТЕ: неподписанных актов без доказательства передачи — "&amp;COUNTIFS('Выполнено'!F6:F45,"передан, не подписан",'Выполнено'!H6:H45,""))</f>
        <v/>
      </c>
      <c r="C42" s="4" t="inlineStr">
        <is>
          <t>такой акт в переписке не работает: передача доказывается описью, отчётом об отслеживании, входящим штампом</t>
        </is>
      </c>
    </row>
    <row r="44" ht="46" customHeight="1">
      <c r="A44" s="4" t="inlineStr">
        <is>
          <t>Сальдо — это ваша позиция, посчитанная по вашим документам, а не решение по спору. Вторая сторона посчитает своё, и разница между двумя расчётами и есть то, о чём пойдёт разговор. Ценность этого листа в том, что ваша цифра появляется раньше и опирается на перечень документов, а не на слова.</t>
        </is>
      </c>
    </row>
  </sheetData>
  <mergeCells count="9">
    <mergeCell ref="A10:C10"/>
    <mergeCell ref="A19:C19"/>
    <mergeCell ref="A36:C36"/>
    <mergeCell ref="A44:C44"/>
    <mergeCell ref="A1:C1"/>
    <mergeCell ref="A5:C5"/>
    <mergeCell ref="A3:C3"/>
    <mergeCell ref="A29:C29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40" customWidth="1" min="4" max="4"/>
  </cols>
  <sheetData>
    <row r="1" ht="22" customHeight="1">
      <c r="A1" s="1" t="inlineStr">
        <is>
          <t>Акт сверки взаимных расчётов — печатная форма</t>
        </is>
      </c>
    </row>
    <row r="3" ht="30" customHeight="1">
      <c r="A3" s="4" t="inlineStr">
        <is>
          <t>Ни одно число в этой форме не вводится руками: все они — ссылки на листы расчёта. Правьте расчёт, а не форму. Форма, разошедшаяся с расчётом, подписывается быстрее, чем обнаруживается.</t>
        </is>
      </c>
    </row>
    <row r="4" ht="30" customHeight="1">
      <c r="A4" s="26" t="inlineStr">
        <is>
          <t>Не подписывайте акт сверки, присланный второй стороной, пока ваш расчёт не готов и суммы не сошлись. Какое значение подписанный вами документ будет иметь в вашем деле, оценивает юрист — и оценивает уже по факту, изменить который нельзя.</t>
        </is>
      </c>
    </row>
    <row r="6">
      <c r="A6" s="27" t="inlineStr">
        <is>
          <t>АКТ СВЕРКИ ВЗАИМНЫХ РАСЧЁТОВ</t>
        </is>
      </c>
    </row>
    <row r="7">
      <c r="A7" s="28" t="inlineStr">
        <is>
          <t>по договору субподряда № ________ от __________ по состоянию на __________</t>
        </is>
      </c>
    </row>
    <row r="9">
      <c r="A9" s="10" t="inlineStr">
        <is>
          <t>По данным Субподрядчика</t>
        </is>
      </c>
    </row>
    <row r="10" ht="32" customHeight="1">
      <c r="A10" s="14" t="inlineStr">
        <is>
          <t>Основание</t>
        </is>
      </c>
      <c r="B10" s="14" t="inlineStr">
        <is>
          <t>Дебет (за генподрядчиком)</t>
        </is>
      </c>
      <c r="C10" s="14" t="inlineStr">
        <is>
          <t>Кредит (за субподрядчиком)</t>
        </is>
      </c>
      <c r="D10" s="14" t="inlineStr">
        <is>
          <t>Откуда число</t>
        </is>
      </c>
    </row>
    <row r="11" ht="28" customHeight="1">
      <c r="A11" s="3" t="inlineStr">
        <is>
          <t>Сальдо на начало расчётов</t>
        </is>
      </c>
      <c r="B11" s="29" t="n">
        <v>0</v>
      </c>
      <c r="C11" s="29" t="n">
        <v>0</v>
      </c>
      <c r="D11" s="4" t="inlineStr">
        <is>
          <t>принято равным нулю: расчёты по договору начинаются с аванса</t>
        </is>
      </c>
    </row>
    <row r="12" ht="28" customHeight="1">
      <c r="A12" s="3" t="inlineStr">
        <is>
          <t>Работы приняты по актам, подписанным обеими сторонами</t>
        </is>
      </c>
      <c r="B12" s="30">
        <f>'Сальдо'!B11</f>
        <v/>
      </c>
      <c r="C12" s="29" t="n">
        <v>0</v>
      </c>
      <c r="D12" s="4" t="inlineStr">
        <is>
          <t>лист «Сальдо», блок «Принято работ»</t>
        </is>
      </c>
    </row>
    <row r="13" ht="28" customHeight="1">
      <c r="A13" s="3" t="inlineStr">
        <is>
          <t>Получен аванс</t>
        </is>
      </c>
      <c r="B13" s="29" t="n">
        <v>0</v>
      </c>
      <c r="C13" s="30">
        <f>'Сальдо'!B6</f>
        <v/>
      </c>
      <c r="D13" s="4" t="inlineStr">
        <is>
          <t>лист «Сальдо»</t>
        </is>
      </c>
    </row>
    <row r="14" ht="28" customHeight="1">
      <c r="A14" s="3" t="inlineStr">
        <is>
          <t>Оплачено деньгами по актам</t>
        </is>
      </c>
      <c r="B14" s="29" t="n">
        <v>0</v>
      </c>
      <c r="C14" s="30">
        <f>'Сальдо'!B7</f>
        <v/>
      </c>
      <c r="D14" s="4" t="inlineStr">
        <is>
          <t>лист «Сальдо»</t>
        </is>
      </c>
    </row>
    <row r="15">
      <c r="A15" s="10" t="inlineStr">
        <is>
          <t>Обороты за период</t>
        </is>
      </c>
      <c r="B15" s="23">
        <f>ROUND(SUM(B11:B14),2)</f>
        <v/>
      </c>
      <c r="C15" s="23">
        <f>ROUND(SUM(C11:C14),2)</f>
        <v/>
      </c>
    </row>
    <row r="16">
      <c r="A16" s="10" t="inlineStr">
        <is>
          <t>Сальдо на конец периода</t>
        </is>
      </c>
      <c r="B16" s="23">
        <f>ROUND(B15-C15,2)</f>
        <v/>
      </c>
      <c r="D16" s="4" t="inlineStr">
        <is>
          <t>положительное — задолженность генподрядчика перед вами; отрицательное — за вами</t>
        </is>
      </c>
    </row>
    <row r="18" ht="32" customHeight="1">
      <c r="A18" s="3">
        <f>IF(B16&lt;0,"По данным Субподрядчика на указанную дату за Субподрядчиком числится задолженность в размере, руб.:","По данным Субподрядчика на указанную дату за Генподрядчиком числится задолженность в размере, руб.:")</f>
        <v/>
      </c>
      <c r="D18" s="23">
        <f>ROUND(MAX(B16,-B16),2)</f>
        <v/>
      </c>
    </row>
    <row r="19" ht="46" customHeight="1">
      <c r="A19" s="3" t="inlineStr">
        <is>
          <t>Отдельно, вне сальдо настоящего акта, Субподрядчик заявляет о наличии выполненных и переданных работ, акты по которым Генподрядчиком не подписаны, а также о затратах и удержаниях, перечисленных в приложении к настоящему акту. Настоящий акт составлен по данным одной стороны и не является признанием сумм, в нём не отражённых.</t>
        </is>
      </c>
    </row>
    <row r="21">
      <c r="A21" s="10" t="inlineStr">
        <is>
          <t>От Субподрядчика</t>
        </is>
      </c>
      <c r="C21" s="10" t="inlineStr">
        <is>
          <t>От Генподрядчика</t>
        </is>
      </c>
    </row>
    <row r="22">
      <c r="A22" s="31" t="inlineStr">
        <is>
          <t>_______________ / ______________ /</t>
        </is>
      </c>
      <c r="C22" s="31" t="inlineStr">
        <is>
          <t>_______________ / ______________ /</t>
        </is>
      </c>
    </row>
    <row r="23">
      <c r="A23" s="31" t="inlineStr">
        <is>
          <t>М.П.</t>
        </is>
      </c>
      <c r="C23" s="31" t="inlineStr">
        <is>
          <t>М.П.</t>
        </is>
      </c>
    </row>
    <row r="25" ht="44" customHeight="1">
      <c r="A25" s="4" t="inlineStr">
        <is>
          <t>Направляйте акт тем каналом, который назван в договоре как порядок обмена юридически значимыми сообщениями, и сохраняйте доказательство отправки. Неподписанный второй стороной акт всё равно имеет смысл: он фиксирует, что ваш расчёт был направлен и когда.</t>
        </is>
      </c>
    </row>
  </sheetData>
  <mergeCells count="8">
    <mergeCell ref="A1:D1"/>
    <mergeCell ref="A6:D6"/>
    <mergeCell ref="A4:D4"/>
    <mergeCell ref="A3:D3"/>
    <mergeCell ref="A18:C18"/>
    <mergeCell ref="A7:D7"/>
    <mergeCell ref="A25:D25"/>
    <mergeCell ref="A19:D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60" customWidth="1" min="3" max="3"/>
  </cols>
  <sheetData>
    <row r="1" ht="22" customHeight="1">
      <c r="A1" s="1" t="inlineStr">
        <is>
          <t>Пример заполнения — цифры условные</t>
        </is>
      </c>
    </row>
    <row r="3" ht="34" customHeight="1">
      <c r="A3" s="4" t="inlineStr">
        <is>
          <t>Переносить отсюда нечего. Пример показывает формат и порядок, а не значения: цифры в нём выдуманы для наглядности, и ни одна из них не является типовой, рекомендуемой или взятой из нормы.</t>
        </is>
      </c>
    </row>
    <row r="5">
      <c r="A5" s="2" t="inlineStr">
        <is>
          <t>Лист «Договор и аванс»</t>
        </is>
      </c>
    </row>
    <row r="6" ht="28" customHeight="1">
      <c r="A6" s="3" t="inlineStr">
        <is>
          <t>Цена работ по договору</t>
        </is>
      </c>
      <c r="B6" s="32" t="inlineStr">
        <is>
          <t>12 000 000,00</t>
        </is>
      </c>
    </row>
    <row r="7" ht="28" customHeight="1">
      <c r="A7" s="3" t="inlineStr">
        <is>
          <t>Аванс получен всего</t>
        </is>
      </c>
      <c r="B7" s="32" t="inlineStr">
        <is>
          <t>3 600 000,00</t>
        </is>
      </c>
    </row>
    <row r="8" ht="28" customHeight="1">
      <c r="A8" s="3" t="inlineStr">
        <is>
          <t>Основание прекращения договора</t>
        </is>
      </c>
      <c r="B8" s="32" t="inlineStr">
        <is>
          <t>генподрядчик отказался от исполнения, о наших нарушениях не заявлено</t>
        </is>
      </c>
    </row>
    <row r="9" ht="28" customHeight="1">
      <c r="A9" s="3" t="inlineStr">
        <is>
          <t>Сумма, которую требуют вернуть</t>
        </is>
      </c>
      <c r="B9" s="32" t="inlineStr">
        <is>
          <t>3 600 000,00</t>
        </is>
      </c>
    </row>
    <row r="10" ht="46" customHeight="1">
      <c r="A10" s="4" t="inlineStr">
        <is>
          <t>Требуют весь аванс целиком — это и есть типовая формулировка, ради которой файл существует.</t>
        </is>
      </c>
    </row>
    <row r="11">
      <c r="A11" s="2" t="inlineStr">
        <is>
          <t>Лист «Выполнено»</t>
        </is>
      </c>
    </row>
    <row r="12" ht="28" customHeight="1">
      <c r="A12" s="3" t="inlineStr">
        <is>
          <t>КС-2 № 1, подписан обеими сторонами</t>
        </is>
      </c>
      <c r="B12" s="32" t="inlineStr">
        <is>
          <t>2 000 000,00, зачтено в счёт аванса 600 000,00, оплачено деньгами 1 400 000,00</t>
        </is>
      </c>
    </row>
    <row r="13" ht="28" customHeight="1">
      <c r="A13" s="3" t="inlineStr">
        <is>
          <t>КС-2 № 2, подписан обеими сторонами</t>
        </is>
      </c>
      <c r="B13" s="32" t="inlineStr">
        <is>
          <t>1 500 000,00, зачтено 450 000,00, оплачено 950 000,00</t>
        </is>
      </c>
    </row>
    <row r="14" ht="28" customHeight="1">
      <c r="A14" s="3" t="inlineStr">
        <is>
          <t>КС-2 № 3, передан, не подписан</t>
        </is>
      </c>
      <c r="B14" s="32" t="inlineStr">
        <is>
          <t>1 100 000,00, дата передачи есть, подтверждение — опись и трек</t>
        </is>
      </c>
    </row>
    <row r="15">
      <c r="A15" s="2" t="inlineStr">
        <is>
          <t>Лист «Встречное»</t>
        </is>
      </c>
    </row>
    <row r="16" ht="28" customHeight="1">
      <c r="A16" s="3" t="inlineStr">
        <is>
          <t>Материалы оставлены на объекте</t>
        </is>
      </c>
      <c r="B16" s="32" t="inlineStr">
        <is>
          <t>480 000,00, накладная подписана прорабом генподрядчика</t>
        </is>
      </c>
    </row>
    <row r="17" ht="28" customHeight="1">
      <c r="A17" s="3" t="inlineStr">
        <is>
          <t>Гарантийное удержание из оплаченных актов</t>
        </is>
      </c>
      <c r="B17" s="32" t="inlineStr">
        <is>
          <t>175 000,00</t>
        </is>
      </c>
    </row>
    <row r="18">
      <c r="A18" s="2" t="inlineStr">
        <is>
          <t>Что получится на листе «Сальдо»</t>
        </is>
      </c>
    </row>
    <row r="19" ht="28" customHeight="1">
      <c r="A19" s="3" t="inlineStr">
        <is>
          <t>Зачтено в счёт аванса подписанными актами</t>
        </is>
      </c>
      <c r="B19" s="32" t="inlineStr">
        <is>
          <t>1 050 000,00</t>
        </is>
      </c>
    </row>
    <row r="20" ht="28" customHeight="1">
      <c r="A20" s="3" t="inlineStr">
        <is>
          <t>Аванс, не закрытый двусторонними актами</t>
        </is>
      </c>
      <c r="B20" s="32" t="inlineStr">
        <is>
          <t>2 550 000,00</t>
        </is>
      </c>
    </row>
    <row r="21" ht="28" customHeight="1">
      <c r="A21" s="3" t="inlineStr">
        <is>
          <t>Не оплачено по подписанным актам</t>
        </is>
      </c>
      <c r="B21" s="32" t="inlineStr">
        <is>
          <t>100 000,00</t>
        </is>
      </c>
    </row>
    <row r="22" ht="28" customHeight="1">
      <c r="A22" s="3" t="inlineStr">
        <is>
          <t>Итого заявляется против возврата</t>
        </is>
      </c>
      <c r="B22" s="32" t="inlineStr">
        <is>
          <t>1 100 000 + 480 000 + 175 000 + 100 000 = 1 855 000,00</t>
        </is>
      </c>
    </row>
    <row r="23" ht="28" customHeight="1">
      <c r="A23" s="3" t="inlineStr">
        <is>
          <t>Сальдо с учётом заявленного встречного</t>
        </is>
      </c>
      <c r="B23" s="32" t="inlineStr">
        <is>
          <t>695 000,00 к возврату</t>
        </is>
      </c>
    </row>
    <row r="24" ht="28" customHeight="1">
      <c r="A24" s="3" t="inlineStr">
        <is>
          <t>Расхождение между требованием и незакрытой частью</t>
        </is>
      </c>
      <c r="B24" s="32" t="inlineStr">
        <is>
          <t>1 050 000,00</t>
        </is>
      </c>
    </row>
    <row r="25" ht="46" customHeight="1">
      <c r="A25" s="4" t="inlineStr">
        <is>
          <t>Разница между «вернуть 3 600 000» и «вернуть 695 000» — это и есть предмет письма. Ни одна из этих сумм не является решением по спору: встречное надо обосновать, и часть обоснования вторая сторона оспорит. Но разговор теперь идёт о разнице, а не о всей сумме.</t>
        </is>
      </c>
    </row>
  </sheetData>
  <mergeCells count="23">
    <mergeCell ref="A25:C25"/>
    <mergeCell ref="B16:C16"/>
    <mergeCell ref="B7:C7"/>
    <mergeCell ref="A18:C18"/>
    <mergeCell ref="B22:C22"/>
    <mergeCell ref="A3:C3"/>
    <mergeCell ref="B12:C12"/>
    <mergeCell ref="B21:C21"/>
    <mergeCell ref="A5:C5"/>
    <mergeCell ref="B23:C23"/>
    <mergeCell ref="B14:C14"/>
    <mergeCell ref="B17:C17"/>
    <mergeCell ref="B8:C8"/>
    <mergeCell ref="A10:C10"/>
    <mergeCell ref="B13:C13"/>
    <mergeCell ref="B19:C19"/>
    <mergeCell ref="A15:C15"/>
    <mergeCell ref="B9:C9"/>
    <mergeCell ref="B6:C6"/>
    <mergeCell ref="B24:C24"/>
    <mergeCell ref="A11:C11"/>
    <mergeCell ref="A1:C1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2026-08-01T13:38:30Z</dcterms:created>
  <dcterms:modified xsi:type="dcterms:W3CDTF">2026-08-01T13:38:30Z</dcterms:modified>
</cp:coreProperties>
</file>