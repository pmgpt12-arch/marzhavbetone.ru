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словия" sheetId="1" state="visible" r:id="rId1"/>
    <sheet name="График КС" sheetId="2" state="visible" r:id="rId2"/>
    <sheet name="Профиль А" sheetId="3" state="visible" r:id="rId3"/>
    <sheet name="Профиль Б" sheetId="4" state="visible" r:id="rId4"/>
    <sheet name="Сравнение" sheetId="5" state="visible" r:id="rId5"/>
    <sheet name="Как читать" sheetId="6" state="visible" r:id="rId6"/>
    <sheet name="Пример заполне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  <font>
      <b/>
      <sz val="10"/>
      <color rgb="FFFFFFFF"/>
      <name val="Calibri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  <fill>
      <patternFill patternType="solid">
        <fgColor rgb="FFFFFFFF"/>
      </patternFill>
    </fill>
    <fill>
      <patternFill patternType="solid">
        <fgColor rgb="FF27333D"/>
      </patternFill>
    </fill>
    <fill>
      <patternFill patternType="solid">
        <fgColor rgb="FFFBF7EB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hair">
        <color rgb="FFDEE4E7"/>
      </left>
      <right style="hair">
        <color rgb="FFDEE4E7"/>
      </right>
      <top style="thin">
        <color rgb="FF999999"/>
      </top>
      <bottom style="hair">
        <color rgb="FFDEE4E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4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4" fontId="5" fillId="4" borderId="1" pivotButton="0" quotePrefix="0" xfId="0"/>
    <xf numFmtId="1" fontId="5" fillId="4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pivotButton="0" quotePrefix="0" xfId="0"/>
    <xf numFmtId="0" fontId="2" fillId="0" borderId="1" pivotButton="0" quotePrefix="0" xfId="0"/>
    <xf numFmtId="0" fontId="6" fillId="0" borderId="0" applyAlignment="1" pivotButton="0" quotePrefix="0" xfId="0">
      <alignment vertical="top" wrapText="1"/>
    </xf>
    <xf numFmtId="1" fontId="3" fillId="0" borderId="1" pivotButton="0" quotePrefix="0" xfId="0"/>
    <xf numFmtId="0" fontId="6" fillId="0" borderId="1" pivotButton="0" quotePrefix="0" xfId="0"/>
    <xf numFmtId="2" fontId="3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1" fontId="2" fillId="0" borderId="1" pivotButton="0" quotePrefix="0" xfId="0"/>
    <xf numFmtId="4" fontId="3" fillId="0" borderId="1" pivotButton="0" quotePrefix="0" xfId="0"/>
    <xf numFmtId="4" fontId="7" fillId="0" borderId="1" pivotButton="0" quotePrefix="0" xfId="0"/>
    <xf numFmtId="1" fontId="7" fillId="0" borderId="1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1" fillId="5" borderId="2" pivotButton="0" quotePrefix="0" xfId="0"/>
    <xf numFmtId="0" fontId="1" fillId="5" borderId="2" pivotButton="0" quotePrefix="0" xfId="0"/>
    <xf numFmtId="0" fontId="1" fillId="5" borderId="2" pivotButton="0" quotePrefix="0" xfId="0"/>
    <xf numFmtId="0" fontId="1" fillId="5" borderId="2" pivotButton="0" quotePrefix="0" xfId="0"/>
    <xf numFmtId="0" fontId="1" fillId="5" borderId="2" pivotButton="0" quotePrefix="0" xfId="0"/>
    <xf numFmtId="0" fontId="1" fillId="5" borderId="2" pivotButton="0" quotePrefix="0" xfId="0"/>
    <xf numFmtId="0" fontId="1" fillId="5" borderId="2" pivotButton="0" quotePrefix="0" xfId="0"/>
    <xf numFmtId="0" fontId="8" fillId="6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4" fontId="4" fillId="7" borderId="2" pivotButton="0" quotePrefix="0" xfId="0"/>
    <xf numFmtId="2" fontId="4" fillId="7" borderId="2" pivotButton="0" quotePrefix="0" xfId="0"/>
    <xf numFmtId="1" fontId="4" fillId="7" borderId="2" pivotButton="0" quotePrefix="0" xfId="0"/>
    <xf numFmtId="0" fontId="4" fillId="7" borderId="2" pivotButton="0" quotePrefix="0" xfId="0"/>
    <xf numFmtId="2" fontId="4" fillId="7" borderId="2" pivotButton="0" quotePrefix="0" xfId="0"/>
    <xf numFmtId="0" fontId="3" fillId="5" borderId="2" applyAlignment="1" pivotButton="0" quotePrefix="0" xfId="0">
      <alignment vertical="top" wrapText="1"/>
    </xf>
    <xf numFmtId="4" fontId="5" fillId="5" borderId="2" pivotButton="0" quotePrefix="0" xfId="0"/>
    <xf numFmtId="1" fontId="5" fillId="5" borderId="2" pivotButton="0" quotePrefix="0" xfId="0"/>
    <xf numFmtId="0" fontId="3" fillId="5" borderId="2" pivotButton="0" quotePrefix="0" xfId="0"/>
    <xf numFmtId="1" fontId="3" fillId="5" borderId="2" pivotButton="0" quotePrefix="0" xfId="0"/>
    <xf numFmtId="2" fontId="3" fillId="5" borderId="2" pivotButton="0" quotePrefix="0" xfId="0"/>
    <xf numFmtId="1" fontId="3" fillId="5" borderId="2" pivotButton="0" quotePrefix="0" xfId="0"/>
    <xf numFmtId="4" fontId="5" fillId="5" borderId="2" pivotButton="0" quotePrefix="0" xfId="0"/>
    <xf numFmtId="2" fontId="5" fillId="5" borderId="2" pivotButton="0" quotePrefix="0" xfId="0"/>
    <xf numFmtId="4" fontId="3" fillId="5" borderId="2" pivotButton="0" quotePrefix="0" xfId="0"/>
    <xf numFmtId="1" fontId="3" fillId="5" borderId="2" pivotButton="0" quotePrefix="0" xfId="0"/>
    <xf numFmtId="4" fontId="5" fillId="5" borderId="2" pivotButton="0" quotePrefix="0" xfId="0"/>
    <xf numFmtId="2" fontId="5" fillId="5" borderId="2" pivotButton="0" quotePrefix="0" xfId="0"/>
    <xf numFmtId="4" fontId="3" fillId="5" borderId="2" pivotButton="0" quotePrefix="0" xfId="0"/>
    <xf numFmtId="4" fontId="7" fillId="5" borderId="2" pivotButton="0" quotePrefix="0" xfId="0"/>
    <xf numFmtId="4" fontId="3" fillId="5" borderId="2" pivotButton="0" quotePrefix="0" xfId="0"/>
    <xf numFmtId="1" fontId="7" fillId="5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8" authorId="0" shapeId="0">
      <text>
        <t>Три порядка дают разный кассовый профиль при одном и том же размере аванса. Что именно меняется — в файле «Разбор четырёх условий».</t>
      </text>
    </comment>
    <comment ref="A17" authorId="0" shapeId="0">
      <text>
        <t>Отсрочка оплаты КС — не то же самое, что срок рассмотрения акта. Считайте от подписания акта до поступления денег, как это происходит у вас фактически.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62" customWidth="1" min="4" max="4"/>
  </cols>
  <sheetData>
    <row r="1">
      <c r="A1" s="31" t="inlineStr">
        <is>
          <t>Калькулятор условий аванса</t>
        </is>
      </c>
    </row>
    <row r="2" ht="46" customHeight="1">
      <c r="A2" s="2" t="inlineStr">
        <is>
          <t>Заполните жёлтые ячейки в двух колонках. Синим — то, что вводите вы; чёрным — то, что считают формулы. Сценарий А — условия, которые вам предлагают. Сценарий Б — условия, которые вы просите. Разницу между ними покажет лист «Сравнение»: она и есть предмет переговоров.</t>
        </is>
      </c>
    </row>
    <row r="4">
      <c r="A4" s="38" t="inlineStr">
        <is>
          <t>Условие</t>
        </is>
      </c>
      <c r="B4" s="38" t="inlineStr">
        <is>
          <t>Сценарий А</t>
        </is>
      </c>
      <c r="C4" s="38" t="inlineStr">
        <is>
          <t>Сценарий Б</t>
        </is>
      </c>
      <c r="D4" s="38" t="inlineStr">
        <is>
          <t>Что это и откуда взять</t>
        </is>
      </c>
    </row>
    <row r="5" ht="30" customHeight="1">
      <c r="A5" s="48" t="inlineStr">
        <is>
          <t>Сумма договора, руб.</t>
        </is>
      </c>
      <c r="B5" s="43" t="n"/>
      <c r="C5" s="43" t="n"/>
      <c r="D5" s="2" t="inlineStr">
        <is>
          <t>Цена работ по вашему договору субподряда. С НДС или без — как угодно, важно одно: все поля этого листа в одной базе.</t>
        </is>
      </c>
    </row>
    <row r="6" ht="30" customHeight="1">
      <c r="A6" s="48" t="inlineStr">
        <is>
          <t>Размер аванса, % от суммы договора</t>
        </is>
      </c>
      <c r="B6" s="44" t="n"/>
      <c r="C6" s="44" t="n"/>
      <c r="D6" s="2" t="inlineStr">
        <is>
          <t>Сколько процентов цены выплачивается авансом. Нулевой аванс — это тоже сценарий, и его полезно посчитать: он показывает цену вопроса целиком.</t>
        </is>
      </c>
    </row>
    <row r="7" ht="30" customHeight="1">
      <c r="A7" s="48" t="inlineStr">
        <is>
          <t>Месяц поступления аванса</t>
        </is>
      </c>
      <c r="B7" s="45" t="n"/>
      <c r="C7" s="45" t="n"/>
      <c r="D7" s="2" t="inlineStr">
        <is>
          <t>Номер месяца от старта объекта, в котором деньги реально приходят на счёт, а не в котором подписан договор. Разница обычно и есть месяц-два своих денег.</t>
        </is>
      </c>
    </row>
    <row r="8" ht="30" customHeight="1">
      <c r="A8" s="48" t="inlineStr">
        <is>
          <t>Порядок погашения аванса</t>
        </is>
      </c>
      <c r="B8" s="46" t="n"/>
      <c r="C8" s="46" t="n"/>
      <c r="D8" s="2" t="inlineStr">
        <is>
          <t>Выберите из списка одно из трёх значений. Список — внизу этого листа.</t>
        </is>
      </c>
    </row>
    <row r="9" ht="30" customHeight="1">
      <c r="A9" s="48" t="inlineStr">
        <is>
          <t>Доля выполнения, с которой начинается погашение, %</t>
        </is>
      </c>
      <c r="B9" s="44" t="n"/>
      <c r="C9" s="44" t="n"/>
      <c r="D9" s="2" t="inlineStr">
        <is>
          <t>Только для порядка «с отсрочкой до доли выполнения». Для двух других порядков поле не используется.</t>
        </is>
      </c>
    </row>
    <row r="10" ht="30" customHeight="1">
      <c r="A10" s="48" t="inlineStr">
        <is>
          <t>Ставка обеспечения аванса, % годовых</t>
        </is>
      </c>
      <c r="B10" s="44" t="n"/>
      <c r="C10" s="44" t="n"/>
      <c r="D10" s="2" t="inlineStr">
        <is>
          <t>Банковская гарантия или страхование возврата аванса. Ставку берите из предложения банка или страховщика на сегодня. Если обеспечение не требуется — 0.</t>
        </is>
      </c>
    </row>
    <row r="11" ht="30" customHeight="1">
      <c r="A11" s="48" t="inlineStr">
        <is>
          <t>Срок действия обеспечения, мес.</t>
        </is>
      </c>
      <c r="B11" s="45" t="n"/>
      <c r="C11" s="45" t="n"/>
      <c r="D11" s="2" t="inlineStr">
        <is>
          <t>Из требования генподрядчика: обычно срок объекта плюс запас. Ставка годовая, поэтому длина срока прямо умножает стоимость.</t>
        </is>
      </c>
    </row>
    <row r="12" ht="30" customHeight="1">
      <c r="A12" s="48" t="inlineStr">
        <is>
          <t>Месяц оплаты обеспечения</t>
        </is>
      </c>
      <c r="B12" s="45" t="n"/>
      <c r="C12" s="45" t="n"/>
      <c r="D12" s="2" t="inlineStr">
        <is>
          <t>Комиссия чаще всего платится вперёд, до выдачи аванса. Поставьте месяц, в котором вы её фактически платите.</t>
        </is>
      </c>
    </row>
    <row r="13" ht="30" customHeight="1">
      <c r="A13" s="48" t="inlineStr">
        <is>
          <t>Гарантийное удержание, % от каждой КС</t>
        </is>
      </c>
      <c r="B13" s="44" t="n"/>
      <c r="C13" s="44" t="n"/>
      <c r="D13" s="2" t="inlineStr">
        <is>
          <t>Сколько генподрядчик удерживает из каждого акта. Удержание вычитается из той же КС, из которой гасится аванс: два изъятия из одного платежа складываются.</t>
        </is>
      </c>
    </row>
    <row r="14" ht="30" customHeight="1">
      <c r="A14" s="48" t="inlineStr">
        <is>
          <t>Месяц возврата гарантийного удержания</t>
        </is>
      </c>
      <c r="B14" s="45" t="n"/>
      <c r="C14" s="45" t="n"/>
      <c r="D14" s="2" t="inlineStr">
        <is>
          <t>Из договора. Если возврат наступает за пределами горизонта расчёта — поставьте 0, и удержанные деньги останутся замороженными до конца расчёта.</t>
        </is>
      </c>
    </row>
    <row r="15" ht="30" customHeight="1">
      <c r="A15" s="48" t="inlineStr">
        <is>
          <t>Доля возвращаемого удержания, %</t>
        </is>
      </c>
      <c r="B15" s="44" t="n"/>
      <c r="C15" s="44" t="n"/>
      <c r="D15" s="2" t="inlineStr">
        <is>
          <t>Если договор возвращает удержание частями, укажите долю той части, которая приходит в указанный месяц.</t>
        </is>
      </c>
    </row>
    <row r="16" ht="30" customHeight="1">
      <c r="A16" s="48" t="inlineStr">
        <is>
          <t>Срок объекта, мес.</t>
        </is>
      </c>
      <c r="B16" s="45" t="n"/>
      <c r="C16" s="45" t="n"/>
      <c r="D16" s="2" t="inlineStr">
        <is>
          <t>Продолжительность работ по графику. Используется для проверки: объём в графике КС за пределами срока — признак ошибки ввода.</t>
        </is>
      </c>
    </row>
    <row r="17" ht="30" customHeight="1">
      <c r="A17" s="48" t="inlineStr">
        <is>
          <t>Отсрочка оплаты КС, мес.</t>
        </is>
      </c>
      <c r="B17" s="45" t="n"/>
      <c r="C17" s="45" t="n"/>
      <c r="D17" s="2" t="inlineStr">
        <is>
          <t>Сколько месяцев проходит от подписания акта до денег на счёте. Это поле двигает кассу сильнее размера аванса — проверьте его в договоре, а не по памяти.</t>
        </is>
      </c>
    </row>
    <row r="18" ht="30" customHeight="1">
      <c r="A18" s="48" t="inlineStr">
        <is>
          <t>Себестоимость работ, % от суммы договора</t>
        </is>
      </c>
      <c r="B18" s="44" t="n"/>
      <c r="C18" s="44" t="n"/>
      <c r="D18" s="2" t="inlineStr">
        <is>
          <t>Ваши прямые затраты на выполнение: материалы, люди, техника, без прибыли и накладных, если вы их не считаете здесь.</t>
        </is>
      </c>
    </row>
    <row r="19" ht="30" customHeight="1">
      <c r="A19" s="48" t="inlineStr">
        <is>
          <t>Опережение расходов, мес.</t>
        </is>
      </c>
      <c r="B19" s="45" t="n"/>
      <c r="C19" s="45" t="n"/>
      <c r="D19" s="2" t="inlineStr">
        <is>
          <t>На сколько месяцев затраты идут впереди выполнения: закупка, завоз, мобилизация. Ради этого опережения аванс и берут.</t>
        </is>
      </c>
    </row>
    <row r="20" ht="30" customHeight="1">
      <c r="A20" s="48" t="inlineStr">
        <is>
          <t>Стартовые затраты до первой КС, руб.</t>
        </is>
      </c>
      <c r="B20" s="43" t="n"/>
      <c r="C20" s="43" t="n"/>
      <c r="D20" s="2" t="inlineStr">
        <is>
          <t>Мобилизация, бытовки, залоги, первый завоз — то, что тратится до первого акта.</t>
        </is>
      </c>
    </row>
    <row r="22">
      <c r="A22" s="9" t="inlineStr">
        <is>
          <t>Считается по введённому</t>
        </is>
      </c>
    </row>
    <row r="23">
      <c r="A23" s="51" t="inlineStr">
        <is>
          <t>Сумма аванса, руб.</t>
        </is>
      </c>
      <c r="B23" s="49">
        <f>IF('Условия'!$B$5="",0,ROUND('Условия'!$B$5*'Условия'!$B$6/100,2))</f>
        <v/>
      </c>
      <c r="C23" s="49">
        <f>IF('Условия'!$C$5="",0,ROUND('Условия'!$C$5*'Условия'!$C$6/100,2))</f>
        <v/>
      </c>
    </row>
    <row r="24">
      <c r="A24" s="51" t="inlineStr">
        <is>
          <t>Стоимость обеспечения аванса, руб.</t>
        </is>
      </c>
      <c r="B24" s="49">
        <f>ROUND('Условия'!$B$23*'Условия'!$B$10/100*'Условия'!$B$11/12,2)</f>
        <v/>
      </c>
      <c r="C24" s="49">
        <f>ROUND('Условия'!$C$23*'Условия'!$C$10/100*'Условия'!$C$11/12,2)</f>
        <v/>
      </c>
    </row>
    <row r="25">
      <c r="A25" s="51" t="inlineStr">
        <is>
          <t>Код порядка погашения (1, 2 или 3)</t>
        </is>
      </c>
      <c r="B25" s="50">
        <f>IFERROR(MATCH('Условия'!$B$8,'Условия'!$A$29:$A$31,0),0)</f>
        <v/>
      </c>
      <c r="C25" s="50">
        <f>IFERROR(MATCH('Условия'!$C$8,'Условия'!$A$29:$A$31,0),0)</f>
        <v/>
      </c>
    </row>
    <row r="26">
      <c r="A26" s="9" t="inlineStr">
        <is>
          <t>Проверка условий</t>
        </is>
      </c>
      <c r="B26" s="13">
        <f>IF('Условия'!$B$5="","Не заполнена сумма договора",IF('Условия'!$B$25=0,"Порядок погашения не выбран из списка",IF(AND('Условия'!$B$25=3,'Условия'!$B$9=""),"Для порядка с отсрочкой укажите долю выполнения",IF('Условия'!$B$16="","Не заполнен срок объекта",IF('Условия'!$B$10&gt;0,"Условия заполнены. Обеспечение платное — его стоимость уже вычтена из кассы","Условия заполнены")))))</f>
        <v/>
      </c>
      <c r="C26" s="13">
        <f>IF('Условия'!$C$5="","Не заполнена сумма договора",IF('Условия'!$C$25=0,"Порядок погашения не выбран из списка",IF(AND('Условия'!$C$25=3,'Условия'!$C$9=""),"Для порядка с отсрочкой укажите долю выполнения",IF('Условия'!$C$16="","Не заполнен срок объекта",IF('Условия'!$C$10&gt;0,"Условия заполнены. Обеспечение платное — его стоимость уже вычтена из кассы","Условия заполнены")))))</f>
        <v/>
      </c>
    </row>
    <row r="28">
      <c r="A28" s="9" t="inlineStr">
        <is>
          <t>Справочник: допустимые значения порядка погашения</t>
        </is>
      </c>
    </row>
    <row r="29">
      <c r="A29" s="14" t="inlineStr">
        <is>
          <t>пропорционально из каждой КС</t>
        </is>
      </c>
      <c r="B29" s="15" t="n">
        <v>1</v>
      </c>
      <c r="D29" s="2" t="inlineStr">
        <is>
          <t>Погашение равными долями от каждой КС: удержали процент — и дальше по тому же проценту.</t>
        </is>
      </c>
    </row>
    <row r="30">
      <c r="A30" s="14" t="inlineStr">
        <is>
          <t>единовременно из последней КС</t>
        </is>
      </c>
      <c r="B30" s="15" t="n">
        <v>2</v>
      </c>
      <c r="D30" s="2" t="inlineStr">
        <is>
          <t>Весь аванс удерживается из последнего акта. До него касса выглядит лучше, в конце — резко хуже.</t>
        </is>
      </c>
    </row>
    <row r="31">
      <c r="A31" s="14" t="inlineStr">
        <is>
          <t>с отсрочкой до доли выполнения</t>
        </is>
      </c>
      <c r="B31" s="15" t="n">
        <v>3</v>
      </c>
      <c r="D31" s="2" t="inlineStr">
        <is>
          <t>Погашение не начинается, пока не выполнена указанная доля; дальше догоняет на оставшемся объёме.</t>
        </is>
      </c>
    </row>
    <row r="34">
      <c r="A34" s="9" t="inlineStr">
        <is>
          <t>Чего в этом файле нет намеренно</t>
        </is>
      </c>
    </row>
    <row r="35" ht="60" customHeight="1">
      <c r="A35" s="2" t="inlineStr">
        <is>
          <t>Ни одной ставки и ни одного срока законодательства числом. Ставка обеспечения, гарантийное удержание, отсрочка оплаты, сроки — всё вводится вами из вашего договора и предложения банка на дату расчёта. Зашитое число в скачанном файле опаснее его отсутствия: файл выглядит готовым и даёт неверную цифру, с которой вы пойдёте на переговоры.</t>
        </is>
      </c>
    </row>
    <row r="37">
      <c r="A37" s="9" t="inlineStr">
        <is>
          <t>Важно, прочитайте до использования</t>
        </is>
      </c>
    </row>
    <row r="38" ht="92" customHeight="1">
      <c r="A38" s="16" t="inlineStr">
        <is>
          <t>Это расчётный и переговорный инструмент, а не юридическая консультация и не гарантия того, что условия аванса удастся изменить. Генподрядчик вправе не согласиться ни на один пункт: файл даёт аргумент и цифру, а не рычаг. Расчёт рассчитан на типовую ситуацию: договор обсуждается либо уже подписан, спора о выполненных объёмах и качестве нет. Сюда не применять: возврат неотработанного аванса при расторжении, требование генподрядчика вернуть аванс, зачёт, дело о банкротстве генподрядчика, налоговые последствия аванса — НДС и момент признания дохода. Это не расчёт, а спор или учёт: там нужен юрист или бухгалтер, а не таблица.</t>
        </is>
      </c>
    </row>
  </sheetData>
  <mergeCells count="4">
    <mergeCell ref="D26"/>
    <mergeCell ref="A35:D35"/>
    <mergeCell ref="A38:D38"/>
    <mergeCell ref="A2:D2"/>
  </mergeCells>
  <dataValidations count="1">
    <dataValidation sqref="B8 C8" showDropDown="0" showInputMessage="0" showErrorMessage="0" allowBlank="1" errorTitle="Значение не из списка" error="Выберите один из трёх порядков погашения из списка внизу листа «Условия»." type="list">
      <formula1>='Условия'!$A$29:$A$31</formula1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6" customWidth="1" min="4" max="4"/>
  </cols>
  <sheetData>
    <row r="1">
      <c r="A1" s="32" t="inlineStr">
        <is>
          <t>График КС: сколько процентов объёма закрывается в каждом месяце</t>
        </is>
      </c>
    </row>
    <row r="2" ht="32" customHeight="1">
      <c r="A2" s="2" t="inlineStr">
        <is>
          <t>Заполните жёлтые колонки: доля объёма месяца в процентах от суммы договора. Сумма долей по сценарию должна быть 100. Если вы сравниваете только условия аванса, а не график, колонки А и Б заполняются одинаково.</t>
        </is>
      </c>
    </row>
    <row r="4">
      <c r="A4" s="39" t="inlineStr">
        <is>
          <t>Месяц</t>
        </is>
      </c>
      <c r="B4" s="39" t="inlineStr">
        <is>
          <t>Доля объёма, % — сценарий А</t>
        </is>
      </c>
      <c r="C4" s="39" t="inlineStr">
        <is>
          <t>Доля объёма, % — сценарий Б</t>
        </is>
      </c>
      <c r="D4" s="39" t="inlineStr">
        <is>
          <t>Проверка</t>
        </is>
      </c>
    </row>
    <row r="5">
      <c r="A5" s="52" t="n">
        <v>1</v>
      </c>
      <c r="B5" s="47" t="n"/>
      <c r="C5" s="47" t="n"/>
      <c r="D5" s="18">
        <f>IF(AND($B5="",$C5=""),"",IF(OR($B5&lt;0,$C5&lt;0),"Доля не может быть отрицательной",""))</f>
        <v/>
      </c>
    </row>
    <row r="6">
      <c r="A6" s="52" t="n">
        <v>2</v>
      </c>
      <c r="B6" s="47" t="n"/>
      <c r="C6" s="47" t="n"/>
      <c r="D6" s="18">
        <f>IF(AND($B6="",$C6=""),"",IF(OR($B6&lt;0,$C6&lt;0),"Доля не может быть отрицательной",""))</f>
        <v/>
      </c>
    </row>
    <row r="7">
      <c r="A7" s="52" t="n">
        <v>3</v>
      </c>
      <c r="B7" s="47" t="n"/>
      <c r="C7" s="47" t="n"/>
      <c r="D7" s="18">
        <f>IF(AND($B7="",$C7=""),"",IF(OR($B7&lt;0,$C7&lt;0),"Доля не может быть отрицательной",""))</f>
        <v/>
      </c>
    </row>
    <row r="8">
      <c r="A8" s="52" t="n">
        <v>4</v>
      </c>
      <c r="B8" s="47" t="n"/>
      <c r="C8" s="47" t="n"/>
      <c r="D8" s="18">
        <f>IF(AND($B8="",$C8=""),"",IF(OR($B8&lt;0,$C8&lt;0),"Доля не может быть отрицательной",""))</f>
        <v/>
      </c>
    </row>
    <row r="9">
      <c r="A9" s="52" t="n">
        <v>5</v>
      </c>
      <c r="B9" s="47" t="n"/>
      <c r="C9" s="47" t="n"/>
      <c r="D9" s="18">
        <f>IF(AND($B9="",$C9=""),"",IF(OR($B9&lt;0,$C9&lt;0),"Доля не может быть отрицательной",""))</f>
        <v/>
      </c>
    </row>
    <row r="10">
      <c r="A10" s="52" t="n">
        <v>6</v>
      </c>
      <c r="B10" s="47" t="n"/>
      <c r="C10" s="47" t="n"/>
      <c r="D10" s="18">
        <f>IF(AND($B10="",$C10=""),"",IF(OR($B10&lt;0,$C10&lt;0),"Доля не может быть отрицательной",""))</f>
        <v/>
      </c>
    </row>
    <row r="11">
      <c r="A11" s="52" t="n">
        <v>7</v>
      </c>
      <c r="B11" s="47" t="n"/>
      <c r="C11" s="47" t="n"/>
      <c r="D11" s="18">
        <f>IF(AND($B11="",$C11=""),"",IF(OR($B11&lt;0,$C11&lt;0),"Доля не может быть отрицательной",""))</f>
        <v/>
      </c>
    </row>
    <row r="12">
      <c r="A12" s="52" t="n">
        <v>8</v>
      </c>
      <c r="B12" s="47" t="n"/>
      <c r="C12" s="47" t="n"/>
      <c r="D12" s="18">
        <f>IF(AND($B12="",$C12=""),"",IF(OR($B12&lt;0,$C12&lt;0),"Доля не может быть отрицательной",""))</f>
        <v/>
      </c>
    </row>
    <row r="13">
      <c r="A13" s="52" t="n">
        <v>9</v>
      </c>
      <c r="B13" s="47" t="n"/>
      <c r="C13" s="47" t="n"/>
      <c r="D13" s="18">
        <f>IF(AND($B13="",$C13=""),"",IF(OR($B13&lt;0,$C13&lt;0),"Доля не может быть отрицательной",""))</f>
        <v/>
      </c>
    </row>
    <row r="14">
      <c r="A14" s="52" t="n">
        <v>10</v>
      </c>
      <c r="B14" s="47" t="n"/>
      <c r="C14" s="47" t="n"/>
      <c r="D14" s="18">
        <f>IF(AND($B14="",$C14=""),"",IF(OR($B14&lt;0,$C14&lt;0),"Доля не может быть отрицательной",""))</f>
        <v/>
      </c>
    </row>
    <row r="15">
      <c r="A15" s="52" t="n">
        <v>11</v>
      </c>
      <c r="B15" s="47" t="n"/>
      <c r="C15" s="47" t="n"/>
      <c r="D15" s="18">
        <f>IF(AND($B15="",$C15=""),"",IF(OR($B15&lt;0,$C15&lt;0),"Доля не может быть отрицательной",""))</f>
        <v/>
      </c>
    </row>
    <row r="16">
      <c r="A16" s="52" t="n">
        <v>12</v>
      </c>
      <c r="B16" s="47" t="n"/>
      <c r="C16" s="47" t="n"/>
      <c r="D16" s="18">
        <f>IF(AND($B16="",$C16=""),"",IF(OR($B16&lt;0,$C16&lt;0),"Доля не может быть отрицательной",""))</f>
        <v/>
      </c>
    </row>
    <row r="17">
      <c r="A17" s="52" t="n">
        <v>13</v>
      </c>
      <c r="B17" s="47" t="n"/>
      <c r="C17" s="47" t="n"/>
      <c r="D17" s="18">
        <f>IF(AND($B17="",$C17=""),"",IF(OR($B17&lt;0,$C17&lt;0),"Доля не может быть отрицательной",""))</f>
        <v/>
      </c>
    </row>
    <row r="18">
      <c r="A18" s="52" t="n">
        <v>14</v>
      </c>
      <c r="B18" s="47" t="n"/>
      <c r="C18" s="47" t="n"/>
      <c r="D18" s="18">
        <f>IF(AND($B18="",$C18=""),"",IF(OR($B18&lt;0,$C18&lt;0),"Доля не может быть отрицательной",""))</f>
        <v/>
      </c>
    </row>
    <row r="19">
      <c r="A19" s="52" t="n">
        <v>15</v>
      </c>
      <c r="B19" s="47" t="n"/>
      <c r="C19" s="47" t="n"/>
      <c r="D19" s="18">
        <f>IF(AND($B19="",$C19=""),"",IF(OR($B19&lt;0,$C19&lt;0),"Доля не может быть отрицательной",""))</f>
        <v/>
      </c>
    </row>
    <row r="20">
      <c r="A20" s="52" t="n">
        <v>16</v>
      </c>
      <c r="B20" s="47" t="n"/>
      <c r="C20" s="47" t="n"/>
      <c r="D20" s="18">
        <f>IF(AND($B20="",$C20=""),"",IF(OR($B20&lt;0,$C20&lt;0),"Доля не может быть отрицательной",""))</f>
        <v/>
      </c>
    </row>
    <row r="21">
      <c r="A21" s="52" t="n">
        <v>17</v>
      </c>
      <c r="B21" s="47" t="n"/>
      <c r="C21" s="47" t="n"/>
      <c r="D21" s="18">
        <f>IF(AND($B21="",$C21=""),"",IF(OR($B21&lt;0,$C21&lt;0),"Доля не может быть отрицательной",""))</f>
        <v/>
      </c>
    </row>
    <row r="22">
      <c r="A22" s="52" t="n">
        <v>18</v>
      </c>
      <c r="B22" s="47" t="n"/>
      <c r="C22" s="47" t="n"/>
      <c r="D22" s="18">
        <f>IF(AND($B22="",$C22=""),"",IF(OR($B22&lt;0,$C22&lt;0),"Доля не может быть отрицательной",""))</f>
        <v/>
      </c>
    </row>
    <row r="23">
      <c r="A23" s="52" t="n">
        <v>19</v>
      </c>
      <c r="B23" s="47" t="n"/>
      <c r="C23" s="47" t="n"/>
      <c r="D23" s="18">
        <f>IF(AND($B23="",$C23=""),"",IF(OR($B23&lt;0,$C23&lt;0),"Доля не может быть отрицательной",""))</f>
        <v/>
      </c>
    </row>
    <row r="24">
      <c r="A24" s="52" t="n">
        <v>20</v>
      </c>
      <c r="B24" s="47" t="n"/>
      <c r="C24" s="47" t="n"/>
      <c r="D24" s="18">
        <f>IF(AND($B24="",$C24=""),"",IF(OR($B24&lt;0,$C24&lt;0),"Доля не может быть отрицательной",""))</f>
        <v/>
      </c>
    </row>
    <row r="25">
      <c r="A25" s="52" t="n">
        <v>21</v>
      </c>
      <c r="B25" s="47" t="n"/>
      <c r="C25" s="47" t="n"/>
      <c r="D25" s="18">
        <f>IF(AND($B25="",$C25=""),"",IF(OR($B25&lt;0,$C25&lt;0),"Доля не может быть отрицательной",""))</f>
        <v/>
      </c>
    </row>
    <row r="26">
      <c r="A26" s="52" t="n">
        <v>22</v>
      </c>
      <c r="B26" s="47" t="n"/>
      <c r="C26" s="47" t="n"/>
      <c r="D26" s="18">
        <f>IF(AND($B26="",$C26=""),"",IF(OR($B26&lt;0,$C26&lt;0),"Доля не может быть отрицательной",""))</f>
        <v/>
      </c>
    </row>
    <row r="27">
      <c r="A27" s="52" t="n">
        <v>23</v>
      </c>
      <c r="B27" s="47" t="n"/>
      <c r="C27" s="47" t="n"/>
      <c r="D27" s="18">
        <f>IF(AND($B27="",$C27=""),"",IF(OR($B27&lt;0,$C27&lt;0),"Доля не может быть отрицательной",""))</f>
        <v/>
      </c>
    </row>
    <row r="28">
      <c r="A28" s="52" t="n">
        <v>24</v>
      </c>
      <c r="B28" s="47" t="n"/>
      <c r="C28" s="47" t="n"/>
      <c r="D28" s="18">
        <f>IF(AND($B28="",$C28=""),"",IF(OR($B28&lt;0,$C28&lt;0),"Доля не может быть отрицательной",""))</f>
        <v/>
      </c>
    </row>
    <row r="29">
      <c r="A29" s="52" t="n">
        <v>25</v>
      </c>
      <c r="B29" s="47" t="n"/>
      <c r="C29" s="47" t="n"/>
      <c r="D29" s="18">
        <f>IF(AND($B29="",$C29=""),"",IF(OR($B29&lt;0,$C29&lt;0),"Доля не может быть отрицательной",""))</f>
        <v/>
      </c>
    </row>
    <row r="30">
      <c r="A30" s="52" t="n">
        <v>26</v>
      </c>
      <c r="B30" s="47" t="n"/>
      <c r="C30" s="47" t="n"/>
      <c r="D30" s="18">
        <f>IF(AND($B30="",$C30=""),"",IF(OR($B30&lt;0,$C30&lt;0),"Доля не может быть отрицательной",""))</f>
        <v/>
      </c>
    </row>
    <row r="31">
      <c r="A31" s="52" t="n">
        <v>27</v>
      </c>
      <c r="B31" s="47" t="n"/>
      <c r="C31" s="47" t="n"/>
      <c r="D31" s="18">
        <f>IF(AND($B31="",$C31=""),"",IF(OR($B31&lt;0,$C31&lt;0),"Доля не может быть отрицательной",""))</f>
        <v/>
      </c>
    </row>
    <row r="32">
      <c r="A32" s="52" t="n">
        <v>28</v>
      </c>
      <c r="B32" s="47" t="n"/>
      <c r="C32" s="47" t="n"/>
      <c r="D32" s="18">
        <f>IF(AND($B32="",$C32=""),"",IF(OR($B32&lt;0,$C32&lt;0),"Доля не может быть отрицательной",""))</f>
        <v/>
      </c>
    </row>
    <row r="33">
      <c r="A33" s="52" t="n">
        <v>29</v>
      </c>
      <c r="B33" s="47" t="n"/>
      <c r="C33" s="47" t="n"/>
      <c r="D33" s="18">
        <f>IF(AND($B33="",$C33=""),"",IF(OR($B33&lt;0,$C33&lt;0),"Доля не может быть отрицательной",""))</f>
        <v/>
      </c>
    </row>
    <row r="34">
      <c r="A34" s="52" t="n">
        <v>30</v>
      </c>
      <c r="B34" s="47" t="n"/>
      <c r="C34" s="47" t="n"/>
      <c r="D34" s="18">
        <f>IF(AND($B34="",$C34=""),"",IF(OR($B34&lt;0,$C34&lt;0),"Доля не может быть отрицательной",""))</f>
        <v/>
      </c>
    </row>
    <row r="35">
      <c r="A35" s="52" t="n">
        <v>31</v>
      </c>
      <c r="B35" s="47" t="n"/>
      <c r="C35" s="47" t="n"/>
      <c r="D35" s="18">
        <f>IF(AND($B35="",$C35=""),"",IF(OR($B35&lt;0,$C35&lt;0),"Доля не может быть отрицательной",""))</f>
        <v/>
      </c>
    </row>
    <row r="36">
      <c r="A36" s="52" t="n">
        <v>32</v>
      </c>
      <c r="B36" s="47" t="n"/>
      <c r="C36" s="47" t="n"/>
      <c r="D36" s="18">
        <f>IF(AND($B36="",$C36=""),"",IF(OR($B36&lt;0,$C36&lt;0),"Доля не может быть отрицательной",""))</f>
        <v/>
      </c>
    </row>
    <row r="37">
      <c r="A37" s="52" t="n">
        <v>33</v>
      </c>
      <c r="B37" s="47" t="n"/>
      <c r="C37" s="47" t="n"/>
      <c r="D37" s="18">
        <f>IF(AND($B37="",$C37=""),"",IF(OR($B37&lt;0,$C37&lt;0),"Доля не может быть отрицательной",""))</f>
        <v/>
      </c>
    </row>
    <row r="38">
      <c r="A38" s="52" t="n">
        <v>34</v>
      </c>
      <c r="B38" s="47" t="n"/>
      <c r="C38" s="47" t="n"/>
      <c r="D38" s="18">
        <f>IF(AND($B38="",$C38=""),"",IF(OR($B38&lt;0,$C38&lt;0),"Доля не может быть отрицательной",""))</f>
        <v/>
      </c>
    </row>
    <row r="39">
      <c r="A39" s="52" t="n">
        <v>35</v>
      </c>
      <c r="B39" s="47" t="n"/>
      <c r="C39" s="47" t="n"/>
      <c r="D39" s="18">
        <f>IF(AND($B39="",$C39=""),"",IF(OR($B39&lt;0,$C39&lt;0),"Доля не может быть отрицательной",""))</f>
        <v/>
      </c>
    </row>
    <row r="40">
      <c r="A40" s="52" t="n">
        <v>36</v>
      </c>
      <c r="B40" s="47" t="n"/>
      <c r="C40" s="47" t="n"/>
      <c r="D40" s="18">
        <f>IF(AND($B40="",$C40=""),"",IF(OR($B40&lt;0,$C40&lt;0),"Доля не может быть отрицательной",""))</f>
        <v/>
      </c>
    </row>
    <row r="42">
      <c r="A42" s="9" t="inlineStr">
        <is>
          <t>Итого</t>
        </is>
      </c>
      <c r="B42" s="53">
        <f>ROUND(SUM($B$5:$B$40),4)</f>
        <v/>
      </c>
      <c r="C42" s="53">
        <f>ROUND(SUM($C$5:$C$40),4)</f>
        <v/>
      </c>
      <c r="D42" s="18">
        <f>IF(AND(ROUND($B42,2)=100,ROUND($C42,2)=100),"Оба графика закрывают 100% объёма","Сумма долей не равна 100: расчёт закроет не весь договор")</f>
        <v/>
      </c>
    </row>
    <row r="44" ht="46" customHeight="1">
      <c r="A44" s="2" t="inlineStr">
        <is>
          <t>Горизонт расчёта — 36 месяцев. Если объект длиннее, укрупните шаг: считайте два месяца одной строкой. Если после расчёта на листе «Сравнение» строка «Начислено, но не поступило» больше нуля — деньги за последние акты приходят за горизонтом, и график стоит сдвинуть на несколько месяцев к началу.</t>
        </is>
      </c>
    </row>
  </sheetData>
  <mergeCells count="2">
    <mergeCell ref="A2:D2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33" t="inlineStr">
        <is>
          <t>Кассовый профиль по объекту — сценарий А</t>
        </is>
      </c>
    </row>
    <row r="2" ht="46" customHeight="1">
      <c r="A2" s="2" t="inlineStr">
        <is>
          <t>Здесь не заполняется ничего: всё считается из листов «Условия» и «График КС». Читать слева направо: сколько выполнено, сколько из этого удержали, сколько дошло до счёта, сколько потрачено и что осталось накопленным итогом. Колонка «Накопленный остаток» — это и есть ваши деньги в объекте: минус в ней означает, что объект финансируется вами.</t>
        </is>
      </c>
    </row>
    <row r="4" ht="46" customHeight="1">
      <c r="A4" s="40" t="inlineStr">
        <is>
          <t>Месяц</t>
        </is>
      </c>
      <c r="B4" s="40" t="inlineStr">
        <is>
          <t>Выполнено за месяц, руб.</t>
        </is>
      </c>
      <c r="C4" s="40" t="inlineStr">
        <is>
          <t>Накопленный объём, руб.</t>
        </is>
      </c>
      <c r="D4" s="40" t="inlineStr">
        <is>
          <t>Накопленная доля, %</t>
        </is>
      </c>
      <c r="E4" s="40" t="inlineStr">
        <is>
          <t>Погашено аванса нарастающим, руб.</t>
        </is>
      </c>
      <c r="F4" s="40" t="inlineStr">
        <is>
          <t>Погашение аванса за месяц, руб.</t>
        </is>
      </c>
      <c r="G4" s="40" t="inlineStr">
        <is>
          <t>Гарантийное удержание за месяц, руб.</t>
        </is>
      </c>
      <c r="H4" s="40" t="inlineStr">
        <is>
          <t>Начислено к оплате за месяц, руб.</t>
        </is>
      </c>
      <c r="I4" s="40" t="inlineStr">
        <is>
          <t>Поступление аванса, руб.</t>
        </is>
      </c>
      <c r="J4" s="40" t="inlineStr">
        <is>
          <t>Оплата КС с отсрочкой, руб.</t>
        </is>
      </c>
      <c r="K4" s="40" t="inlineStr">
        <is>
          <t>Возврат гарантийного удержания, руб.</t>
        </is>
      </c>
      <c r="L4" s="40" t="inlineStr">
        <is>
          <t>Расходы за месяц, руб.</t>
        </is>
      </c>
      <c r="M4" s="40" t="inlineStr">
        <is>
          <t>Сальдо месяца, руб.</t>
        </is>
      </c>
      <c r="N4" s="40" t="inlineStr">
        <is>
          <t>Накопленный остаток, руб.</t>
        </is>
      </c>
      <c r="O4" s="40" t="inlineStr">
        <is>
          <t>Месяц в минусе</t>
        </is>
      </c>
      <c r="P4" s="40" t="inlineStr">
        <is>
          <t>Проверка</t>
        </is>
      </c>
    </row>
    <row r="5">
      <c r="A5" s="54" t="n">
        <v>1</v>
      </c>
      <c r="B5" s="55">
        <f>ROUND(IFERROR('Условия'!$B$5*INDEX('График КС'!$B$5:$B$40,MATCH($A5,'График КС'!$A$5:$A$40,0))/100,0),2)</f>
        <v/>
      </c>
      <c r="C5" s="55">
        <f>SUMIFS($B$5:$B$40,$A$5:$A$40,"&lt;="&amp;$A5)</f>
        <v/>
      </c>
      <c r="D5" s="56">
        <f>SUMIFS('График КС'!$B$5:$B$40,'График КС'!$A$5:$A$40,"&lt;="&amp;$A5)</f>
        <v/>
      </c>
      <c r="E5" s="55">
        <f>IF('Условия'!$B$25=0,0,IFERROR(MAX(0,MIN('Условия'!$B$23,IF('Условия'!$B$25=1,ROUND('Условия'!$B$23*$D5/'График КС'!$B$42,2),IF('Условия'!$B$25=2,IF($D5&gt;='График КС'!$B$42,'Условия'!$B$23,0),ROUND('Условия'!$B$23*($D5-'Условия'!$B$9)/('График КС'!$B$42-'Условия'!$B$9),2))))),0))</f>
        <v/>
      </c>
      <c r="F5" s="55">
        <f>ROUND($E5,2)</f>
        <v/>
      </c>
      <c r="G5" s="55">
        <f>ROUND($B5*'Условия'!$B$13/100,2)</f>
        <v/>
      </c>
      <c r="H5" s="55">
        <f>ROUND($B5-$F5-$G5,2)</f>
        <v/>
      </c>
      <c r="I5" s="55">
        <f>IF($A5='Условия'!$B$7,'Условия'!$B$23,0)</f>
        <v/>
      </c>
      <c r="J5" s="55">
        <f>IFERROR(INDEX($H$5:$H$40,MATCH($A5-'Условия'!$B$17,$A$5:$A$40,0)),0)</f>
        <v/>
      </c>
      <c r="K5" s="55">
        <f>IF(AND('Условия'!$B$14&gt;0,$A5='Условия'!$B$14),ROUND(SUM($G$5:$G$40)*'Условия'!$B$15/100,2),0)</f>
        <v/>
      </c>
      <c r="L5" s="55">
        <f>ROUND(SUMIFS($B$5:$B$40,$A$5:$A$40,"&lt;="&amp;($A5+'Условия'!$B$19))*'Условия'!$B$18/100,2)+IF($A5=1,'Условия'!$B$20,0)+IF($A5='Условия'!$B$12,'Условия'!$B$24,0)</f>
        <v/>
      </c>
      <c r="M5" s="55">
        <f>ROUND($I5+$J5+$K5-$L5,2)</f>
        <v/>
      </c>
      <c r="N5" s="55">
        <f>ROUND($M5,2)</f>
        <v/>
      </c>
      <c r="O5" s="22">
        <f>IF($N5&lt;0,$A5,"")</f>
        <v/>
      </c>
      <c r="P5" s="13">
        <f>IF($H5&lt;0,"Из КС этого месяца удерживают больше, чем она стоит: погашение аванса и гарантийное удержание вместе больше объёма",IF(AND($B5&gt;0,'Условия'!$B$16&lt;&gt;"",$A5&gt;'Условия'!$B$16),"Месяц за пределами срока объекта, а объём в графике есть",""))</f>
        <v/>
      </c>
    </row>
    <row r="6">
      <c r="A6" s="54" t="n">
        <v>2</v>
      </c>
      <c r="B6" s="55">
        <f>ROUND(IFERROR('Условия'!$B$5*INDEX('График КС'!$B$5:$B$40,MATCH($A6,'График КС'!$A$5:$A$40,0))/100,0),2)</f>
        <v/>
      </c>
      <c r="C6" s="55">
        <f>SUMIFS($B$5:$B$40,$A$5:$A$40,"&lt;="&amp;$A6)</f>
        <v/>
      </c>
      <c r="D6" s="56">
        <f>SUMIFS('График КС'!$B$5:$B$40,'График КС'!$A$5:$A$40,"&lt;="&amp;$A6)</f>
        <v/>
      </c>
      <c r="E6" s="55">
        <f>IF('Условия'!$B$25=0,0,IFERROR(MAX(0,MIN('Условия'!$B$23,IF('Условия'!$B$25=1,ROUND('Условия'!$B$23*$D6/'График КС'!$B$42,2),IF('Условия'!$B$25=2,IF($D6&gt;='График КС'!$B$42,'Условия'!$B$23,0),ROUND('Условия'!$B$23*($D6-'Условия'!$B$9)/('График КС'!$B$42-'Условия'!$B$9),2))))),0))</f>
        <v/>
      </c>
      <c r="F6" s="55">
        <f>ROUND($E6-$E5,2)</f>
        <v/>
      </c>
      <c r="G6" s="55">
        <f>ROUND($B6*'Условия'!$B$13/100,2)</f>
        <v/>
      </c>
      <c r="H6" s="55">
        <f>ROUND($B6-$F6-$G6,2)</f>
        <v/>
      </c>
      <c r="I6" s="55">
        <f>IF($A6='Условия'!$B$7,'Условия'!$B$23,0)</f>
        <v/>
      </c>
      <c r="J6" s="55">
        <f>IFERROR(INDEX($H$5:$H$40,MATCH($A6-'Условия'!$B$17,$A$5:$A$40,0)),0)</f>
        <v/>
      </c>
      <c r="K6" s="55">
        <f>IF(AND('Условия'!$B$14&gt;0,$A6='Условия'!$B$14),ROUND(SUM($G$5:$G$40)*'Условия'!$B$15/100,2),0)</f>
        <v/>
      </c>
      <c r="L6" s="55">
        <f>ROUND(IFERROR(INDEX($B$5:$B$40,MATCH($A6+'Условия'!$B$19,$A$5:$A$40,0)),0)*'Условия'!$B$18/100,2)+IF($A6=1,'Условия'!$B$20,0)+IF($A6='Условия'!$B$12,'Условия'!$B$24,0)</f>
        <v/>
      </c>
      <c r="M6" s="55">
        <f>ROUND($I6+$J6+$K6-$L6,2)</f>
        <v/>
      </c>
      <c r="N6" s="55">
        <f>ROUND($N5+$M6,2)</f>
        <v/>
      </c>
      <c r="O6" s="22">
        <f>IF($N6&lt;0,$A6,"")</f>
        <v/>
      </c>
      <c r="P6" s="13">
        <f>IF($H6&lt;0,"Из КС этого месяца удерживают больше, чем она стоит: погашение аванса и гарантийное удержание вместе больше объёма",IF(AND($B6&gt;0,'Условия'!$B$16&lt;&gt;"",$A6&gt;'Условия'!$B$16),"Месяц за пределами срока объекта, а объём в графике есть",""))</f>
        <v/>
      </c>
    </row>
    <row r="7">
      <c r="A7" s="54" t="n">
        <v>3</v>
      </c>
      <c r="B7" s="55">
        <f>ROUND(IFERROR('Условия'!$B$5*INDEX('График КС'!$B$5:$B$40,MATCH($A7,'График КС'!$A$5:$A$40,0))/100,0),2)</f>
        <v/>
      </c>
      <c r="C7" s="55">
        <f>SUMIFS($B$5:$B$40,$A$5:$A$40,"&lt;="&amp;$A7)</f>
        <v/>
      </c>
      <c r="D7" s="56">
        <f>SUMIFS('График КС'!$B$5:$B$40,'График КС'!$A$5:$A$40,"&lt;="&amp;$A7)</f>
        <v/>
      </c>
      <c r="E7" s="55">
        <f>IF('Условия'!$B$25=0,0,IFERROR(MAX(0,MIN('Условия'!$B$23,IF('Условия'!$B$25=1,ROUND('Условия'!$B$23*$D7/'График КС'!$B$42,2),IF('Условия'!$B$25=2,IF($D7&gt;='График КС'!$B$42,'Условия'!$B$23,0),ROUND('Условия'!$B$23*($D7-'Условия'!$B$9)/('График КС'!$B$42-'Условия'!$B$9),2))))),0))</f>
        <v/>
      </c>
      <c r="F7" s="55">
        <f>ROUND($E7-$E6,2)</f>
        <v/>
      </c>
      <c r="G7" s="55">
        <f>ROUND($B7*'Условия'!$B$13/100,2)</f>
        <v/>
      </c>
      <c r="H7" s="55">
        <f>ROUND($B7-$F7-$G7,2)</f>
        <v/>
      </c>
      <c r="I7" s="55">
        <f>IF($A7='Условия'!$B$7,'Условия'!$B$23,0)</f>
        <v/>
      </c>
      <c r="J7" s="55">
        <f>IFERROR(INDEX($H$5:$H$40,MATCH($A7-'Условия'!$B$17,$A$5:$A$40,0)),0)</f>
        <v/>
      </c>
      <c r="K7" s="55">
        <f>IF(AND('Условия'!$B$14&gt;0,$A7='Условия'!$B$14),ROUND(SUM($G$5:$G$40)*'Условия'!$B$15/100,2),0)</f>
        <v/>
      </c>
      <c r="L7" s="55">
        <f>ROUND(IFERROR(INDEX($B$5:$B$40,MATCH($A7+'Условия'!$B$19,$A$5:$A$40,0)),0)*'Условия'!$B$18/100,2)+IF($A7=1,'Условия'!$B$20,0)+IF($A7='Условия'!$B$12,'Условия'!$B$24,0)</f>
        <v/>
      </c>
      <c r="M7" s="55">
        <f>ROUND($I7+$J7+$K7-$L7,2)</f>
        <v/>
      </c>
      <c r="N7" s="55">
        <f>ROUND($N6+$M7,2)</f>
        <v/>
      </c>
      <c r="O7" s="22">
        <f>IF($N7&lt;0,$A7,"")</f>
        <v/>
      </c>
      <c r="P7" s="13">
        <f>IF($H7&lt;0,"Из КС этого месяца удерживают больше, чем она стоит: погашение аванса и гарантийное удержание вместе больше объёма",IF(AND($B7&gt;0,'Условия'!$B$16&lt;&gt;"",$A7&gt;'Условия'!$B$16),"Месяц за пределами срока объекта, а объём в графике есть",""))</f>
        <v/>
      </c>
    </row>
    <row r="8">
      <c r="A8" s="54" t="n">
        <v>4</v>
      </c>
      <c r="B8" s="55">
        <f>ROUND(IFERROR('Условия'!$B$5*INDEX('График КС'!$B$5:$B$40,MATCH($A8,'График КС'!$A$5:$A$40,0))/100,0),2)</f>
        <v/>
      </c>
      <c r="C8" s="55">
        <f>SUMIFS($B$5:$B$40,$A$5:$A$40,"&lt;="&amp;$A8)</f>
        <v/>
      </c>
      <c r="D8" s="56">
        <f>SUMIFS('График КС'!$B$5:$B$40,'График КС'!$A$5:$A$40,"&lt;="&amp;$A8)</f>
        <v/>
      </c>
      <c r="E8" s="55">
        <f>IF('Условия'!$B$25=0,0,IFERROR(MAX(0,MIN('Условия'!$B$23,IF('Условия'!$B$25=1,ROUND('Условия'!$B$23*$D8/'График КС'!$B$42,2),IF('Условия'!$B$25=2,IF($D8&gt;='График КС'!$B$42,'Условия'!$B$23,0),ROUND('Условия'!$B$23*($D8-'Условия'!$B$9)/('График КС'!$B$42-'Условия'!$B$9),2))))),0))</f>
        <v/>
      </c>
      <c r="F8" s="55">
        <f>ROUND($E8-$E7,2)</f>
        <v/>
      </c>
      <c r="G8" s="55">
        <f>ROUND($B8*'Условия'!$B$13/100,2)</f>
        <v/>
      </c>
      <c r="H8" s="55">
        <f>ROUND($B8-$F8-$G8,2)</f>
        <v/>
      </c>
      <c r="I8" s="55">
        <f>IF($A8='Условия'!$B$7,'Условия'!$B$23,0)</f>
        <v/>
      </c>
      <c r="J8" s="55">
        <f>IFERROR(INDEX($H$5:$H$40,MATCH($A8-'Условия'!$B$17,$A$5:$A$40,0)),0)</f>
        <v/>
      </c>
      <c r="K8" s="55">
        <f>IF(AND('Условия'!$B$14&gt;0,$A8='Условия'!$B$14),ROUND(SUM($G$5:$G$40)*'Условия'!$B$15/100,2),0)</f>
        <v/>
      </c>
      <c r="L8" s="55">
        <f>ROUND(IFERROR(INDEX($B$5:$B$40,MATCH($A8+'Условия'!$B$19,$A$5:$A$40,0)),0)*'Условия'!$B$18/100,2)+IF($A8=1,'Условия'!$B$20,0)+IF($A8='Условия'!$B$12,'Условия'!$B$24,0)</f>
        <v/>
      </c>
      <c r="M8" s="55">
        <f>ROUND($I8+$J8+$K8-$L8,2)</f>
        <v/>
      </c>
      <c r="N8" s="55">
        <f>ROUND($N7+$M8,2)</f>
        <v/>
      </c>
      <c r="O8" s="22">
        <f>IF($N8&lt;0,$A8,"")</f>
        <v/>
      </c>
      <c r="P8" s="13">
        <f>IF($H8&lt;0,"Из КС этого месяца удерживают больше, чем она стоит: погашение аванса и гарантийное удержание вместе больше объёма",IF(AND($B8&gt;0,'Условия'!$B$16&lt;&gt;"",$A8&gt;'Условия'!$B$16),"Месяц за пределами срока объекта, а объём в графике есть",""))</f>
        <v/>
      </c>
    </row>
    <row r="9">
      <c r="A9" s="54" t="n">
        <v>5</v>
      </c>
      <c r="B9" s="55">
        <f>ROUND(IFERROR('Условия'!$B$5*INDEX('График КС'!$B$5:$B$40,MATCH($A9,'График КС'!$A$5:$A$40,0))/100,0),2)</f>
        <v/>
      </c>
      <c r="C9" s="55">
        <f>SUMIFS($B$5:$B$40,$A$5:$A$40,"&lt;="&amp;$A9)</f>
        <v/>
      </c>
      <c r="D9" s="56">
        <f>SUMIFS('График КС'!$B$5:$B$40,'График КС'!$A$5:$A$40,"&lt;="&amp;$A9)</f>
        <v/>
      </c>
      <c r="E9" s="55">
        <f>IF('Условия'!$B$25=0,0,IFERROR(MAX(0,MIN('Условия'!$B$23,IF('Условия'!$B$25=1,ROUND('Условия'!$B$23*$D9/'График КС'!$B$42,2),IF('Условия'!$B$25=2,IF($D9&gt;='График КС'!$B$42,'Условия'!$B$23,0),ROUND('Условия'!$B$23*($D9-'Условия'!$B$9)/('График КС'!$B$42-'Условия'!$B$9),2))))),0))</f>
        <v/>
      </c>
      <c r="F9" s="55">
        <f>ROUND($E9-$E8,2)</f>
        <v/>
      </c>
      <c r="G9" s="55">
        <f>ROUND($B9*'Условия'!$B$13/100,2)</f>
        <v/>
      </c>
      <c r="H9" s="55">
        <f>ROUND($B9-$F9-$G9,2)</f>
        <v/>
      </c>
      <c r="I9" s="55">
        <f>IF($A9='Условия'!$B$7,'Условия'!$B$23,0)</f>
        <v/>
      </c>
      <c r="J9" s="55">
        <f>IFERROR(INDEX($H$5:$H$40,MATCH($A9-'Условия'!$B$17,$A$5:$A$40,0)),0)</f>
        <v/>
      </c>
      <c r="K9" s="55">
        <f>IF(AND('Условия'!$B$14&gt;0,$A9='Условия'!$B$14),ROUND(SUM($G$5:$G$40)*'Условия'!$B$15/100,2),0)</f>
        <v/>
      </c>
      <c r="L9" s="55">
        <f>ROUND(IFERROR(INDEX($B$5:$B$40,MATCH($A9+'Условия'!$B$19,$A$5:$A$40,0)),0)*'Условия'!$B$18/100,2)+IF($A9=1,'Условия'!$B$20,0)+IF($A9='Условия'!$B$12,'Условия'!$B$24,0)</f>
        <v/>
      </c>
      <c r="M9" s="55">
        <f>ROUND($I9+$J9+$K9-$L9,2)</f>
        <v/>
      </c>
      <c r="N9" s="55">
        <f>ROUND($N8+$M9,2)</f>
        <v/>
      </c>
      <c r="O9" s="22">
        <f>IF($N9&lt;0,$A9,"")</f>
        <v/>
      </c>
      <c r="P9" s="13">
        <f>IF($H9&lt;0,"Из КС этого месяца удерживают больше, чем она стоит: погашение аванса и гарантийное удержание вместе больше объёма",IF(AND($B9&gt;0,'Условия'!$B$16&lt;&gt;"",$A9&gt;'Условия'!$B$16),"Месяц за пределами срока объекта, а объём в графике есть",""))</f>
        <v/>
      </c>
    </row>
    <row r="10">
      <c r="A10" s="54" t="n">
        <v>6</v>
      </c>
      <c r="B10" s="55">
        <f>ROUND(IFERROR('Условия'!$B$5*INDEX('График КС'!$B$5:$B$40,MATCH($A10,'График КС'!$A$5:$A$40,0))/100,0),2)</f>
        <v/>
      </c>
      <c r="C10" s="55">
        <f>SUMIFS($B$5:$B$40,$A$5:$A$40,"&lt;="&amp;$A10)</f>
        <v/>
      </c>
      <c r="D10" s="56">
        <f>SUMIFS('График КС'!$B$5:$B$40,'График КС'!$A$5:$A$40,"&lt;="&amp;$A10)</f>
        <v/>
      </c>
      <c r="E10" s="55">
        <f>IF('Условия'!$B$25=0,0,IFERROR(MAX(0,MIN('Условия'!$B$23,IF('Условия'!$B$25=1,ROUND('Условия'!$B$23*$D10/'График КС'!$B$42,2),IF('Условия'!$B$25=2,IF($D10&gt;='График КС'!$B$42,'Условия'!$B$23,0),ROUND('Условия'!$B$23*($D10-'Условия'!$B$9)/('График КС'!$B$42-'Условия'!$B$9),2))))),0))</f>
        <v/>
      </c>
      <c r="F10" s="55">
        <f>ROUND($E10-$E9,2)</f>
        <v/>
      </c>
      <c r="G10" s="55">
        <f>ROUND($B10*'Условия'!$B$13/100,2)</f>
        <v/>
      </c>
      <c r="H10" s="55">
        <f>ROUND($B10-$F10-$G10,2)</f>
        <v/>
      </c>
      <c r="I10" s="55">
        <f>IF($A10='Условия'!$B$7,'Условия'!$B$23,0)</f>
        <v/>
      </c>
      <c r="J10" s="55">
        <f>IFERROR(INDEX($H$5:$H$40,MATCH($A10-'Условия'!$B$17,$A$5:$A$40,0)),0)</f>
        <v/>
      </c>
      <c r="K10" s="55">
        <f>IF(AND('Условия'!$B$14&gt;0,$A10='Условия'!$B$14),ROUND(SUM($G$5:$G$40)*'Условия'!$B$15/100,2),0)</f>
        <v/>
      </c>
      <c r="L10" s="55">
        <f>ROUND(IFERROR(INDEX($B$5:$B$40,MATCH($A10+'Условия'!$B$19,$A$5:$A$40,0)),0)*'Условия'!$B$18/100,2)+IF($A10=1,'Условия'!$B$20,0)+IF($A10='Условия'!$B$12,'Условия'!$B$24,0)</f>
        <v/>
      </c>
      <c r="M10" s="55">
        <f>ROUND($I10+$J10+$K10-$L10,2)</f>
        <v/>
      </c>
      <c r="N10" s="55">
        <f>ROUND($N9+$M10,2)</f>
        <v/>
      </c>
      <c r="O10" s="22">
        <f>IF($N10&lt;0,$A10,"")</f>
        <v/>
      </c>
      <c r="P10" s="13">
        <f>IF($H10&lt;0,"Из КС этого месяца удерживают больше, чем она стоит: погашение аванса и гарантийное удержание вместе больше объёма",IF(AND($B10&gt;0,'Условия'!$B$16&lt;&gt;"",$A10&gt;'Условия'!$B$16),"Месяц за пределами срока объекта, а объём в графике есть",""))</f>
        <v/>
      </c>
    </row>
    <row r="11">
      <c r="A11" s="54" t="n">
        <v>7</v>
      </c>
      <c r="B11" s="55">
        <f>ROUND(IFERROR('Условия'!$B$5*INDEX('График КС'!$B$5:$B$40,MATCH($A11,'График КС'!$A$5:$A$40,0))/100,0),2)</f>
        <v/>
      </c>
      <c r="C11" s="55">
        <f>SUMIFS($B$5:$B$40,$A$5:$A$40,"&lt;="&amp;$A11)</f>
        <v/>
      </c>
      <c r="D11" s="56">
        <f>SUMIFS('График КС'!$B$5:$B$40,'График КС'!$A$5:$A$40,"&lt;="&amp;$A11)</f>
        <v/>
      </c>
      <c r="E11" s="55">
        <f>IF('Условия'!$B$25=0,0,IFERROR(MAX(0,MIN('Условия'!$B$23,IF('Условия'!$B$25=1,ROUND('Условия'!$B$23*$D11/'График КС'!$B$42,2),IF('Условия'!$B$25=2,IF($D11&gt;='График КС'!$B$42,'Условия'!$B$23,0),ROUND('Условия'!$B$23*($D11-'Условия'!$B$9)/('График КС'!$B$42-'Условия'!$B$9),2))))),0))</f>
        <v/>
      </c>
      <c r="F11" s="55">
        <f>ROUND($E11-$E10,2)</f>
        <v/>
      </c>
      <c r="G11" s="55">
        <f>ROUND($B11*'Условия'!$B$13/100,2)</f>
        <v/>
      </c>
      <c r="H11" s="55">
        <f>ROUND($B11-$F11-$G11,2)</f>
        <v/>
      </c>
      <c r="I11" s="55">
        <f>IF($A11='Условия'!$B$7,'Условия'!$B$23,0)</f>
        <v/>
      </c>
      <c r="J11" s="55">
        <f>IFERROR(INDEX($H$5:$H$40,MATCH($A11-'Условия'!$B$17,$A$5:$A$40,0)),0)</f>
        <v/>
      </c>
      <c r="K11" s="55">
        <f>IF(AND('Условия'!$B$14&gt;0,$A11='Условия'!$B$14),ROUND(SUM($G$5:$G$40)*'Условия'!$B$15/100,2),0)</f>
        <v/>
      </c>
      <c r="L11" s="55">
        <f>ROUND(IFERROR(INDEX($B$5:$B$40,MATCH($A11+'Условия'!$B$19,$A$5:$A$40,0)),0)*'Условия'!$B$18/100,2)+IF($A11=1,'Условия'!$B$20,0)+IF($A11='Условия'!$B$12,'Условия'!$B$24,0)</f>
        <v/>
      </c>
      <c r="M11" s="55">
        <f>ROUND($I11+$J11+$K11-$L11,2)</f>
        <v/>
      </c>
      <c r="N11" s="55">
        <f>ROUND($N10+$M11,2)</f>
        <v/>
      </c>
      <c r="O11" s="22">
        <f>IF($N11&lt;0,$A11,"")</f>
        <v/>
      </c>
      <c r="P11" s="13">
        <f>IF($H11&lt;0,"Из КС этого месяца удерживают больше, чем она стоит: погашение аванса и гарантийное удержание вместе больше объёма",IF(AND($B11&gt;0,'Условия'!$B$16&lt;&gt;"",$A11&gt;'Условия'!$B$16),"Месяц за пределами срока объекта, а объём в графике есть",""))</f>
        <v/>
      </c>
    </row>
    <row r="12">
      <c r="A12" s="54" t="n">
        <v>8</v>
      </c>
      <c r="B12" s="55">
        <f>ROUND(IFERROR('Условия'!$B$5*INDEX('График КС'!$B$5:$B$40,MATCH($A12,'График КС'!$A$5:$A$40,0))/100,0),2)</f>
        <v/>
      </c>
      <c r="C12" s="55">
        <f>SUMIFS($B$5:$B$40,$A$5:$A$40,"&lt;="&amp;$A12)</f>
        <v/>
      </c>
      <c r="D12" s="56">
        <f>SUMIFS('График КС'!$B$5:$B$40,'График КС'!$A$5:$A$40,"&lt;="&amp;$A12)</f>
        <v/>
      </c>
      <c r="E12" s="55">
        <f>IF('Условия'!$B$25=0,0,IFERROR(MAX(0,MIN('Условия'!$B$23,IF('Условия'!$B$25=1,ROUND('Условия'!$B$23*$D12/'График КС'!$B$42,2),IF('Условия'!$B$25=2,IF($D12&gt;='График КС'!$B$42,'Условия'!$B$23,0),ROUND('Условия'!$B$23*($D12-'Условия'!$B$9)/('График КС'!$B$42-'Условия'!$B$9),2))))),0))</f>
        <v/>
      </c>
      <c r="F12" s="55">
        <f>ROUND($E12-$E11,2)</f>
        <v/>
      </c>
      <c r="G12" s="55">
        <f>ROUND($B12*'Условия'!$B$13/100,2)</f>
        <v/>
      </c>
      <c r="H12" s="55">
        <f>ROUND($B12-$F12-$G12,2)</f>
        <v/>
      </c>
      <c r="I12" s="55">
        <f>IF($A12='Условия'!$B$7,'Условия'!$B$23,0)</f>
        <v/>
      </c>
      <c r="J12" s="55">
        <f>IFERROR(INDEX($H$5:$H$40,MATCH($A12-'Условия'!$B$17,$A$5:$A$40,0)),0)</f>
        <v/>
      </c>
      <c r="K12" s="55">
        <f>IF(AND('Условия'!$B$14&gt;0,$A12='Условия'!$B$14),ROUND(SUM($G$5:$G$40)*'Условия'!$B$15/100,2),0)</f>
        <v/>
      </c>
      <c r="L12" s="55">
        <f>ROUND(IFERROR(INDEX($B$5:$B$40,MATCH($A12+'Условия'!$B$19,$A$5:$A$40,0)),0)*'Условия'!$B$18/100,2)+IF($A12=1,'Условия'!$B$20,0)+IF($A12='Условия'!$B$12,'Условия'!$B$24,0)</f>
        <v/>
      </c>
      <c r="M12" s="55">
        <f>ROUND($I12+$J12+$K12-$L12,2)</f>
        <v/>
      </c>
      <c r="N12" s="55">
        <f>ROUND($N11+$M12,2)</f>
        <v/>
      </c>
      <c r="O12" s="22">
        <f>IF($N12&lt;0,$A12,"")</f>
        <v/>
      </c>
      <c r="P12" s="13">
        <f>IF($H12&lt;0,"Из КС этого месяца удерживают больше, чем она стоит: погашение аванса и гарантийное удержание вместе больше объёма",IF(AND($B12&gt;0,'Условия'!$B$16&lt;&gt;"",$A12&gt;'Условия'!$B$16),"Месяц за пределами срока объекта, а объём в графике есть",""))</f>
        <v/>
      </c>
    </row>
    <row r="13">
      <c r="A13" s="54" t="n">
        <v>9</v>
      </c>
      <c r="B13" s="55">
        <f>ROUND(IFERROR('Условия'!$B$5*INDEX('График КС'!$B$5:$B$40,MATCH($A13,'График КС'!$A$5:$A$40,0))/100,0),2)</f>
        <v/>
      </c>
      <c r="C13" s="55">
        <f>SUMIFS($B$5:$B$40,$A$5:$A$40,"&lt;="&amp;$A13)</f>
        <v/>
      </c>
      <c r="D13" s="56">
        <f>SUMIFS('График КС'!$B$5:$B$40,'График КС'!$A$5:$A$40,"&lt;="&amp;$A13)</f>
        <v/>
      </c>
      <c r="E13" s="55">
        <f>IF('Условия'!$B$25=0,0,IFERROR(MAX(0,MIN('Условия'!$B$23,IF('Условия'!$B$25=1,ROUND('Условия'!$B$23*$D13/'График КС'!$B$42,2),IF('Условия'!$B$25=2,IF($D13&gt;='График КС'!$B$42,'Условия'!$B$23,0),ROUND('Условия'!$B$23*($D13-'Условия'!$B$9)/('График КС'!$B$42-'Условия'!$B$9),2))))),0))</f>
        <v/>
      </c>
      <c r="F13" s="55">
        <f>ROUND($E13-$E12,2)</f>
        <v/>
      </c>
      <c r="G13" s="55">
        <f>ROUND($B13*'Условия'!$B$13/100,2)</f>
        <v/>
      </c>
      <c r="H13" s="55">
        <f>ROUND($B13-$F13-$G13,2)</f>
        <v/>
      </c>
      <c r="I13" s="55">
        <f>IF($A13='Условия'!$B$7,'Условия'!$B$23,0)</f>
        <v/>
      </c>
      <c r="J13" s="55">
        <f>IFERROR(INDEX($H$5:$H$40,MATCH($A13-'Условия'!$B$17,$A$5:$A$40,0)),0)</f>
        <v/>
      </c>
      <c r="K13" s="55">
        <f>IF(AND('Условия'!$B$14&gt;0,$A13='Условия'!$B$14),ROUND(SUM($G$5:$G$40)*'Условия'!$B$15/100,2),0)</f>
        <v/>
      </c>
      <c r="L13" s="55">
        <f>ROUND(IFERROR(INDEX($B$5:$B$40,MATCH($A13+'Условия'!$B$19,$A$5:$A$40,0)),0)*'Условия'!$B$18/100,2)+IF($A13=1,'Условия'!$B$20,0)+IF($A13='Условия'!$B$12,'Условия'!$B$24,0)</f>
        <v/>
      </c>
      <c r="M13" s="55">
        <f>ROUND($I13+$J13+$K13-$L13,2)</f>
        <v/>
      </c>
      <c r="N13" s="55">
        <f>ROUND($N12+$M13,2)</f>
        <v/>
      </c>
      <c r="O13" s="22">
        <f>IF($N13&lt;0,$A13,"")</f>
        <v/>
      </c>
      <c r="P13" s="13">
        <f>IF($H13&lt;0,"Из КС этого месяца удерживают больше, чем она стоит: погашение аванса и гарантийное удержание вместе больше объёма",IF(AND($B13&gt;0,'Условия'!$B$16&lt;&gt;"",$A13&gt;'Условия'!$B$16),"Месяц за пределами срока объекта, а объём в графике есть",""))</f>
        <v/>
      </c>
    </row>
    <row r="14">
      <c r="A14" s="54" t="n">
        <v>10</v>
      </c>
      <c r="B14" s="55">
        <f>ROUND(IFERROR('Условия'!$B$5*INDEX('График КС'!$B$5:$B$40,MATCH($A14,'График КС'!$A$5:$A$40,0))/100,0),2)</f>
        <v/>
      </c>
      <c r="C14" s="55">
        <f>SUMIFS($B$5:$B$40,$A$5:$A$40,"&lt;="&amp;$A14)</f>
        <v/>
      </c>
      <c r="D14" s="56">
        <f>SUMIFS('График КС'!$B$5:$B$40,'График КС'!$A$5:$A$40,"&lt;="&amp;$A14)</f>
        <v/>
      </c>
      <c r="E14" s="55">
        <f>IF('Условия'!$B$25=0,0,IFERROR(MAX(0,MIN('Условия'!$B$23,IF('Условия'!$B$25=1,ROUND('Условия'!$B$23*$D14/'График КС'!$B$42,2),IF('Условия'!$B$25=2,IF($D14&gt;='График КС'!$B$42,'Условия'!$B$23,0),ROUND('Условия'!$B$23*($D14-'Условия'!$B$9)/('График КС'!$B$42-'Условия'!$B$9),2))))),0))</f>
        <v/>
      </c>
      <c r="F14" s="55">
        <f>ROUND($E14-$E13,2)</f>
        <v/>
      </c>
      <c r="G14" s="55">
        <f>ROUND($B14*'Условия'!$B$13/100,2)</f>
        <v/>
      </c>
      <c r="H14" s="55">
        <f>ROUND($B14-$F14-$G14,2)</f>
        <v/>
      </c>
      <c r="I14" s="55">
        <f>IF($A14='Условия'!$B$7,'Условия'!$B$23,0)</f>
        <v/>
      </c>
      <c r="J14" s="55">
        <f>IFERROR(INDEX($H$5:$H$40,MATCH($A14-'Условия'!$B$17,$A$5:$A$40,0)),0)</f>
        <v/>
      </c>
      <c r="K14" s="55">
        <f>IF(AND('Условия'!$B$14&gt;0,$A14='Условия'!$B$14),ROUND(SUM($G$5:$G$40)*'Условия'!$B$15/100,2),0)</f>
        <v/>
      </c>
      <c r="L14" s="55">
        <f>ROUND(IFERROR(INDEX($B$5:$B$40,MATCH($A14+'Условия'!$B$19,$A$5:$A$40,0)),0)*'Условия'!$B$18/100,2)+IF($A14=1,'Условия'!$B$20,0)+IF($A14='Условия'!$B$12,'Условия'!$B$24,0)</f>
        <v/>
      </c>
      <c r="M14" s="55">
        <f>ROUND($I14+$J14+$K14-$L14,2)</f>
        <v/>
      </c>
      <c r="N14" s="55">
        <f>ROUND($N13+$M14,2)</f>
        <v/>
      </c>
      <c r="O14" s="22">
        <f>IF($N14&lt;0,$A14,"")</f>
        <v/>
      </c>
      <c r="P14" s="13">
        <f>IF($H14&lt;0,"Из КС этого месяца удерживают больше, чем она стоит: погашение аванса и гарантийное удержание вместе больше объёма",IF(AND($B14&gt;0,'Условия'!$B$16&lt;&gt;"",$A14&gt;'Условия'!$B$16),"Месяц за пределами срока объекта, а объём в графике есть",""))</f>
        <v/>
      </c>
    </row>
    <row r="15">
      <c r="A15" s="54" t="n">
        <v>11</v>
      </c>
      <c r="B15" s="55">
        <f>ROUND(IFERROR('Условия'!$B$5*INDEX('График КС'!$B$5:$B$40,MATCH($A15,'График КС'!$A$5:$A$40,0))/100,0),2)</f>
        <v/>
      </c>
      <c r="C15" s="55">
        <f>SUMIFS($B$5:$B$40,$A$5:$A$40,"&lt;="&amp;$A15)</f>
        <v/>
      </c>
      <c r="D15" s="56">
        <f>SUMIFS('График КС'!$B$5:$B$40,'График КС'!$A$5:$A$40,"&lt;="&amp;$A15)</f>
        <v/>
      </c>
      <c r="E15" s="55">
        <f>IF('Условия'!$B$25=0,0,IFERROR(MAX(0,MIN('Условия'!$B$23,IF('Условия'!$B$25=1,ROUND('Условия'!$B$23*$D15/'График КС'!$B$42,2),IF('Условия'!$B$25=2,IF($D15&gt;='График КС'!$B$42,'Условия'!$B$23,0),ROUND('Условия'!$B$23*($D15-'Условия'!$B$9)/('График КС'!$B$42-'Условия'!$B$9),2))))),0))</f>
        <v/>
      </c>
      <c r="F15" s="55">
        <f>ROUND($E15-$E14,2)</f>
        <v/>
      </c>
      <c r="G15" s="55">
        <f>ROUND($B15*'Условия'!$B$13/100,2)</f>
        <v/>
      </c>
      <c r="H15" s="55">
        <f>ROUND($B15-$F15-$G15,2)</f>
        <v/>
      </c>
      <c r="I15" s="55">
        <f>IF($A15='Условия'!$B$7,'Условия'!$B$23,0)</f>
        <v/>
      </c>
      <c r="J15" s="55">
        <f>IFERROR(INDEX($H$5:$H$40,MATCH($A15-'Условия'!$B$17,$A$5:$A$40,0)),0)</f>
        <v/>
      </c>
      <c r="K15" s="55">
        <f>IF(AND('Условия'!$B$14&gt;0,$A15='Условия'!$B$14),ROUND(SUM($G$5:$G$40)*'Условия'!$B$15/100,2),0)</f>
        <v/>
      </c>
      <c r="L15" s="55">
        <f>ROUND(IFERROR(INDEX($B$5:$B$40,MATCH($A15+'Условия'!$B$19,$A$5:$A$40,0)),0)*'Условия'!$B$18/100,2)+IF($A15=1,'Условия'!$B$20,0)+IF($A15='Условия'!$B$12,'Условия'!$B$24,0)</f>
        <v/>
      </c>
      <c r="M15" s="55">
        <f>ROUND($I15+$J15+$K15-$L15,2)</f>
        <v/>
      </c>
      <c r="N15" s="55">
        <f>ROUND($N14+$M15,2)</f>
        <v/>
      </c>
      <c r="O15" s="22">
        <f>IF($N15&lt;0,$A15,"")</f>
        <v/>
      </c>
      <c r="P15" s="13">
        <f>IF($H15&lt;0,"Из КС этого месяца удерживают больше, чем она стоит: погашение аванса и гарантийное удержание вместе больше объёма",IF(AND($B15&gt;0,'Условия'!$B$16&lt;&gt;"",$A15&gt;'Условия'!$B$16),"Месяц за пределами срока объекта, а объём в графике есть",""))</f>
        <v/>
      </c>
    </row>
    <row r="16">
      <c r="A16" s="54" t="n">
        <v>12</v>
      </c>
      <c r="B16" s="55">
        <f>ROUND(IFERROR('Условия'!$B$5*INDEX('График КС'!$B$5:$B$40,MATCH($A16,'График КС'!$A$5:$A$40,0))/100,0),2)</f>
        <v/>
      </c>
      <c r="C16" s="55">
        <f>SUMIFS($B$5:$B$40,$A$5:$A$40,"&lt;="&amp;$A16)</f>
        <v/>
      </c>
      <c r="D16" s="56">
        <f>SUMIFS('График КС'!$B$5:$B$40,'График КС'!$A$5:$A$40,"&lt;="&amp;$A16)</f>
        <v/>
      </c>
      <c r="E16" s="55">
        <f>IF('Условия'!$B$25=0,0,IFERROR(MAX(0,MIN('Условия'!$B$23,IF('Условия'!$B$25=1,ROUND('Условия'!$B$23*$D16/'График КС'!$B$42,2),IF('Условия'!$B$25=2,IF($D16&gt;='График КС'!$B$42,'Условия'!$B$23,0),ROUND('Условия'!$B$23*($D16-'Условия'!$B$9)/('График КС'!$B$42-'Условия'!$B$9),2))))),0))</f>
        <v/>
      </c>
      <c r="F16" s="55">
        <f>ROUND($E16-$E15,2)</f>
        <v/>
      </c>
      <c r="G16" s="55">
        <f>ROUND($B16*'Условия'!$B$13/100,2)</f>
        <v/>
      </c>
      <c r="H16" s="55">
        <f>ROUND($B16-$F16-$G16,2)</f>
        <v/>
      </c>
      <c r="I16" s="55">
        <f>IF($A16='Условия'!$B$7,'Условия'!$B$23,0)</f>
        <v/>
      </c>
      <c r="J16" s="55">
        <f>IFERROR(INDEX($H$5:$H$40,MATCH($A16-'Условия'!$B$17,$A$5:$A$40,0)),0)</f>
        <v/>
      </c>
      <c r="K16" s="55">
        <f>IF(AND('Условия'!$B$14&gt;0,$A16='Условия'!$B$14),ROUND(SUM($G$5:$G$40)*'Условия'!$B$15/100,2),0)</f>
        <v/>
      </c>
      <c r="L16" s="55">
        <f>ROUND(IFERROR(INDEX($B$5:$B$40,MATCH($A16+'Условия'!$B$19,$A$5:$A$40,0)),0)*'Условия'!$B$18/100,2)+IF($A16=1,'Условия'!$B$20,0)+IF($A16='Условия'!$B$12,'Условия'!$B$24,0)</f>
        <v/>
      </c>
      <c r="M16" s="55">
        <f>ROUND($I16+$J16+$K16-$L16,2)</f>
        <v/>
      </c>
      <c r="N16" s="55">
        <f>ROUND($N15+$M16,2)</f>
        <v/>
      </c>
      <c r="O16" s="22">
        <f>IF($N16&lt;0,$A16,"")</f>
        <v/>
      </c>
      <c r="P16" s="13">
        <f>IF($H16&lt;0,"Из КС этого месяца удерживают больше, чем она стоит: погашение аванса и гарантийное удержание вместе больше объёма",IF(AND($B16&gt;0,'Условия'!$B$16&lt;&gt;"",$A16&gt;'Условия'!$B$16),"Месяц за пределами срока объекта, а объём в графике есть",""))</f>
        <v/>
      </c>
    </row>
    <row r="17">
      <c r="A17" s="54" t="n">
        <v>13</v>
      </c>
      <c r="B17" s="55">
        <f>ROUND(IFERROR('Условия'!$B$5*INDEX('График КС'!$B$5:$B$40,MATCH($A17,'График КС'!$A$5:$A$40,0))/100,0),2)</f>
        <v/>
      </c>
      <c r="C17" s="55">
        <f>SUMIFS($B$5:$B$40,$A$5:$A$40,"&lt;="&amp;$A17)</f>
        <v/>
      </c>
      <c r="D17" s="56">
        <f>SUMIFS('График КС'!$B$5:$B$40,'График КС'!$A$5:$A$40,"&lt;="&amp;$A17)</f>
        <v/>
      </c>
      <c r="E17" s="55">
        <f>IF('Условия'!$B$25=0,0,IFERROR(MAX(0,MIN('Условия'!$B$23,IF('Условия'!$B$25=1,ROUND('Условия'!$B$23*$D17/'График КС'!$B$42,2),IF('Условия'!$B$25=2,IF($D17&gt;='График КС'!$B$42,'Условия'!$B$23,0),ROUND('Условия'!$B$23*($D17-'Условия'!$B$9)/('График КС'!$B$42-'Условия'!$B$9),2))))),0))</f>
        <v/>
      </c>
      <c r="F17" s="55">
        <f>ROUND($E17-$E16,2)</f>
        <v/>
      </c>
      <c r="G17" s="55">
        <f>ROUND($B17*'Условия'!$B$13/100,2)</f>
        <v/>
      </c>
      <c r="H17" s="55">
        <f>ROUND($B17-$F17-$G17,2)</f>
        <v/>
      </c>
      <c r="I17" s="55">
        <f>IF($A17='Условия'!$B$7,'Условия'!$B$23,0)</f>
        <v/>
      </c>
      <c r="J17" s="55">
        <f>IFERROR(INDEX($H$5:$H$40,MATCH($A17-'Условия'!$B$17,$A$5:$A$40,0)),0)</f>
        <v/>
      </c>
      <c r="K17" s="55">
        <f>IF(AND('Условия'!$B$14&gt;0,$A17='Условия'!$B$14),ROUND(SUM($G$5:$G$40)*'Условия'!$B$15/100,2),0)</f>
        <v/>
      </c>
      <c r="L17" s="55">
        <f>ROUND(IFERROR(INDEX($B$5:$B$40,MATCH($A17+'Условия'!$B$19,$A$5:$A$40,0)),0)*'Условия'!$B$18/100,2)+IF($A17=1,'Условия'!$B$20,0)+IF($A17='Условия'!$B$12,'Условия'!$B$24,0)</f>
        <v/>
      </c>
      <c r="M17" s="55">
        <f>ROUND($I17+$J17+$K17-$L17,2)</f>
        <v/>
      </c>
      <c r="N17" s="55">
        <f>ROUND($N16+$M17,2)</f>
        <v/>
      </c>
      <c r="O17" s="22">
        <f>IF($N17&lt;0,$A17,"")</f>
        <v/>
      </c>
      <c r="P17" s="13">
        <f>IF($H17&lt;0,"Из КС этого месяца удерживают больше, чем она стоит: погашение аванса и гарантийное удержание вместе больше объёма",IF(AND($B17&gt;0,'Условия'!$B$16&lt;&gt;"",$A17&gt;'Условия'!$B$16),"Месяц за пределами срока объекта, а объём в графике есть",""))</f>
        <v/>
      </c>
    </row>
    <row r="18">
      <c r="A18" s="54" t="n">
        <v>14</v>
      </c>
      <c r="B18" s="55">
        <f>ROUND(IFERROR('Условия'!$B$5*INDEX('График КС'!$B$5:$B$40,MATCH($A18,'График КС'!$A$5:$A$40,0))/100,0),2)</f>
        <v/>
      </c>
      <c r="C18" s="55">
        <f>SUMIFS($B$5:$B$40,$A$5:$A$40,"&lt;="&amp;$A18)</f>
        <v/>
      </c>
      <c r="D18" s="56">
        <f>SUMIFS('График КС'!$B$5:$B$40,'График КС'!$A$5:$A$40,"&lt;="&amp;$A18)</f>
        <v/>
      </c>
      <c r="E18" s="55">
        <f>IF('Условия'!$B$25=0,0,IFERROR(MAX(0,MIN('Условия'!$B$23,IF('Условия'!$B$25=1,ROUND('Условия'!$B$23*$D18/'График КС'!$B$42,2),IF('Условия'!$B$25=2,IF($D18&gt;='График КС'!$B$42,'Условия'!$B$23,0),ROUND('Условия'!$B$23*($D18-'Условия'!$B$9)/('График КС'!$B$42-'Условия'!$B$9),2))))),0))</f>
        <v/>
      </c>
      <c r="F18" s="55">
        <f>ROUND($E18-$E17,2)</f>
        <v/>
      </c>
      <c r="G18" s="55">
        <f>ROUND($B18*'Условия'!$B$13/100,2)</f>
        <v/>
      </c>
      <c r="H18" s="55">
        <f>ROUND($B18-$F18-$G18,2)</f>
        <v/>
      </c>
      <c r="I18" s="55">
        <f>IF($A18='Условия'!$B$7,'Условия'!$B$23,0)</f>
        <v/>
      </c>
      <c r="J18" s="55">
        <f>IFERROR(INDEX($H$5:$H$40,MATCH($A18-'Условия'!$B$17,$A$5:$A$40,0)),0)</f>
        <v/>
      </c>
      <c r="K18" s="55">
        <f>IF(AND('Условия'!$B$14&gt;0,$A18='Условия'!$B$14),ROUND(SUM($G$5:$G$40)*'Условия'!$B$15/100,2),0)</f>
        <v/>
      </c>
      <c r="L18" s="55">
        <f>ROUND(IFERROR(INDEX($B$5:$B$40,MATCH($A18+'Условия'!$B$19,$A$5:$A$40,0)),0)*'Условия'!$B$18/100,2)+IF($A18=1,'Условия'!$B$20,0)+IF($A18='Условия'!$B$12,'Условия'!$B$24,0)</f>
        <v/>
      </c>
      <c r="M18" s="55">
        <f>ROUND($I18+$J18+$K18-$L18,2)</f>
        <v/>
      </c>
      <c r="N18" s="55">
        <f>ROUND($N17+$M18,2)</f>
        <v/>
      </c>
      <c r="O18" s="22">
        <f>IF($N18&lt;0,$A18,"")</f>
        <v/>
      </c>
      <c r="P18" s="13">
        <f>IF($H18&lt;0,"Из КС этого месяца удерживают больше, чем она стоит: погашение аванса и гарантийное удержание вместе больше объёма",IF(AND($B18&gt;0,'Условия'!$B$16&lt;&gt;"",$A18&gt;'Условия'!$B$16),"Месяц за пределами срока объекта, а объём в графике есть",""))</f>
        <v/>
      </c>
    </row>
    <row r="19">
      <c r="A19" s="54" t="n">
        <v>15</v>
      </c>
      <c r="B19" s="55">
        <f>ROUND(IFERROR('Условия'!$B$5*INDEX('График КС'!$B$5:$B$40,MATCH($A19,'График КС'!$A$5:$A$40,0))/100,0),2)</f>
        <v/>
      </c>
      <c r="C19" s="55">
        <f>SUMIFS($B$5:$B$40,$A$5:$A$40,"&lt;="&amp;$A19)</f>
        <v/>
      </c>
      <c r="D19" s="56">
        <f>SUMIFS('График КС'!$B$5:$B$40,'График КС'!$A$5:$A$40,"&lt;="&amp;$A19)</f>
        <v/>
      </c>
      <c r="E19" s="55">
        <f>IF('Условия'!$B$25=0,0,IFERROR(MAX(0,MIN('Условия'!$B$23,IF('Условия'!$B$25=1,ROUND('Условия'!$B$23*$D19/'График КС'!$B$42,2),IF('Условия'!$B$25=2,IF($D19&gt;='График КС'!$B$42,'Условия'!$B$23,0),ROUND('Условия'!$B$23*($D19-'Условия'!$B$9)/('График КС'!$B$42-'Условия'!$B$9),2))))),0))</f>
        <v/>
      </c>
      <c r="F19" s="55">
        <f>ROUND($E19-$E18,2)</f>
        <v/>
      </c>
      <c r="G19" s="55">
        <f>ROUND($B19*'Условия'!$B$13/100,2)</f>
        <v/>
      </c>
      <c r="H19" s="55">
        <f>ROUND($B19-$F19-$G19,2)</f>
        <v/>
      </c>
      <c r="I19" s="55">
        <f>IF($A19='Условия'!$B$7,'Условия'!$B$23,0)</f>
        <v/>
      </c>
      <c r="J19" s="55">
        <f>IFERROR(INDEX($H$5:$H$40,MATCH($A19-'Условия'!$B$17,$A$5:$A$40,0)),0)</f>
        <v/>
      </c>
      <c r="K19" s="55">
        <f>IF(AND('Условия'!$B$14&gt;0,$A19='Условия'!$B$14),ROUND(SUM($G$5:$G$40)*'Условия'!$B$15/100,2),0)</f>
        <v/>
      </c>
      <c r="L19" s="55">
        <f>ROUND(IFERROR(INDEX($B$5:$B$40,MATCH($A19+'Условия'!$B$19,$A$5:$A$40,0)),0)*'Условия'!$B$18/100,2)+IF($A19=1,'Условия'!$B$20,0)+IF($A19='Условия'!$B$12,'Условия'!$B$24,0)</f>
        <v/>
      </c>
      <c r="M19" s="55">
        <f>ROUND($I19+$J19+$K19-$L19,2)</f>
        <v/>
      </c>
      <c r="N19" s="55">
        <f>ROUND($N18+$M19,2)</f>
        <v/>
      </c>
      <c r="O19" s="22">
        <f>IF($N19&lt;0,$A19,"")</f>
        <v/>
      </c>
      <c r="P19" s="13">
        <f>IF($H19&lt;0,"Из КС этого месяца удерживают больше, чем она стоит: погашение аванса и гарантийное удержание вместе больше объёма",IF(AND($B19&gt;0,'Условия'!$B$16&lt;&gt;"",$A19&gt;'Условия'!$B$16),"Месяц за пределами срока объекта, а объём в графике есть",""))</f>
        <v/>
      </c>
    </row>
    <row r="20">
      <c r="A20" s="54" t="n">
        <v>16</v>
      </c>
      <c r="B20" s="55">
        <f>ROUND(IFERROR('Условия'!$B$5*INDEX('График КС'!$B$5:$B$40,MATCH($A20,'График КС'!$A$5:$A$40,0))/100,0),2)</f>
        <v/>
      </c>
      <c r="C20" s="55">
        <f>SUMIFS($B$5:$B$40,$A$5:$A$40,"&lt;="&amp;$A20)</f>
        <v/>
      </c>
      <c r="D20" s="56">
        <f>SUMIFS('График КС'!$B$5:$B$40,'График КС'!$A$5:$A$40,"&lt;="&amp;$A20)</f>
        <v/>
      </c>
      <c r="E20" s="55">
        <f>IF('Условия'!$B$25=0,0,IFERROR(MAX(0,MIN('Условия'!$B$23,IF('Условия'!$B$25=1,ROUND('Условия'!$B$23*$D20/'График КС'!$B$42,2),IF('Условия'!$B$25=2,IF($D20&gt;='График КС'!$B$42,'Условия'!$B$23,0),ROUND('Условия'!$B$23*($D20-'Условия'!$B$9)/('График КС'!$B$42-'Условия'!$B$9),2))))),0))</f>
        <v/>
      </c>
      <c r="F20" s="55">
        <f>ROUND($E20-$E19,2)</f>
        <v/>
      </c>
      <c r="G20" s="55">
        <f>ROUND($B20*'Условия'!$B$13/100,2)</f>
        <v/>
      </c>
      <c r="H20" s="55">
        <f>ROUND($B20-$F20-$G20,2)</f>
        <v/>
      </c>
      <c r="I20" s="55">
        <f>IF($A20='Условия'!$B$7,'Условия'!$B$23,0)</f>
        <v/>
      </c>
      <c r="J20" s="55">
        <f>IFERROR(INDEX($H$5:$H$40,MATCH($A20-'Условия'!$B$17,$A$5:$A$40,0)),0)</f>
        <v/>
      </c>
      <c r="K20" s="55">
        <f>IF(AND('Условия'!$B$14&gt;0,$A20='Условия'!$B$14),ROUND(SUM($G$5:$G$40)*'Условия'!$B$15/100,2),0)</f>
        <v/>
      </c>
      <c r="L20" s="55">
        <f>ROUND(IFERROR(INDEX($B$5:$B$40,MATCH($A20+'Условия'!$B$19,$A$5:$A$40,0)),0)*'Условия'!$B$18/100,2)+IF($A20=1,'Условия'!$B$20,0)+IF($A20='Условия'!$B$12,'Условия'!$B$24,0)</f>
        <v/>
      </c>
      <c r="M20" s="55">
        <f>ROUND($I20+$J20+$K20-$L20,2)</f>
        <v/>
      </c>
      <c r="N20" s="55">
        <f>ROUND($N19+$M20,2)</f>
        <v/>
      </c>
      <c r="O20" s="22">
        <f>IF($N20&lt;0,$A20,"")</f>
        <v/>
      </c>
      <c r="P20" s="13">
        <f>IF($H20&lt;0,"Из КС этого месяца удерживают больше, чем она стоит: погашение аванса и гарантийное удержание вместе больше объёма",IF(AND($B20&gt;0,'Условия'!$B$16&lt;&gt;"",$A20&gt;'Условия'!$B$16),"Месяц за пределами срока объекта, а объём в графике есть",""))</f>
        <v/>
      </c>
    </row>
    <row r="21">
      <c r="A21" s="54" t="n">
        <v>17</v>
      </c>
      <c r="B21" s="55">
        <f>ROUND(IFERROR('Условия'!$B$5*INDEX('График КС'!$B$5:$B$40,MATCH($A21,'График КС'!$A$5:$A$40,0))/100,0),2)</f>
        <v/>
      </c>
      <c r="C21" s="55">
        <f>SUMIFS($B$5:$B$40,$A$5:$A$40,"&lt;="&amp;$A21)</f>
        <v/>
      </c>
      <c r="D21" s="56">
        <f>SUMIFS('График КС'!$B$5:$B$40,'График КС'!$A$5:$A$40,"&lt;="&amp;$A21)</f>
        <v/>
      </c>
      <c r="E21" s="55">
        <f>IF('Условия'!$B$25=0,0,IFERROR(MAX(0,MIN('Условия'!$B$23,IF('Условия'!$B$25=1,ROUND('Условия'!$B$23*$D21/'График КС'!$B$42,2),IF('Условия'!$B$25=2,IF($D21&gt;='График КС'!$B$42,'Условия'!$B$23,0),ROUND('Условия'!$B$23*($D21-'Условия'!$B$9)/('График КС'!$B$42-'Условия'!$B$9),2))))),0))</f>
        <v/>
      </c>
      <c r="F21" s="55">
        <f>ROUND($E21-$E20,2)</f>
        <v/>
      </c>
      <c r="G21" s="55">
        <f>ROUND($B21*'Условия'!$B$13/100,2)</f>
        <v/>
      </c>
      <c r="H21" s="55">
        <f>ROUND($B21-$F21-$G21,2)</f>
        <v/>
      </c>
      <c r="I21" s="55">
        <f>IF($A21='Условия'!$B$7,'Условия'!$B$23,0)</f>
        <v/>
      </c>
      <c r="J21" s="55">
        <f>IFERROR(INDEX($H$5:$H$40,MATCH($A21-'Условия'!$B$17,$A$5:$A$40,0)),0)</f>
        <v/>
      </c>
      <c r="K21" s="55">
        <f>IF(AND('Условия'!$B$14&gt;0,$A21='Условия'!$B$14),ROUND(SUM($G$5:$G$40)*'Условия'!$B$15/100,2),0)</f>
        <v/>
      </c>
      <c r="L21" s="55">
        <f>ROUND(IFERROR(INDEX($B$5:$B$40,MATCH($A21+'Условия'!$B$19,$A$5:$A$40,0)),0)*'Условия'!$B$18/100,2)+IF($A21=1,'Условия'!$B$20,0)+IF($A21='Условия'!$B$12,'Условия'!$B$24,0)</f>
        <v/>
      </c>
      <c r="M21" s="55">
        <f>ROUND($I21+$J21+$K21-$L21,2)</f>
        <v/>
      </c>
      <c r="N21" s="55">
        <f>ROUND($N20+$M21,2)</f>
        <v/>
      </c>
      <c r="O21" s="22">
        <f>IF($N21&lt;0,$A21,"")</f>
        <v/>
      </c>
      <c r="P21" s="13">
        <f>IF($H21&lt;0,"Из КС этого месяца удерживают больше, чем она стоит: погашение аванса и гарантийное удержание вместе больше объёма",IF(AND($B21&gt;0,'Условия'!$B$16&lt;&gt;"",$A21&gt;'Условия'!$B$16),"Месяц за пределами срока объекта, а объём в графике есть",""))</f>
        <v/>
      </c>
    </row>
    <row r="22">
      <c r="A22" s="54" t="n">
        <v>18</v>
      </c>
      <c r="B22" s="55">
        <f>ROUND(IFERROR('Условия'!$B$5*INDEX('График КС'!$B$5:$B$40,MATCH($A22,'График КС'!$A$5:$A$40,0))/100,0),2)</f>
        <v/>
      </c>
      <c r="C22" s="55">
        <f>SUMIFS($B$5:$B$40,$A$5:$A$40,"&lt;="&amp;$A22)</f>
        <v/>
      </c>
      <c r="D22" s="56">
        <f>SUMIFS('График КС'!$B$5:$B$40,'График КС'!$A$5:$A$40,"&lt;="&amp;$A22)</f>
        <v/>
      </c>
      <c r="E22" s="55">
        <f>IF('Условия'!$B$25=0,0,IFERROR(MAX(0,MIN('Условия'!$B$23,IF('Условия'!$B$25=1,ROUND('Условия'!$B$23*$D22/'График КС'!$B$42,2),IF('Условия'!$B$25=2,IF($D22&gt;='График КС'!$B$42,'Условия'!$B$23,0),ROUND('Условия'!$B$23*($D22-'Условия'!$B$9)/('График КС'!$B$42-'Условия'!$B$9),2))))),0))</f>
        <v/>
      </c>
      <c r="F22" s="55">
        <f>ROUND($E22-$E21,2)</f>
        <v/>
      </c>
      <c r="G22" s="55">
        <f>ROUND($B22*'Условия'!$B$13/100,2)</f>
        <v/>
      </c>
      <c r="H22" s="55">
        <f>ROUND($B22-$F22-$G22,2)</f>
        <v/>
      </c>
      <c r="I22" s="55">
        <f>IF($A22='Условия'!$B$7,'Условия'!$B$23,0)</f>
        <v/>
      </c>
      <c r="J22" s="55">
        <f>IFERROR(INDEX($H$5:$H$40,MATCH($A22-'Условия'!$B$17,$A$5:$A$40,0)),0)</f>
        <v/>
      </c>
      <c r="K22" s="55">
        <f>IF(AND('Условия'!$B$14&gt;0,$A22='Условия'!$B$14),ROUND(SUM($G$5:$G$40)*'Условия'!$B$15/100,2),0)</f>
        <v/>
      </c>
      <c r="L22" s="55">
        <f>ROUND(IFERROR(INDEX($B$5:$B$40,MATCH($A22+'Условия'!$B$19,$A$5:$A$40,0)),0)*'Условия'!$B$18/100,2)+IF($A22=1,'Условия'!$B$20,0)+IF($A22='Условия'!$B$12,'Условия'!$B$24,0)</f>
        <v/>
      </c>
      <c r="M22" s="55">
        <f>ROUND($I22+$J22+$K22-$L22,2)</f>
        <v/>
      </c>
      <c r="N22" s="55">
        <f>ROUND($N21+$M22,2)</f>
        <v/>
      </c>
      <c r="O22" s="22">
        <f>IF($N22&lt;0,$A22,"")</f>
        <v/>
      </c>
      <c r="P22" s="13">
        <f>IF($H22&lt;0,"Из КС этого месяца удерживают больше, чем она стоит: погашение аванса и гарантийное удержание вместе больше объёма",IF(AND($B22&gt;0,'Условия'!$B$16&lt;&gt;"",$A22&gt;'Условия'!$B$16),"Месяц за пределами срока объекта, а объём в графике есть",""))</f>
        <v/>
      </c>
    </row>
    <row r="23">
      <c r="A23" s="54" t="n">
        <v>19</v>
      </c>
      <c r="B23" s="55">
        <f>ROUND(IFERROR('Условия'!$B$5*INDEX('График КС'!$B$5:$B$40,MATCH($A23,'График КС'!$A$5:$A$40,0))/100,0),2)</f>
        <v/>
      </c>
      <c r="C23" s="55">
        <f>SUMIFS($B$5:$B$40,$A$5:$A$40,"&lt;="&amp;$A23)</f>
        <v/>
      </c>
      <c r="D23" s="56">
        <f>SUMIFS('График КС'!$B$5:$B$40,'График КС'!$A$5:$A$40,"&lt;="&amp;$A23)</f>
        <v/>
      </c>
      <c r="E23" s="55">
        <f>IF('Условия'!$B$25=0,0,IFERROR(MAX(0,MIN('Условия'!$B$23,IF('Условия'!$B$25=1,ROUND('Условия'!$B$23*$D23/'График КС'!$B$42,2),IF('Условия'!$B$25=2,IF($D23&gt;='График КС'!$B$42,'Условия'!$B$23,0),ROUND('Условия'!$B$23*($D23-'Условия'!$B$9)/('График КС'!$B$42-'Условия'!$B$9),2))))),0))</f>
        <v/>
      </c>
      <c r="F23" s="55">
        <f>ROUND($E23-$E22,2)</f>
        <v/>
      </c>
      <c r="G23" s="55">
        <f>ROUND($B23*'Условия'!$B$13/100,2)</f>
        <v/>
      </c>
      <c r="H23" s="55">
        <f>ROUND($B23-$F23-$G23,2)</f>
        <v/>
      </c>
      <c r="I23" s="55">
        <f>IF($A23='Условия'!$B$7,'Условия'!$B$23,0)</f>
        <v/>
      </c>
      <c r="J23" s="55">
        <f>IFERROR(INDEX($H$5:$H$40,MATCH($A23-'Условия'!$B$17,$A$5:$A$40,0)),0)</f>
        <v/>
      </c>
      <c r="K23" s="55">
        <f>IF(AND('Условия'!$B$14&gt;0,$A23='Условия'!$B$14),ROUND(SUM($G$5:$G$40)*'Условия'!$B$15/100,2),0)</f>
        <v/>
      </c>
      <c r="L23" s="55">
        <f>ROUND(IFERROR(INDEX($B$5:$B$40,MATCH($A23+'Условия'!$B$19,$A$5:$A$40,0)),0)*'Условия'!$B$18/100,2)+IF($A23=1,'Условия'!$B$20,0)+IF($A23='Условия'!$B$12,'Условия'!$B$24,0)</f>
        <v/>
      </c>
      <c r="M23" s="55">
        <f>ROUND($I23+$J23+$K23-$L23,2)</f>
        <v/>
      </c>
      <c r="N23" s="55">
        <f>ROUND($N22+$M23,2)</f>
        <v/>
      </c>
      <c r="O23" s="22">
        <f>IF($N23&lt;0,$A23,"")</f>
        <v/>
      </c>
      <c r="P23" s="13">
        <f>IF($H23&lt;0,"Из КС этого месяца удерживают больше, чем она стоит: погашение аванса и гарантийное удержание вместе больше объёма",IF(AND($B23&gt;0,'Условия'!$B$16&lt;&gt;"",$A23&gt;'Условия'!$B$16),"Месяц за пределами срока объекта, а объём в графике есть",""))</f>
        <v/>
      </c>
    </row>
    <row r="24">
      <c r="A24" s="54" t="n">
        <v>20</v>
      </c>
      <c r="B24" s="55">
        <f>ROUND(IFERROR('Условия'!$B$5*INDEX('График КС'!$B$5:$B$40,MATCH($A24,'График КС'!$A$5:$A$40,0))/100,0),2)</f>
        <v/>
      </c>
      <c r="C24" s="55">
        <f>SUMIFS($B$5:$B$40,$A$5:$A$40,"&lt;="&amp;$A24)</f>
        <v/>
      </c>
      <c r="D24" s="56">
        <f>SUMIFS('График КС'!$B$5:$B$40,'График КС'!$A$5:$A$40,"&lt;="&amp;$A24)</f>
        <v/>
      </c>
      <c r="E24" s="55">
        <f>IF('Условия'!$B$25=0,0,IFERROR(MAX(0,MIN('Условия'!$B$23,IF('Условия'!$B$25=1,ROUND('Условия'!$B$23*$D24/'График КС'!$B$42,2),IF('Условия'!$B$25=2,IF($D24&gt;='График КС'!$B$42,'Условия'!$B$23,0),ROUND('Условия'!$B$23*($D24-'Условия'!$B$9)/('График КС'!$B$42-'Условия'!$B$9),2))))),0))</f>
        <v/>
      </c>
      <c r="F24" s="55">
        <f>ROUND($E24-$E23,2)</f>
        <v/>
      </c>
      <c r="G24" s="55">
        <f>ROUND($B24*'Условия'!$B$13/100,2)</f>
        <v/>
      </c>
      <c r="H24" s="55">
        <f>ROUND($B24-$F24-$G24,2)</f>
        <v/>
      </c>
      <c r="I24" s="55">
        <f>IF($A24='Условия'!$B$7,'Условия'!$B$23,0)</f>
        <v/>
      </c>
      <c r="J24" s="55">
        <f>IFERROR(INDEX($H$5:$H$40,MATCH($A24-'Условия'!$B$17,$A$5:$A$40,0)),0)</f>
        <v/>
      </c>
      <c r="K24" s="55">
        <f>IF(AND('Условия'!$B$14&gt;0,$A24='Условия'!$B$14),ROUND(SUM($G$5:$G$40)*'Условия'!$B$15/100,2),0)</f>
        <v/>
      </c>
      <c r="L24" s="55">
        <f>ROUND(IFERROR(INDEX($B$5:$B$40,MATCH($A24+'Условия'!$B$19,$A$5:$A$40,0)),0)*'Условия'!$B$18/100,2)+IF($A24=1,'Условия'!$B$20,0)+IF($A24='Условия'!$B$12,'Условия'!$B$24,0)</f>
        <v/>
      </c>
      <c r="M24" s="55">
        <f>ROUND($I24+$J24+$K24-$L24,2)</f>
        <v/>
      </c>
      <c r="N24" s="55">
        <f>ROUND($N23+$M24,2)</f>
        <v/>
      </c>
      <c r="O24" s="22">
        <f>IF($N24&lt;0,$A24,"")</f>
        <v/>
      </c>
      <c r="P24" s="13">
        <f>IF($H24&lt;0,"Из КС этого месяца удерживают больше, чем она стоит: погашение аванса и гарантийное удержание вместе больше объёма",IF(AND($B24&gt;0,'Условия'!$B$16&lt;&gt;"",$A24&gt;'Условия'!$B$16),"Месяц за пределами срока объекта, а объём в графике есть",""))</f>
        <v/>
      </c>
    </row>
    <row r="25">
      <c r="A25" s="54" t="n">
        <v>21</v>
      </c>
      <c r="B25" s="55">
        <f>ROUND(IFERROR('Условия'!$B$5*INDEX('График КС'!$B$5:$B$40,MATCH($A25,'График КС'!$A$5:$A$40,0))/100,0),2)</f>
        <v/>
      </c>
      <c r="C25" s="55">
        <f>SUMIFS($B$5:$B$40,$A$5:$A$40,"&lt;="&amp;$A25)</f>
        <v/>
      </c>
      <c r="D25" s="56">
        <f>SUMIFS('График КС'!$B$5:$B$40,'График КС'!$A$5:$A$40,"&lt;="&amp;$A25)</f>
        <v/>
      </c>
      <c r="E25" s="55">
        <f>IF('Условия'!$B$25=0,0,IFERROR(MAX(0,MIN('Условия'!$B$23,IF('Условия'!$B$25=1,ROUND('Условия'!$B$23*$D25/'График КС'!$B$42,2),IF('Условия'!$B$25=2,IF($D25&gt;='График КС'!$B$42,'Условия'!$B$23,0),ROUND('Условия'!$B$23*($D25-'Условия'!$B$9)/('График КС'!$B$42-'Условия'!$B$9),2))))),0))</f>
        <v/>
      </c>
      <c r="F25" s="55">
        <f>ROUND($E25-$E24,2)</f>
        <v/>
      </c>
      <c r="G25" s="55">
        <f>ROUND($B25*'Условия'!$B$13/100,2)</f>
        <v/>
      </c>
      <c r="H25" s="55">
        <f>ROUND($B25-$F25-$G25,2)</f>
        <v/>
      </c>
      <c r="I25" s="55">
        <f>IF($A25='Условия'!$B$7,'Условия'!$B$23,0)</f>
        <v/>
      </c>
      <c r="J25" s="55">
        <f>IFERROR(INDEX($H$5:$H$40,MATCH($A25-'Условия'!$B$17,$A$5:$A$40,0)),0)</f>
        <v/>
      </c>
      <c r="K25" s="55">
        <f>IF(AND('Условия'!$B$14&gt;0,$A25='Условия'!$B$14),ROUND(SUM($G$5:$G$40)*'Условия'!$B$15/100,2),0)</f>
        <v/>
      </c>
      <c r="L25" s="55">
        <f>ROUND(IFERROR(INDEX($B$5:$B$40,MATCH($A25+'Условия'!$B$19,$A$5:$A$40,0)),0)*'Условия'!$B$18/100,2)+IF($A25=1,'Условия'!$B$20,0)+IF($A25='Условия'!$B$12,'Условия'!$B$24,0)</f>
        <v/>
      </c>
      <c r="M25" s="55">
        <f>ROUND($I25+$J25+$K25-$L25,2)</f>
        <v/>
      </c>
      <c r="N25" s="55">
        <f>ROUND($N24+$M25,2)</f>
        <v/>
      </c>
      <c r="O25" s="22">
        <f>IF($N25&lt;0,$A25,"")</f>
        <v/>
      </c>
      <c r="P25" s="13">
        <f>IF($H25&lt;0,"Из КС этого месяца удерживают больше, чем она стоит: погашение аванса и гарантийное удержание вместе больше объёма",IF(AND($B25&gt;0,'Условия'!$B$16&lt;&gt;"",$A25&gt;'Условия'!$B$16),"Месяц за пределами срока объекта, а объём в графике есть",""))</f>
        <v/>
      </c>
    </row>
    <row r="26">
      <c r="A26" s="54" t="n">
        <v>22</v>
      </c>
      <c r="B26" s="55">
        <f>ROUND(IFERROR('Условия'!$B$5*INDEX('График КС'!$B$5:$B$40,MATCH($A26,'График КС'!$A$5:$A$40,0))/100,0),2)</f>
        <v/>
      </c>
      <c r="C26" s="55">
        <f>SUMIFS($B$5:$B$40,$A$5:$A$40,"&lt;="&amp;$A26)</f>
        <v/>
      </c>
      <c r="D26" s="56">
        <f>SUMIFS('График КС'!$B$5:$B$40,'График КС'!$A$5:$A$40,"&lt;="&amp;$A26)</f>
        <v/>
      </c>
      <c r="E26" s="55">
        <f>IF('Условия'!$B$25=0,0,IFERROR(MAX(0,MIN('Условия'!$B$23,IF('Условия'!$B$25=1,ROUND('Условия'!$B$23*$D26/'График КС'!$B$42,2),IF('Условия'!$B$25=2,IF($D26&gt;='График КС'!$B$42,'Условия'!$B$23,0),ROUND('Условия'!$B$23*($D26-'Условия'!$B$9)/('График КС'!$B$42-'Условия'!$B$9),2))))),0))</f>
        <v/>
      </c>
      <c r="F26" s="55">
        <f>ROUND($E26-$E25,2)</f>
        <v/>
      </c>
      <c r="G26" s="55">
        <f>ROUND($B26*'Условия'!$B$13/100,2)</f>
        <v/>
      </c>
      <c r="H26" s="55">
        <f>ROUND($B26-$F26-$G26,2)</f>
        <v/>
      </c>
      <c r="I26" s="55">
        <f>IF($A26='Условия'!$B$7,'Условия'!$B$23,0)</f>
        <v/>
      </c>
      <c r="J26" s="55">
        <f>IFERROR(INDEX($H$5:$H$40,MATCH($A26-'Условия'!$B$17,$A$5:$A$40,0)),0)</f>
        <v/>
      </c>
      <c r="K26" s="55">
        <f>IF(AND('Условия'!$B$14&gt;0,$A26='Условия'!$B$14),ROUND(SUM($G$5:$G$40)*'Условия'!$B$15/100,2),0)</f>
        <v/>
      </c>
      <c r="L26" s="55">
        <f>ROUND(IFERROR(INDEX($B$5:$B$40,MATCH($A26+'Условия'!$B$19,$A$5:$A$40,0)),0)*'Условия'!$B$18/100,2)+IF($A26=1,'Условия'!$B$20,0)+IF($A26='Условия'!$B$12,'Условия'!$B$24,0)</f>
        <v/>
      </c>
      <c r="M26" s="55">
        <f>ROUND($I26+$J26+$K26-$L26,2)</f>
        <v/>
      </c>
      <c r="N26" s="55">
        <f>ROUND($N25+$M26,2)</f>
        <v/>
      </c>
      <c r="O26" s="22">
        <f>IF($N26&lt;0,$A26,"")</f>
        <v/>
      </c>
      <c r="P26" s="13">
        <f>IF($H26&lt;0,"Из КС этого месяца удерживают больше, чем она стоит: погашение аванса и гарантийное удержание вместе больше объёма",IF(AND($B26&gt;0,'Условия'!$B$16&lt;&gt;"",$A26&gt;'Условия'!$B$16),"Месяц за пределами срока объекта, а объём в графике есть",""))</f>
        <v/>
      </c>
    </row>
    <row r="27">
      <c r="A27" s="54" t="n">
        <v>23</v>
      </c>
      <c r="B27" s="55">
        <f>ROUND(IFERROR('Условия'!$B$5*INDEX('График КС'!$B$5:$B$40,MATCH($A27,'График КС'!$A$5:$A$40,0))/100,0),2)</f>
        <v/>
      </c>
      <c r="C27" s="55">
        <f>SUMIFS($B$5:$B$40,$A$5:$A$40,"&lt;="&amp;$A27)</f>
        <v/>
      </c>
      <c r="D27" s="56">
        <f>SUMIFS('График КС'!$B$5:$B$40,'График КС'!$A$5:$A$40,"&lt;="&amp;$A27)</f>
        <v/>
      </c>
      <c r="E27" s="55">
        <f>IF('Условия'!$B$25=0,0,IFERROR(MAX(0,MIN('Условия'!$B$23,IF('Условия'!$B$25=1,ROUND('Условия'!$B$23*$D27/'График КС'!$B$42,2),IF('Условия'!$B$25=2,IF($D27&gt;='График КС'!$B$42,'Условия'!$B$23,0),ROUND('Условия'!$B$23*($D27-'Условия'!$B$9)/('График КС'!$B$42-'Условия'!$B$9),2))))),0))</f>
        <v/>
      </c>
      <c r="F27" s="55">
        <f>ROUND($E27-$E26,2)</f>
        <v/>
      </c>
      <c r="G27" s="55">
        <f>ROUND($B27*'Условия'!$B$13/100,2)</f>
        <v/>
      </c>
      <c r="H27" s="55">
        <f>ROUND($B27-$F27-$G27,2)</f>
        <v/>
      </c>
      <c r="I27" s="55">
        <f>IF($A27='Условия'!$B$7,'Условия'!$B$23,0)</f>
        <v/>
      </c>
      <c r="J27" s="55">
        <f>IFERROR(INDEX($H$5:$H$40,MATCH($A27-'Условия'!$B$17,$A$5:$A$40,0)),0)</f>
        <v/>
      </c>
      <c r="K27" s="55">
        <f>IF(AND('Условия'!$B$14&gt;0,$A27='Условия'!$B$14),ROUND(SUM($G$5:$G$40)*'Условия'!$B$15/100,2),0)</f>
        <v/>
      </c>
      <c r="L27" s="55">
        <f>ROUND(IFERROR(INDEX($B$5:$B$40,MATCH($A27+'Условия'!$B$19,$A$5:$A$40,0)),0)*'Условия'!$B$18/100,2)+IF($A27=1,'Условия'!$B$20,0)+IF($A27='Условия'!$B$12,'Условия'!$B$24,0)</f>
        <v/>
      </c>
      <c r="M27" s="55">
        <f>ROUND($I27+$J27+$K27-$L27,2)</f>
        <v/>
      </c>
      <c r="N27" s="55">
        <f>ROUND($N26+$M27,2)</f>
        <v/>
      </c>
      <c r="O27" s="22">
        <f>IF($N27&lt;0,$A27,"")</f>
        <v/>
      </c>
      <c r="P27" s="13">
        <f>IF($H27&lt;0,"Из КС этого месяца удерживают больше, чем она стоит: погашение аванса и гарантийное удержание вместе больше объёма",IF(AND($B27&gt;0,'Условия'!$B$16&lt;&gt;"",$A27&gt;'Условия'!$B$16),"Месяц за пределами срока объекта, а объём в графике есть",""))</f>
        <v/>
      </c>
    </row>
    <row r="28">
      <c r="A28" s="54" t="n">
        <v>24</v>
      </c>
      <c r="B28" s="55">
        <f>ROUND(IFERROR('Условия'!$B$5*INDEX('График КС'!$B$5:$B$40,MATCH($A28,'График КС'!$A$5:$A$40,0))/100,0),2)</f>
        <v/>
      </c>
      <c r="C28" s="55">
        <f>SUMIFS($B$5:$B$40,$A$5:$A$40,"&lt;="&amp;$A28)</f>
        <v/>
      </c>
      <c r="D28" s="56">
        <f>SUMIFS('График КС'!$B$5:$B$40,'График КС'!$A$5:$A$40,"&lt;="&amp;$A28)</f>
        <v/>
      </c>
      <c r="E28" s="55">
        <f>IF('Условия'!$B$25=0,0,IFERROR(MAX(0,MIN('Условия'!$B$23,IF('Условия'!$B$25=1,ROUND('Условия'!$B$23*$D28/'График КС'!$B$42,2),IF('Условия'!$B$25=2,IF($D28&gt;='График КС'!$B$42,'Условия'!$B$23,0),ROUND('Условия'!$B$23*($D28-'Условия'!$B$9)/('График КС'!$B$42-'Условия'!$B$9),2))))),0))</f>
        <v/>
      </c>
      <c r="F28" s="55">
        <f>ROUND($E28-$E27,2)</f>
        <v/>
      </c>
      <c r="G28" s="55">
        <f>ROUND($B28*'Условия'!$B$13/100,2)</f>
        <v/>
      </c>
      <c r="H28" s="55">
        <f>ROUND($B28-$F28-$G28,2)</f>
        <v/>
      </c>
      <c r="I28" s="55">
        <f>IF($A28='Условия'!$B$7,'Условия'!$B$23,0)</f>
        <v/>
      </c>
      <c r="J28" s="55">
        <f>IFERROR(INDEX($H$5:$H$40,MATCH($A28-'Условия'!$B$17,$A$5:$A$40,0)),0)</f>
        <v/>
      </c>
      <c r="K28" s="55">
        <f>IF(AND('Условия'!$B$14&gt;0,$A28='Условия'!$B$14),ROUND(SUM($G$5:$G$40)*'Условия'!$B$15/100,2),0)</f>
        <v/>
      </c>
      <c r="L28" s="55">
        <f>ROUND(IFERROR(INDEX($B$5:$B$40,MATCH($A28+'Условия'!$B$19,$A$5:$A$40,0)),0)*'Условия'!$B$18/100,2)+IF($A28=1,'Условия'!$B$20,0)+IF($A28='Условия'!$B$12,'Условия'!$B$24,0)</f>
        <v/>
      </c>
      <c r="M28" s="55">
        <f>ROUND($I28+$J28+$K28-$L28,2)</f>
        <v/>
      </c>
      <c r="N28" s="55">
        <f>ROUND($N27+$M28,2)</f>
        <v/>
      </c>
      <c r="O28" s="22">
        <f>IF($N28&lt;0,$A28,"")</f>
        <v/>
      </c>
      <c r="P28" s="13">
        <f>IF($H28&lt;0,"Из КС этого месяца удерживают больше, чем она стоит: погашение аванса и гарантийное удержание вместе больше объёма",IF(AND($B28&gt;0,'Условия'!$B$16&lt;&gt;"",$A28&gt;'Условия'!$B$16),"Месяц за пределами срока объекта, а объём в графике есть",""))</f>
        <v/>
      </c>
    </row>
    <row r="29">
      <c r="A29" s="54" t="n">
        <v>25</v>
      </c>
      <c r="B29" s="55">
        <f>ROUND(IFERROR('Условия'!$B$5*INDEX('График КС'!$B$5:$B$40,MATCH($A29,'График КС'!$A$5:$A$40,0))/100,0),2)</f>
        <v/>
      </c>
      <c r="C29" s="55">
        <f>SUMIFS($B$5:$B$40,$A$5:$A$40,"&lt;="&amp;$A29)</f>
        <v/>
      </c>
      <c r="D29" s="56">
        <f>SUMIFS('График КС'!$B$5:$B$40,'График КС'!$A$5:$A$40,"&lt;="&amp;$A29)</f>
        <v/>
      </c>
      <c r="E29" s="55">
        <f>IF('Условия'!$B$25=0,0,IFERROR(MAX(0,MIN('Условия'!$B$23,IF('Условия'!$B$25=1,ROUND('Условия'!$B$23*$D29/'График КС'!$B$42,2),IF('Условия'!$B$25=2,IF($D29&gt;='График КС'!$B$42,'Условия'!$B$23,0),ROUND('Условия'!$B$23*($D29-'Условия'!$B$9)/('График КС'!$B$42-'Условия'!$B$9),2))))),0))</f>
        <v/>
      </c>
      <c r="F29" s="55">
        <f>ROUND($E29-$E28,2)</f>
        <v/>
      </c>
      <c r="G29" s="55">
        <f>ROUND($B29*'Условия'!$B$13/100,2)</f>
        <v/>
      </c>
      <c r="H29" s="55">
        <f>ROUND($B29-$F29-$G29,2)</f>
        <v/>
      </c>
      <c r="I29" s="55">
        <f>IF($A29='Условия'!$B$7,'Условия'!$B$23,0)</f>
        <v/>
      </c>
      <c r="J29" s="55">
        <f>IFERROR(INDEX($H$5:$H$40,MATCH($A29-'Условия'!$B$17,$A$5:$A$40,0)),0)</f>
        <v/>
      </c>
      <c r="K29" s="55">
        <f>IF(AND('Условия'!$B$14&gt;0,$A29='Условия'!$B$14),ROUND(SUM($G$5:$G$40)*'Условия'!$B$15/100,2),0)</f>
        <v/>
      </c>
      <c r="L29" s="55">
        <f>ROUND(IFERROR(INDEX($B$5:$B$40,MATCH($A29+'Условия'!$B$19,$A$5:$A$40,0)),0)*'Условия'!$B$18/100,2)+IF($A29=1,'Условия'!$B$20,0)+IF($A29='Условия'!$B$12,'Условия'!$B$24,0)</f>
        <v/>
      </c>
      <c r="M29" s="55">
        <f>ROUND($I29+$J29+$K29-$L29,2)</f>
        <v/>
      </c>
      <c r="N29" s="55">
        <f>ROUND($N28+$M29,2)</f>
        <v/>
      </c>
      <c r="O29" s="22">
        <f>IF($N29&lt;0,$A29,"")</f>
        <v/>
      </c>
      <c r="P29" s="13">
        <f>IF($H29&lt;0,"Из КС этого месяца удерживают больше, чем она стоит: погашение аванса и гарантийное удержание вместе больше объёма",IF(AND($B29&gt;0,'Условия'!$B$16&lt;&gt;"",$A29&gt;'Условия'!$B$16),"Месяц за пределами срока объекта, а объём в графике есть",""))</f>
        <v/>
      </c>
    </row>
    <row r="30">
      <c r="A30" s="54" t="n">
        <v>26</v>
      </c>
      <c r="B30" s="55">
        <f>ROUND(IFERROR('Условия'!$B$5*INDEX('График КС'!$B$5:$B$40,MATCH($A30,'График КС'!$A$5:$A$40,0))/100,0),2)</f>
        <v/>
      </c>
      <c r="C30" s="55">
        <f>SUMIFS($B$5:$B$40,$A$5:$A$40,"&lt;="&amp;$A30)</f>
        <v/>
      </c>
      <c r="D30" s="56">
        <f>SUMIFS('График КС'!$B$5:$B$40,'График КС'!$A$5:$A$40,"&lt;="&amp;$A30)</f>
        <v/>
      </c>
      <c r="E30" s="55">
        <f>IF('Условия'!$B$25=0,0,IFERROR(MAX(0,MIN('Условия'!$B$23,IF('Условия'!$B$25=1,ROUND('Условия'!$B$23*$D30/'График КС'!$B$42,2),IF('Условия'!$B$25=2,IF($D30&gt;='График КС'!$B$42,'Условия'!$B$23,0),ROUND('Условия'!$B$23*($D30-'Условия'!$B$9)/('График КС'!$B$42-'Условия'!$B$9),2))))),0))</f>
        <v/>
      </c>
      <c r="F30" s="55">
        <f>ROUND($E30-$E29,2)</f>
        <v/>
      </c>
      <c r="G30" s="55">
        <f>ROUND($B30*'Условия'!$B$13/100,2)</f>
        <v/>
      </c>
      <c r="H30" s="55">
        <f>ROUND($B30-$F30-$G30,2)</f>
        <v/>
      </c>
      <c r="I30" s="55">
        <f>IF($A30='Условия'!$B$7,'Условия'!$B$23,0)</f>
        <v/>
      </c>
      <c r="J30" s="55">
        <f>IFERROR(INDEX($H$5:$H$40,MATCH($A30-'Условия'!$B$17,$A$5:$A$40,0)),0)</f>
        <v/>
      </c>
      <c r="K30" s="55">
        <f>IF(AND('Условия'!$B$14&gt;0,$A30='Условия'!$B$14),ROUND(SUM($G$5:$G$40)*'Условия'!$B$15/100,2),0)</f>
        <v/>
      </c>
      <c r="L30" s="55">
        <f>ROUND(IFERROR(INDEX($B$5:$B$40,MATCH($A30+'Условия'!$B$19,$A$5:$A$40,0)),0)*'Условия'!$B$18/100,2)+IF($A30=1,'Условия'!$B$20,0)+IF($A30='Условия'!$B$12,'Условия'!$B$24,0)</f>
        <v/>
      </c>
      <c r="M30" s="55">
        <f>ROUND($I30+$J30+$K30-$L30,2)</f>
        <v/>
      </c>
      <c r="N30" s="55">
        <f>ROUND($N29+$M30,2)</f>
        <v/>
      </c>
      <c r="O30" s="22">
        <f>IF($N30&lt;0,$A30,"")</f>
        <v/>
      </c>
      <c r="P30" s="13">
        <f>IF($H30&lt;0,"Из КС этого месяца удерживают больше, чем она стоит: погашение аванса и гарантийное удержание вместе больше объёма",IF(AND($B30&gt;0,'Условия'!$B$16&lt;&gt;"",$A30&gt;'Условия'!$B$16),"Месяц за пределами срока объекта, а объём в графике есть",""))</f>
        <v/>
      </c>
    </row>
    <row r="31">
      <c r="A31" s="54" t="n">
        <v>27</v>
      </c>
      <c r="B31" s="55">
        <f>ROUND(IFERROR('Условия'!$B$5*INDEX('График КС'!$B$5:$B$40,MATCH($A31,'График КС'!$A$5:$A$40,0))/100,0),2)</f>
        <v/>
      </c>
      <c r="C31" s="55">
        <f>SUMIFS($B$5:$B$40,$A$5:$A$40,"&lt;="&amp;$A31)</f>
        <v/>
      </c>
      <c r="D31" s="56">
        <f>SUMIFS('График КС'!$B$5:$B$40,'График КС'!$A$5:$A$40,"&lt;="&amp;$A31)</f>
        <v/>
      </c>
      <c r="E31" s="55">
        <f>IF('Условия'!$B$25=0,0,IFERROR(MAX(0,MIN('Условия'!$B$23,IF('Условия'!$B$25=1,ROUND('Условия'!$B$23*$D31/'График КС'!$B$42,2),IF('Условия'!$B$25=2,IF($D31&gt;='График КС'!$B$42,'Условия'!$B$23,0),ROUND('Условия'!$B$23*($D31-'Условия'!$B$9)/('График КС'!$B$42-'Условия'!$B$9),2))))),0))</f>
        <v/>
      </c>
      <c r="F31" s="55">
        <f>ROUND($E31-$E30,2)</f>
        <v/>
      </c>
      <c r="G31" s="55">
        <f>ROUND($B31*'Условия'!$B$13/100,2)</f>
        <v/>
      </c>
      <c r="H31" s="55">
        <f>ROUND($B31-$F31-$G31,2)</f>
        <v/>
      </c>
      <c r="I31" s="55">
        <f>IF($A31='Условия'!$B$7,'Условия'!$B$23,0)</f>
        <v/>
      </c>
      <c r="J31" s="55">
        <f>IFERROR(INDEX($H$5:$H$40,MATCH($A31-'Условия'!$B$17,$A$5:$A$40,0)),0)</f>
        <v/>
      </c>
      <c r="K31" s="55">
        <f>IF(AND('Условия'!$B$14&gt;0,$A31='Условия'!$B$14),ROUND(SUM($G$5:$G$40)*'Условия'!$B$15/100,2),0)</f>
        <v/>
      </c>
      <c r="L31" s="55">
        <f>ROUND(IFERROR(INDEX($B$5:$B$40,MATCH($A31+'Условия'!$B$19,$A$5:$A$40,0)),0)*'Условия'!$B$18/100,2)+IF($A31=1,'Условия'!$B$20,0)+IF($A31='Условия'!$B$12,'Условия'!$B$24,0)</f>
        <v/>
      </c>
      <c r="M31" s="55">
        <f>ROUND($I31+$J31+$K31-$L31,2)</f>
        <v/>
      </c>
      <c r="N31" s="55">
        <f>ROUND($N30+$M31,2)</f>
        <v/>
      </c>
      <c r="O31" s="22">
        <f>IF($N31&lt;0,$A31,"")</f>
        <v/>
      </c>
      <c r="P31" s="13">
        <f>IF($H31&lt;0,"Из КС этого месяца удерживают больше, чем она стоит: погашение аванса и гарантийное удержание вместе больше объёма",IF(AND($B31&gt;0,'Условия'!$B$16&lt;&gt;"",$A31&gt;'Условия'!$B$16),"Месяц за пределами срока объекта, а объём в графике есть",""))</f>
        <v/>
      </c>
    </row>
    <row r="32">
      <c r="A32" s="54" t="n">
        <v>28</v>
      </c>
      <c r="B32" s="55">
        <f>ROUND(IFERROR('Условия'!$B$5*INDEX('График КС'!$B$5:$B$40,MATCH($A32,'График КС'!$A$5:$A$40,0))/100,0),2)</f>
        <v/>
      </c>
      <c r="C32" s="55">
        <f>SUMIFS($B$5:$B$40,$A$5:$A$40,"&lt;="&amp;$A32)</f>
        <v/>
      </c>
      <c r="D32" s="56">
        <f>SUMIFS('График КС'!$B$5:$B$40,'График КС'!$A$5:$A$40,"&lt;="&amp;$A32)</f>
        <v/>
      </c>
      <c r="E32" s="55">
        <f>IF('Условия'!$B$25=0,0,IFERROR(MAX(0,MIN('Условия'!$B$23,IF('Условия'!$B$25=1,ROUND('Условия'!$B$23*$D32/'График КС'!$B$42,2),IF('Условия'!$B$25=2,IF($D32&gt;='График КС'!$B$42,'Условия'!$B$23,0),ROUND('Условия'!$B$23*($D32-'Условия'!$B$9)/('График КС'!$B$42-'Условия'!$B$9),2))))),0))</f>
        <v/>
      </c>
      <c r="F32" s="55">
        <f>ROUND($E32-$E31,2)</f>
        <v/>
      </c>
      <c r="G32" s="55">
        <f>ROUND($B32*'Условия'!$B$13/100,2)</f>
        <v/>
      </c>
      <c r="H32" s="55">
        <f>ROUND($B32-$F32-$G32,2)</f>
        <v/>
      </c>
      <c r="I32" s="55">
        <f>IF($A32='Условия'!$B$7,'Условия'!$B$23,0)</f>
        <v/>
      </c>
      <c r="J32" s="55">
        <f>IFERROR(INDEX($H$5:$H$40,MATCH($A32-'Условия'!$B$17,$A$5:$A$40,0)),0)</f>
        <v/>
      </c>
      <c r="K32" s="55">
        <f>IF(AND('Условия'!$B$14&gt;0,$A32='Условия'!$B$14),ROUND(SUM($G$5:$G$40)*'Условия'!$B$15/100,2),0)</f>
        <v/>
      </c>
      <c r="L32" s="55">
        <f>ROUND(IFERROR(INDEX($B$5:$B$40,MATCH($A32+'Условия'!$B$19,$A$5:$A$40,0)),0)*'Условия'!$B$18/100,2)+IF($A32=1,'Условия'!$B$20,0)+IF($A32='Условия'!$B$12,'Условия'!$B$24,0)</f>
        <v/>
      </c>
      <c r="M32" s="55">
        <f>ROUND($I32+$J32+$K32-$L32,2)</f>
        <v/>
      </c>
      <c r="N32" s="55">
        <f>ROUND($N31+$M32,2)</f>
        <v/>
      </c>
      <c r="O32" s="22">
        <f>IF($N32&lt;0,$A32,"")</f>
        <v/>
      </c>
      <c r="P32" s="13">
        <f>IF($H32&lt;0,"Из КС этого месяца удерживают больше, чем она стоит: погашение аванса и гарантийное удержание вместе больше объёма",IF(AND($B32&gt;0,'Условия'!$B$16&lt;&gt;"",$A32&gt;'Условия'!$B$16),"Месяц за пределами срока объекта, а объём в графике есть",""))</f>
        <v/>
      </c>
    </row>
    <row r="33">
      <c r="A33" s="54" t="n">
        <v>29</v>
      </c>
      <c r="B33" s="55">
        <f>ROUND(IFERROR('Условия'!$B$5*INDEX('График КС'!$B$5:$B$40,MATCH($A33,'График КС'!$A$5:$A$40,0))/100,0),2)</f>
        <v/>
      </c>
      <c r="C33" s="55">
        <f>SUMIFS($B$5:$B$40,$A$5:$A$40,"&lt;="&amp;$A33)</f>
        <v/>
      </c>
      <c r="D33" s="56">
        <f>SUMIFS('График КС'!$B$5:$B$40,'График КС'!$A$5:$A$40,"&lt;="&amp;$A33)</f>
        <v/>
      </c>
      <c r="E33" s="55">
        <f>IF('Условия'!$B$25=0,0,IFERROR(MAX(0,MIN('Условия'!$B$23,IF('Условия'!$B$25=1,ROUND('Условия'!$B$23*$D33/'График КС'!$B$42,2),IF('Условия'!$B$25=2,IF($D33&gt;='График КС'!$B$42,'Условия'!$B$23,0),ROUND('Условия'!$B$23*($D33-'Условия'!$B$9)/('График КС'!$B$42-'Условия'!$B$9),2))))),0))</f>
        <v/>
      </c>
      <c r="F33" s="55">
        <f>ROUND($E33-$E32,2)</f>
        <v/>
      </c>
      <c r="G33" s="55">
        <f>ROUND($B33*'Условия'!$B$13/100,2)</f>
        <v/>
      </c>
      <c r="H33" s="55">
        <f>ROUND($B33-$F33-$G33,2)</f>
        <v/>
      </c>
      <c r="I33" s="55">
        <f>IF($A33='Условия'!$B$7,'Условия'!$B$23,0)</f>
        <v/>
      </c>
      <c r="J33" s="55">
        <f>IFERROR(INDEX($H$5:$H$40,MATCH($A33-'Условия'!$B$17,$A$5:$A$40,0)),0)</f>
        <v/>
      </c>
      <c r="K33" s="55">
        <f>IF(AND('Условия'!$B$14&gt;0,$A33='Условия'!$B$14),ROUND(SUM($G$5:$G$40)*'Условия'!$B$15/100,2),0)</f>
        <v/>
      </c>
      <c r="L33" s="55">
        <f>ROUND(IFERROR(INDEX($B$5:$B$40,MATCH($A33+'Условия'!$B$19,$A$5:$A$40,0)),0)*'Условия'!$B$18/100,2)+IF($A33=1,'Условия'!$B$20,0)+IF($A33='Условия'!$B$12,'Условия'!$B$24,0)</f>
        <v/>
      </c>
      <c r="M33" s="55">
        <f>ROUND($I33+$J33+$K33-$L33,2)</f>
        <v/>
      </c>
      <c r="N33" s="55">
        <f>ROUND($N32+$M33,2)</f>
        <v/>
      </c>
      <c r="O33" s="22">
        <f>IF($N33&lt;0,$A33,"")</f>
        <v/>
      </c>
      <c r="P33" s="13">
        <f>IF($H33&lt;0,"Из КС этого месяца удерживают больше, чем она стоит: погашение аванса и гарантийное удержание вместе больше объёма",IF(AND($B33&gt;0,'Условия'!$B$16&lt;&gt;"",$A33&gt;'Условия'!$B$16),"Месяц за пределами срока объекта, а объём в графике есть",""))</f>
        <v/>
      </c>
    </row>
    <row r="34">
      <c r="A34" s="54" t="n">
        <v>30</v>
      </c>
      <c r="B34" s="55">
        <f>ROUND(IFERROR('Условия'!$B$5*INDEX('График КС'!$B$5:$B$40,MATCH($A34,'График КС'!$A$5:$A$40,0))/100,0),2)</f>
        <v/>
      </c>
      <c r="C34" s="55">
        <f>SUMIFS($B$5:$B$40,$A$5:$A$40,"&lt;="&amp;$A34)</f>
        <v/>
      </c>
      <c r="D34" s="56">
        <f>SUMIFS('График КС'!$B$5:$B$40,'График КС'!$A$5:$A$40,"&lt;="&amp;$A34)</f>
        <v/>
      </c>
      <c r="E34" s="55">
        <f>IF('Условия'!$B$25=0,0,IFERROR(MAX(0,MIN('Условия'!$B$23,IF('Условия'!$B$25=1,ROUND('Условия'!$B$23*$D34/'График КС'!$B$42,2),IF('Условия'!$B$25=2,IF($D34&gt;='График КС'!$B$42,'Условия'!$B$23,0),ROUND('Условия'!$B$23*($D34-'Условия'!$B$9)/('График КС'!$B$42-'Условия'!$B$9),2))))),0))</f>
        <v/>
      </c>
      <c r="F34" s="55">
        <f>ROUND($E34-$E33,2)</f>
        <v/>
      </c>
      <c r="G34" s="55">
        <f>ROUND($B34*'Условия'!$B$13/100,2)</f>
        <v/>
      </c>
      <c r="H34" s="55">
        <f>ROUND($B34-$F34-$G34,2)</f>
        <v/>
      </c>
      <c r="I34" s="55">
        <f>IF($A34='Условия'!$B$7,'Условия'!$B$23,0)</f>
        <v/>
      </c>
      <c r="J34" s="55">
        <f>IFERROR(INDEX($H$5:$H$40,MATCH($A34-'Условия'!$B$17,$A$5:$A$40,0)),0)</f>
        <v/>
      </c>
      <c r="K34" s="55">
        <f>IF(AND('Условия'!$B$14&gt;0,$A34='Условия'!$B$14),ROUND(SUM($G$5:$G$40)*'Условия'!$B$15/100,2),0)</f>
        <v/>
      </c>
      <c r="L34" s="55">
        <f>ROUND(IFERROR(INDEX($B$5:$B$40,MATCH($A34+'Условия'!$B$19,$A$5:$A$40,0)),0)*'Условия'!$B$18/100,2)+IF($A34=1,'Условия'!$B$20,0)+IF($A34='Условия'!$B$12,'Условия'!$B$24,0)</f>
        <v/>
      </c>
      <c r="M34" s="55">
        <f>ROUND($I34+$J34+$K34-$L34,2)</f>
        <v/>
      </c>
      <c r="N34" s="55">
        <f>ROUND($N33+$M34,2)</f>
        <v/>
      </c>
      <c r="O34" s="22">
        <f>IF($N34&lt;0,$A34,"")</f>
        <v/>
      </c>
      <c r="P34" s="13">
        <f>IF($H34&lt;0,"Из КС этого месяца удерживают больше, чем она стоит: погашение аванса и гарантийное удержание вместе больше объёма",IF(AND($B34&gt;0,'Условия'!$B$16&lt;&gt;"",$A34&gt;'Условия'!$B$16),"Месяц за пределами срока объекта, а объём в графике есть",""))</f>
        <v/>
      </c>
    </row>
    <row r="35">
      <c r="A35" s="54" t="n">
        <v>31</v>
      </c>
      <c r="B35" s="55">
        <f>ROUND(IFERROR('Условия'!$B$5*INDEX('График КС'!$B$5:$B$40,MATCH($A35,'График КС'!$A$5:$A$40,0))/100,0),2)</f>
        <v/>
      </c>
      <c r="C35" s="55">
        <f>SUMIFS($B$5:$B$40,$A$5:$A$40,"&lt;="&amp;$A35)</f>
        <v/>
      </c>
      <c r="D35" s="56">
        <f>SUMIFS('График КС'!$B$5:$B$40,'График КС'!$A$5:$A$40,"&lt;="&amp;$A35)</f>
        <v/>
      </c>
      <c r="E35" s="55">
        <f>IF('Условия'!$B$25=0,0,IFERROR(MAX(0,MIN('Условия'!$B$23,IF('Условия'!$B$25=1,ROUND('Условия'!$B$23*$D35/'График КС'!$B$42,2),IF('Условия'!$B$25=2,IF($D35&gt;='График КС'!$B$42,'Условия'!$B$23,0),ROUND('Условия'!$B$23*($D35-'Условия'!$B$9)/('График КС'!$B$42-'Условия'!$B$9),2))))),0))</f>
        <v/>
      </c>
      <c r="F35" s="55">
        <f>ROUND($E35-$E34,2)</f>
        <v/>
      </c>
      <c r="G35" s="55">
        <f>ROUND($B35*'Условия'!$B$13/100,2)</f>
        <v/>
      </c>
      <c r="H35" s="55">
        <f>ROUND($B35-$F35-$G35,2)</f>
        <v/>
      </c>
      <c r="I35" s="55">
        <f>IF($A35='Условия'!$B$7,'Условия'!$B$23,0)</f>
        <v/>
      </c>
      <c r="J35" s="55">
        <f>IFERROR(INDEX($H$5:$H$40,MATCH($A35-'Условия'!$B$17,$A$5:$A$40,0)),0)</f>
        <v/>
      </c>
      <c r="K35" s="55">
        <f>IF(AND('Условия'!$B$14&gt;0,$A35='Условия'!$B$14),ROUND(SUM($G$5:$G$40)*'Условия'!$B$15/100,2),0)</f>
        <v/>
      </c>
      <c r="L35" s="55">
        <f>ROUND(IFERROR(INDEX($B$5:$B$40,MATCH($A35+'Условия'!$B$19,$A$5:$A$40,0)),0)*'Условия'!$B$18/100,2)+IF($A35=1,'Условия'!$B$20,0)+IF($A35='Условия'!$B$12,'Условия'!$B$24,0)</f>
        <v/>
      </c>
      <c r="M35" s="55">
        <f>ROUND($I35+$J35+$K35-$L35,2)</f>
        <v/>
      </c>
      <c r="N35" s="55">
        <f>ROUND($N34+$M35,2)</f>
        <v/>
      </c>
      <c r="O35" s="22">
        <f>IF($N35&lt;0,$A35,"")</f>
        <v/>
      </c>
      <c r="P35" s="13">
        <f>IF($H35&lt;0,"Из КС этого месяца удерживают больше, чем она стоит: погашение аванса и гарантийное удержание вместе больше объёма",IF(AND($B35&gt;0,'Условия'!$B$16&lt;&gt;"",$A35&gt;'Условия'!$B$16),"Месяц за пределами срока объекта, а объём в графике есть",""))</f>
        <v/>
      </c>
    </row>
    <row r="36">
      <c r="A36" s="54" t="n">
        <v>32</v>
      </c>
      <c r="B36" s="55">
        <f>ROUND(IFERROR('Условия'!$B$5*INDEX('График КС'!$B$5:$B$40,MATCH($A36,'График КС'!$A$5:$A$40,0))/100,0),2)</f>
        <v/>
      </c>
      <c r="C36" s="55">
        <f>SUMIFS($B$5:$B$40,$A$5:$A$40,"&lt;="&amp;$A36)</f>
        <v/>
      </c>
      <c r="D36" s="56">
        <f>SUMIFS('График КС'!$B$5:$B$40,'График КС'!$A$5:$A$40,"&lt;="&amp;$A36)</f>
        <v/>
      </c>
      <c r="E36" s="55">
        <f>IF('Условия'!$B$25=0,0,IFERROR(MAX(0,MIN('Условия'!$B$23,IF('Условия'!$B$25=1,ROUND('Условия'!$B$23*$D36/'График КС'!$B$42,2),IF('Условия'!$B$25=2,IF($D36&gt;='График КС'!$B$42,'Условия'!$B$23,0),ROUND('Условия'!$B$23*($D36-'Условия'!$B$9)/('График КС'!$B$42-'Условия'!$B$9),2))))),0))</f>
        <v/>
      </c>
      <c r="F36" s="55">
        <f>ROUND($E36-$E35,2)</f>
        <v/>
      </c>
      <c r="G36" s="55">
        <f>ROUND($B36*'Условия'!$B$13/100,2)</f>
        <v/>
      </c>
      <c r="H36" s="55">
        <f>ROUND($B36-$F36-$G36,2)</f>
        <v/>
      </c>
      <c r="I36" s="55">
        <f>IF($A36='Условия'!$B$7,'Условия'!$B$23,0)</f>
        <v/>
      </c>
      <c r="J36" s="55">
        <f>IFERROR(INDEX($H$5:$H$40,MATCH($A36-'Условия'!$B$17,$A$5:$A$40,0)),0)</f>
        <v/>
      </c>
      <c r="K36" s="55">
        <f>IF(AND('Условия'!$B$14&gt;0,$A36='Условия'!$B$14),ROUND(SUM($G$5:$G$40)*'Условия'!$B$15/100,2),0)</f>
        <v/>
      </c>
      <c r="L36" s="55">
        <f>ROUND(IFERROR(INDEX($B$5:$B$40,MATCH($A36+'Условия'!$B$19,$A$5:$A$40,0)),0)*'Условия'!$B$18/100,2)+IF($A36=1,'Условия'!$B$20,0)+IF($A36='Условия'!$B$12,'Условия'!$B$24,0)</f>
        <v/>
      </c>
      <c r="M36" s="55">
        <f>ROUND($I36+$J36+$K36-$L36,2)</f>
        <v/>
      </c>
      <c r="N36" s="55">
        <f>ROUND($N35+$M36,2)</f>
        <v/>
      </c>
      <c r="O36" s="22">
        <f>IF($N36&lt;0,$A36,"")</f>
        <v/>
      </c>
      <c r="P36" s="13">
        <f>IF($H36&lt;0,"Из КС этого месяца удерживают больше, чем она стоит: погашение аванса и гарантийное удержание вместе больше объёма",IF(AND($B36&gt;0,'Условия'!$B$16&lt;&gt;"",$A36&gt;'Условия'!$B$16),"Месяц за пределами срока объекта, а объём в графике есть",""))</f>
        <v/>
      </c>
    </row>
    <row r="37">
      <c r="A37" s="54" t="n">
        <v>33</v>
      </c>
      <c r="B37" s="55">
        <f>ROUND(IFERROR('Условия'!$B$5*INDEX('График КС'!$B$5:$B$40,MATCH($A37,'График КС'!$A$5:$A$40,0))/100,0),2)</f>
        <v/>
      </c>
      <c r="C37" s="55">
        <f>SUMIFS($B$5:$B$40,$A$5:$A$40,"&lt;="&amp;$A37)</f>
        <v/>
      </c>
      <c r="D37" s="56">
        <f>SUMIFS('График КС'!$B$5:$B$40,'График КС'!$A$5:$A$40,"&lt;="&amp;$A37)</f>
        <v/>
      </c>
      <c r="E37" s="55">
        <f>IF('Условия'!$B$25=0,0,IFERROR(MAX(0,MIN('Условия'!$B$23,IF('Условия'!$B$25=1,ROUND('Условия'!$B$23*$D37/'График КС'!$B$42,2),IF('Условия'!$B$25=2,IF($D37&gt;='График КС'!$B$42,'Условия'!$B$23,0),ROUND('Условия'!$B$23*($D37-'Условия'!$B$9)/('График КС'!$B$42-'Условия'!$B$9),2))))),0))</f>
        <v/>
      </c>
      <c r="F37" s="55">
        <f>ROUND($E37-$E36,2)</f>
        <v/>
      </c>
      <c r="G37" s="55">
        <f>ROUND($B37*'Условия'!$B$13/100,2)</f>
        <v/>
      </c>
      <c r="H37" s="55">
        <f>ROUND($B37-$F37-$G37,2)</f>
        <v/>
      </c>
      <c r="I37" s="55">
        <f>IF($A37='Условия'!$B$7,'Условия'!$B$23,0)</f>
        <v/>
      </c>
      <c r="J37" s="55">
        <f>IFERROR(INDEX($H$5:$H$40,MATCH($A37-'Условия'!$B$17,$A$5:$A$40,0)),0)</f>
        <v/>
      </c>
      <c r="K37" s="55">
        <f>IF(AND('Условия'!$B$14&gt;0,$A37='Условия'!$B$14),ROUND(SUM($G$5:$G$40)*'Условия'!$B$15/100,2),0)</f>
        <v/>
      </c>
      <c r="L37" s="55">
        <f>ROUND(IFERROR(INDEX($B$5:$B$40,MATCH($A37+'Условия'!$B$19,$A$5:$A$40,0)),0)*'Условия'!$B$18/100,2)+IF($A37=1,'Условия'!$B$20,0)+IF($A37='Условия'!$B$12,'Условия'!$B$24,0)</f>
        <v/>
      </c>
      <c r="M37" s="55">
        <f>ROUND($I37+$J37+$K37-$L37,2)</f>
        <v/>
      </c>
      <c r="N37" s="55">
        <f>ROUND($N36+$M37,2)</f>
        <v/>
      </c>
      <c r="O37" s="22">
        <f>IF($N37&lt;0,$A37,"")</f>
        <v/>
      </c>
      <c r="P37" s="13">
        <f>IF($H37&lt;0,"Из КС этого месяца удерживают больше, чем она стоит: погашение аванса и гарантийное удержание вместе больше объёма",IF(AND($B37&gt;0,'Условия'!$B$16&lt;&gt;"",$A37&gt;'Условия'!$B$16),"Месяц за пределами срока объекта, а объём в графике есть",""))</f>
        <v/>
      </c>
    </row>
    <row r="38">
      <c r="A38" s="54" t="n">
        <v>34</v>
      </c>
      <c r="B38" s="55">
        <f>ROUND(IFERROR('Условия'!$B$5*INDEX('График КС'!$B$5:$B$40,MATCH($A38,'График КС'!$A$5:$A$40,0))/100,0),2)</f>
        <v/>
      </c>
      <c r="C38" s="55">
        <f>SUMIFS($B$5:$B$40,$A$5:$A$40,"&lt;="&amp;$A38)</f>
        <v/>
      </c>
      <c r="D38" s="56">
        <f>SUMIFS('График КС'!$B$5:$B$40,'График КС'!$A$5:$A$40,"&lt;="&amp;$A38)</f>
        <v/>
      </c>
      <c r="E38" s="55">
        <f>IF('Условия'!$B$25=0,0,IFERROR(MAX(0,MIN('Условия'!$B$23,IF('Условия'!$B$25=1,ROUND('Условия'!$B$23*$D38/'График КС'!$B$42,2),IF('Условия'!$B$25=2,IF($D38&gt;='График КС'!$B$42,'Условия'!$B$23,0),ROUND('Условия'!$B$23*($D38-'Условия'!$B$9)/('График КС'!$B$42-'Условия'!$B$9),2))))),0))</f>
        <v/>
      </c>
      <c r="F38" s="55">
        <f>ROUND($E38-$E37,2)</f>
        <v/>
      </c>
      <c r="G38" s="55">
        <f>ROUND($B38*'Условия'!$B$13/100,2)</f>
        <v/>
      </c>
      <c r="H38" s="55">
        <f>ROUND($B38-$F38-$G38,2)</f>
        <v/>
      </c>
      <c r="I38" s="55">
        <f>IF($A38='Условия'!$B$7,'Условия'!$B$23,0)</f>
        <v/>
      </c>
      <c r="J38" s="55">
        <f>IFERROR(INDEX($H$5:$H$40,MATCH($A38-'Условия'!$B$17,$A$5:$A$40,0)),0)</f>
        <v/>
      </c>
      <c r="K38" s="55">
        <f>IF(AND('Условия'!$B$14&gt;0,$A38='Условия'!$B$14),ROUND(SUM($G$5:$G$40)*'Условия'!$B$15/100,2),0)</f>
        <v/>
      </c>
      <c r="L38" s="55">
        <f>ROUND(IFERROR(INDEX($B$5:$B$40,MATCH($A38+'Условия'!$B$19,$A$5:$A$40,0)),0)*'Условия'!$B$18/100,2)+IF($A38=1,'Условия'!$B$20,0)+IF($A38='Условия'!$B$12,'Условия'!$B$24,0)</f>
        <v/>
      </c>
      <c r="M38" s="55">
        <f>ROUND($I38+$J38+$K38-$L38,2)</f>
        <v/>
      </c>
      <c r="N38" s="55">
        <f>ROUND($N37+$M38,2)</f>
        <v/>
      </c>
      <c r="O38" s="22">
        <f>IF($N38&lt;0,$A38,"")</f>
        <v/>
      </c>
      <c r="P38" s="13">
        <f>IF($H38&lt;0,"Из КС этого месяца удерживают больше, чем она стоит: погашение аванса и гарантийное удержание вместе больше объёма",IF(AND($B38&gt;0,'Условия'!$B$16&lt;&gt;"",$A38&gt;'Условия'!$B$16),"Месяц за пределами срока объекта, а объём в графике есть",""))</f>
        <v/>
      </c>
    </row>
    <row r="39">
      <c r="A39" s="54" t="n">
        <v>35</v>
      </c>
      <c r="B39" s="55">
        <f>ROUND(IFERROR('Условия'!$B$5*INDEX('График КС'!$B$5:$B$40,MATCH($A39,'График КС'!$A$5:$A$40,0))/100,0),2)</f>
        <v/>
      </c>
      <c r="C39" s="55">
        <f>SUMIFS($B$5:$B$40,$A$5:$A$40,"&lt;="&amp;$A39)</f>
        <v/>
      </c>
      <c r="D39" s="56">
        <f>SUMIFS('График КС'!$B$5:$B$40,'График КС'!$A$5:$A$40,"&lt;="&amp;$A39)</f>
        <v/>
      </c>
      <c r="E39" s="55">
        <f>IF('Условия'!$B$25=0,0,IFERROR(MAX(0,MIN('Условия'!$B$23,IF('Условия'!$B$25=1,ROUND('Условия'!$B$23*$D39/'График КС'!$B$42,2),IF('Условия'!$B$25=2,IF($D39&gt;='График КС'!$B$42,'Условия'!$B$23,0),ROUND('Условия'!$B$23*($D39-'Условия'!$B$9)/('График КС'!$B$42-'Условия'!$B$9),2))))),0))</f>
        <v/>
      </c>
      <c r="F39" s="55">
        <f>ROUND($E39-$E38,2)</f>
        <v/>
      </c>
      <c r="G39" s="55">
        <f>ROUND($B39*'Условия'!$B$13/100,2)</f>
        <v/>
      </c>
      <c r="H39" s="55">
        <f>ROUND($B39-$F39-$G39,2)</f>
        <v/>
      </c>
      <c r="I39" s="55">
        <f>IF($A39='Условия'!$B$7,'Условия'!$B$23,0)</f>
        <v/>
      </c>
      <c r="J39" s="55">
        <f>IFERROR(INDEX($H$5:$H$40,MATCH($A39-'Условия'!$B$17,$A$5:$A$40,0)),0)</f>
        <v/>
      </c>
      <c r="K39" s="55">
        <f>IF(AND('Условия'!$B$14&gt;0,$A39='Условия'!$B$14),ROUND(SUM($G$5:$G$40)*'Условия'!$B$15/100,2),0)</f>
        <v/>
      </c>
      <c r="L39" s="55">
        <f>ROUND(IFERROR(INDEX($B$5:$B$40,MATCH($A39+'Условия'!$B$19,$A$5:$A$40,0)),0)*'Условия'!$B$18/100,2)+IF($A39=1,'Условия'!$B$20,0)+IF($A39='Условия'!$B$12,'Условия'!$B$24,0)</f>
        <v/>
      </c>
      <c r="M39" s="55">
        <f>ROUND($I39+$J39+$K39-$L39,2)</f>
        <v/>
      </c>
      <c r="N39" s="55">
        <f>ROUND($N38+$M39,2)</f>
        <v/>
      </c>
      <c r="O39" s="22">
        <f>IF($N39&lt;0,$A39,"")</f>
        <v/>
      </c>
      <c r="P39" s="13">
        <f>IF($H39&lt;0,"Из КС этого месяца удерживают больше, чем она стоит: погашение аванса и гарантийное удержание вместе больше объёма",IF(AND($B39&gt;0,'Условия'!$B$16&lt;&gt;"",$A39&gt;'Условия'!$B$16),"Месяц за пределами срока объекта, а объём в графике есть",""))</f>
        <v/>
      </c>
    </row>
    <row r="40">
      <c r="A40" s="54" t="n">
        <v>36</v>
      </c>
      <c r="B40" s="55">
        <f>ROUND(IFERROR('Условия'!$B$5*INDEX('График КС'!$B$5:$B$40,MATCH($A40,'График КС'!$A$5:$A$40,0))/100,0),2)</f>
        <v/>
      </c>
      <c r="C40" s="55">
        <f>SUMIFS($B$5:$B$40,$A$5:$A$40,"&lt;="&amp;$A40)</f>
        <v/>
      </c>
      <c r="D40" s="56">
        <f>SUMIFS('График КС'!$B$5:$B$40,'График КС'!$A$5:$A$40,"&lt;="&amp;$A40)</f>
        <v/>
      </c>
      <c r="E40" s="55">
        <f>IF('Условия'!$B$25=0,0,IFERROR(MAX(0,MIN('Условия'!$B$23,IF('Условия'!$B$25=1,ROUND('Условия'!$B$23*$D40/'График КС'!$B$42,2),IF('Условия'!$B$25=2,IF($D40&gt;='График КС'!$B$42,'Условия'!$B$23,0),ROUND('Условия'!$B$23*($D40-'Условия'!$B$9)/('График КС'!$B$42-'Условия'!$B$9),2))))),0))</f>
        <v/>
      </c>
      <c r="F40" s="55">
        <f>ROUND($E40-$E39,2)</f>
        <v/>
      </c>
      <c r="G40" s="55">
        <f>ROUND($B40*'Условия'!$B$13/100,2)</f>
        <v/>
      </c>
      <c r="H40" s="55">
        <f>ROUND($B40-$F40-$G40,2)</f>
        <v/>
      </c>
      <c r="I40" s="55">
        <f>IF($A40='Условия'!$B$7,'Условия'!$B$23,0)</f>
        <v/>
      </c>
      <c r="J40" s="55">
        <f>IFERROR(INDEX($H$5:$H$40,MATCH($A40-'Условия'!$B$17,$A$5:$A$40,0)),0)</f>
        <v/>
      </c>
      <c r="K40" s="55">
        <f>IF(AND('Условия'!$B$14&gt;0,$A40='Условия'!$B$14),ROUND(SUM($G$5:$G$40)*'Условия'!$B$15/100,2),0)</f>
        <v/>
      </c>
      <c r="L40" s="55">
        <f>ROUND(IFERROR(INDEX($B$5:$B$40,MATCH($A40+'Условия'!$B$19,$A$5:$A$40,0)),0)*'Условия'!$B$18/100,2)+IF($A40=1,'Условия'!$B$20,0)+IF($A40='Условия'!$B$12,'Условия'!$B$24,0)</f>
        <v/>
      </c>
      <c r="M40" s="55">
        <f>ROUND($I40+$J40+$K40-$L40,2)</f>
        <v/>
      </c>
      <c r="N40" s="55">
        <f>ROUND($N39+$M40,2)</f>
        <v/>
      </c>
      <c r="O40" s="22">
        <f>IF($N40&lt;0,$A40,"")</f>
        <v/>
      </c>
      <c r="P40" s="13">
        <f>IF($H40&lt;0,"Из КС этого месяца удерживают больше, чем она стоит: погашение аванса и гарантийное удержание вместе больше объёма",IF(AND($B40&gt;0,'Условия'!$B$16&lt;&gt;"",$A40&gt;'Условия'!$B$16),"Месяц за пределами срока объекта, а объём в графике есть",""))</f>
        <v/>
      </c>
    </row>
    <row r="42">
      <c r="A42" s="9" t="inlineStr">
        <is>
          <t>Итого</t>
        </is>
      </c>
      <c r="B42" s="57">
        <f>ROUND(SUM($B$5:$B$40),2)</f>
        <v/>
      </c>
      <c r="F42" s="57">
        <f>ROUND(SUM($F$5:$F$40),2)</f>
        <v/>
      </c>
      <c r="G42" s="57">
        <f>ROUND(SUM($G$5:$G$40),2)</f>
        <v/>
      </c>
      <c r="H42" s="57">
        <f>ROUND(SUM($H$5:$H$40),2)</f>
        <v/>
      </c>
      <c r="I42" s="57">
        <f>ROUND(SUM($I$5:$I$40),2)</f>
        <v/>
      </c>
      <c r="J42" s="57">
        <f>ROUND(SUM($J$5:$J$40),2)</f>
        <v/>
      </c>
      <c r="K42" s="57">
        <f>ROUND(SUM($K$5:$K$40),2)</f>
        <v/>
      </c>
      <c r="L42" s="57">
        <f>ROUND(SUM($L$5:$L$40),2)</f>
        <v/>
      </c>
      <c r="M42" s="57">
        <f>ROUND(SUM($M$5:$M$40),2)</f>
        <v/>
      </c>
      <c r="N42" s="57">
        <f>$N$40</f>
        <v/>
      </c>
      <c r="P42" s="2" t="inlineStr">
        <is>
          <t>Итог колонки «Накопленный остаток» — это остаток последнего месяца, а не сумма колонки.</t>
        </is>
      </c>
    </row>
  </sheetData>
  <mergeCells count="1"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34" t="inlineStr">
        <is>
          <t>Кассовый профиль по объекту — сценарий Б</t>
        </is>
      </c>
    </row>
    <row r="2" ht="46" customHeight="1">
      <c r="A2" s="2" t="inlineStr">
        <is>
          <t>Здесь не заполняется ничего: всё считается из листов «Условия» и «График КС». Читать слева направо: сколько выполнено, сколько из этого удержали, сколько дошло до счёта, сколько потрачено и что осталось накопленным итогом. Колонка «Накопленный остаток» — это и есть ваши деньги в объекте: минус в ней означает, что объект финансируется вами.</t>
        </is>
      </c>
    </row>
    <row r="4" ht="46" customHeight="1">
      <c r="A4" s="41" t="inlineStr">
        <is>
          <t>Месяц</t>
        </is>
      </c>
      <c r="B4" s="41" t="inlineStr">
        <is>
          <t>Выполнено за месяц, руб.</t>
        </is>
      </c>
      <c r="C4" s="41" t="inlineStr">
        <is>
          <t>Накопленный объём, руб.</t>
        </is>
      </c>
      <c r="D4" s="41" t="inlineStr">
        <is>
          <t>Накопленная доля, %</t>
        </is>
      </c>
      <c r="E4" s="41" t="inlineStr">
        <is>
          <t>Погашено аванса нарастающим, руб.</t>
        </is>
      </c>
      <c r="F4" s="41" t="inlineStr">
        <is>
          <t>Погашение аванса за месяц, руб.</t>
        </is>
      </c>
      <c r="G4" s="41" t="inlineStr">
        <is>
          <t>Гарантийное удержание за месяц, руб.</t>
        </is>
      </c>
      <c r="H4" s="41" t="inlineStr">
        <is>
          <t>Начислено к оплате за месяц, руб.</t>
        </is>
      </c>
      <c r="I4" s="41" t="inlineStr">
        <is>
          <t>Поступление аванса, руб.</t>
        </is>
      </c>
      <c r="J4" s="41" t="inlineStr">
        <is>
          <t>Оплата КС с отсрочкой, руб.</t>
        </is>
      </c>
      <c r="K4" s="41" t="inlineStr">
        <is>
          <t>Возврат гарантийного удержания, руб.</t>
        </is>
      </c>
      <c r="L4" s="41" t="inlineStr">
        <is>
          <t>Расходы за месяц, руб.</t>
        </is>
      </c>
      <c r="M4" s="41" t="inlineStr">
        <is>
          <t>Сальдо месяца, руб.</t>
        </is>
      </c>
      <c r="N4" s="41" t="inlineStr">
        <is>
          <t>Накопленный остаток, руб.</t>
        </is>
      </c>
      <c r="O4" s="41" t="inlineStr">
        <is>
          <t>Месяц в минусе</t>
        </is>
      </c>
      <c r="P4" s="41" t="inlineStr">
        <is>
          <t>Проверка</t>
        </is>
      </c>
    </row>
    <row r="5">
      <c r="A5" s="58" t="n">
        <v>1</v>
      </c>
      <c r="B5" s="59">
        <f>ROUND(IFERROR('Условия'!$C$5*INDEX('График КС'!$C$5:$C$40,MATCH($A5,'График КС'!$A$5:$A$40,0))/100,0),2)</f>
        <v/>
      </c>
      <c r="C5" s="59">
        <f>SUMIFS($B$5:$B$40,$A$5:$A$40,"&lt;="&amp;$A5)</f>
        <v/>
      </c>
      <c r="D5" s="60">
        <f>SUMIFS('График КС'!$C$5:$C$40,'График КС'!$A$5:$A$40,"&lt;="&amp;$A5)</f>
        <v/>
      </c>
      <c r="E5" s="59">
        <f>IF('Условия'!$C$25=0,0,IFERROR(MAX(0,MIN('Условия'!$C$23,IF('Условия'!$C$25=1,ROUND('Условия'!$C$23*$D5/'График КС'!$C$42,2),IF('Условия'!$C$25=2,IF($D5&gt;='График КС'!$C$42,'Условия'!$C$23,0),ROUND('Условия'!$C$23*($D5-'Условия'!$C$9)/('График КС'!$C$42-'Условия'!$C$9),2))))),0))</f>
        <v/>
      </c>
      <c r="F5" s="59">
        <f>ROUND($E5,2)</f>
        <v/>
      </c>
      <c r="G5" s="59">
        <f>ROUND($B5*'Условия'!$C$13/100,2)</f>
        <v/>
      </c>
      <c r="H5" s="59">
        <f>ROUND($B5-$F5-$G5,2)</f>
        <v/>
      </c>
      <c r="I5" s="59">
        <f>IF($A5='Условия'!$C$7,'Условия'!$C$23,0)</f>
        <v/>
      </c>
      <c r="J5" s="59">
        <f>IFERROR(INDEX($H$5:$H$40,MATCH($A5-'Условия'!$C$17,$A$5:$A$40,0)),0)</f>
        <v/>
      </c>
      <c r="K5" s="59">
        <f>IF(AND('Условия'!$C$14&gt;0,$A5='Условия'!$C$14),ROUND(SUM($G$5:$G$40)*'Условия'!$C$15/100,2),0)</f>
        <v/>
      </c>
      <c r="L5" s="59">
        <f>ROUND(SUMIFS($B$5:$B$40,$A$5:$A$40,"&lt;="&amp;($A5+'Условия'!$C$19))*'Условия'!$C$18/100,2)+IF($A5=1,'Условия'!$C$20,0)+IF($A5='Условия'!$C$12,'Условия'!$C$24,0)</f>
        <v/>
      </c>
      <c r="M5" s="59">
        <f>ROUND($I5+$J5+$K5-$L5,2)</f>
        <v/>
      </c>
      <c r="N5" s="59">
        <f>ROUND($M5,2)</f>
        <v/>
      </c>
      <c r="O5" s="22">
        <f>IF($N5&lt;0,$A5,"")</f>
        <v/>
      </c>
      <c r="P5" s="13">
        <f>IF($H5&lt;0,"Из КС этого месяца удерживают больше, чем она стоит: погашение аванса и гарантийное удержание вместе больше объёма",IF(AND($B5&gt;0,'Условия'!$C$16&lt;&gt;"",$A5&gt;'Условия'!$C$16),"Месяц за пределами срока объекта, а объём в графике есть",""))</f>
        <v/>
      </c>
    </row>
    <row r="6">
      <c r="A6" s="58" t="n">
        <v>2</v>
      </c>
      <c r="B6" s="59">
        <f>ROUND(IFERROR('Условия'!$C$5*INDEX('График КС'!$C$5:$C$40,MATCH($A6,'График КС'!$A$5:$A$40,0))/100,0),2)</f>
        <v/>
      </c>
      <c r="C6" s="59">
        <f>SUMIFS($B$5:$B$40,$A$5:$A$40,"&lt;="&amp;$A6)</f>
        <v/>
      </c>
      <c r="D6" s="60">
        <f>SUMIFS('График КС'!$C$5:$C$40,'График КС'!$A$5:$A$40,"&lt;="&amp;$A6)</f>
        <v/>
      </c>
      <c r="E6" s="59">
        <f>IF('Условия'!$C$25=0,0,IFERROR(MAX(0,MIN('Условия'!$C$23,IF('Условия'!$C$25=1,ROUND('Условия'!$C$23*$D6/'График КС'!$C$42,2),IF('Условия'!$C$25=2,IF($D6&gt;='График КС'!$C$42,'Условия'!$C$23,0),ROUND('Условия'!$C$23*($D6-'Условия'!$C$9)/('График КС'!$C$42-'Условия'!$C$9),2))))),0))</f>
        <v/>
      </c>
      <c r="F6" s="59">
        <f>ROUND($E6-$E5,2)</f>
        <v/>
      </c>
      <c r="G6" s="59">
        <f>ROUND($B6*'Условия'!$C$13/100,2)</f>
        <v/>
      </c>
      <c r="H6" s="59">
        <f>ROUND($B6-$F6-$G6,2)</f>
        <v/>
      </c>
      <c r="I6" s="59">
        <f>IF($A6='Условия'!$C$7,'Условия'!$C$23,0)</f>
        <v/>
      </c>
      <c r="J6" s="59">
        <f>IFERROR(INDEX($H$5:$H$40,MATCH($A6-'Условия'!$C$17,$A$5:$A$40,0)),0)</f>
        <v/>
      </c>
      <c r="K6" s="59">
        <f>IF(AND('Условия'!$C$14&gt;0,$A6='Условия'!$C$14),ROUND(SUM($G$5:$G$40)*'Условия'!$C$15/100,2),0)</f>
        <v/>
      </c>
      <c r="L6" s="59">
        <f>ROUND(IFERROR(INDEX($B$5:$B$40,MATCH($A6+'Условия'!$C$19,$A$5:$A$40,0)),0)*'Условия'!$C$18/100,2)+IF($A6=1,'Условия'!$C$20,0)+IF($A6='Условия'!$C$12,'Условия'!$C$24,0)</f>
        <v/>
      </c>
      <c r="M6" s="59">
        <f>ROUND($I6+$J6+$K6-$L6,2)</f>
        <v/>
      </c>
      <c r="N6" s="59">
        <f>ROUND($N5+$M6,2)</f>
        <v/>
      </c>
      <c r="O6" s="22">
        <f>IF($N6&lt;0,$A6,"")</f>
        <v/>
      </c>
      <c r="P6" s="13">
        <f>IF($H6&lt;0,"Из КС этого месяца удерживают больше, чем она стоит: погашение аванса и гарантийное удержание вместе больше объёма",IF(AND($B6&gt;0,'Условия'!$C$16&lt;&gt;"",$A6&gt;'Условия'!$C$16),"Месяц за пределами срока объекта, а объём в графике есть",""))</f>
        <v/>
      </c>
    </row>
    <row r="7">
      <c r="A7" s="58" t="n">
        <v>3</v>
      </c>
      <c r="B7" s="59">
        <f>ROUND(IFERROR('Условия'!$C$5*INDEX('График КС'!$C$5:$C$40,MATCH($A7,'График КС'!$A$5:$A$40,0))/100,0),2)</f>
        <v/>
      </c>
      <c r="C7" s="59">
        <f>SUMIFS($B$5:$B$40,$A$5:$A$40,"&lt;="&amp;$A7)</f>
        <v/>
      </c>
      <c r="D7" s="60">
        <f>SUMIFS('График КС'!$C$5:$C$40,'График КС'!$A$5:$A$40,"&lt;="&amp;$A7)</f>
        <v/>
      </c>
      <c r="E7" s="59">
        <f>IF('Условия'!$C$25=0,0,IFERROR(MAX(0,MIN('Условия'!$C$23,IF('Условия'!$C$25=1,ROUND('Условия'!$C$23*$D7/'График КС'!$C$42,2),IF('Условия'!$C$25=2,IF($D7&gt;='График КС'!$C$42,'Условия'!$C$23,0),ROUND('Условия'!$C$23*($D7-'Условия'!$C$9)/('График КС'!$C$42-'Условия'!$C$9),2))))),0))</f>
        <v/>
      </c>
      <c r="F7" s="59">
        <f>ROUND($E7-$E6,2)</f>
        <v/>
      </c>
      <c r="G7" s="59">
        <f>ROUND($B7*'Условия'!$C$13/100,2)</f>
        <v/>
      </c>
      <c r="H7" s="59">
        <f>ROUND($B7-$F7-$G7,2)</f>
        <v/>
      </c>
      <c r="I7" s="59">
        <f>IF($A7='Условия'!$C$7,'Условия'!$C$23,0)</f>
        <v/>
      </c>
      <c r="J7" s="59">
        <f>IFERROR(INDEX($H$5:$H$40,MATCH($A7-'Условия'!$C$17,$A$5:$A$40,0)),0)</f>
        <v/>
      </c>
      <c r="K7" s="59">
        <f>IF(AND('Условия'!$C$14&gt;0,$A7='Условия'!$C$14),ROUND(SUM($G$5:$G$40)*'Условия'!$C$15/100,2),0)</f>
        <v/>
      </c>
      <c r="L7" s="59">
        <f>ROUND(IFERROR(INDEX($B$5:$B$40,MATCH($A7+'Условия'!$C$19,$A$5:$A$40,0)),0)*'Условия'!$C$18/100,2)+IF($A7=1,'Условия'!$C$20,0)+IF($A7='Условия'!$C$12,'Условия'!$C$24,0)</f>
        <v/>
      </c>
      <c r="M7" s="59">
        <f>ROUND($I7+$J7+$K7-$L7,2)</f>
        <v/>
      </c>
      <c r="N7" s="59">
        <f>ROUND($N6+$M7,2)</f>
        <v/>
      </c>
      <c r="O7" s="22">
        <f>IF($N7&lt;0,$A7,"")</f>
        <v/>
      </c>
      <c r="P7" s="13">
        <f>IF($H7&lt;0,"Из КС этого месяца удерживают больше, чем она стоит: погашение аванса и гарантийное удержание вместе больше объёма",IF(AND($B7&gt;0,'Условия'!$C$16&lt;&gt;"",$A7&gt;'Условия'!$C$16),"Месяц за пределами срока объекта, а объём в графике есть",""))</f>
        <v/>
      </c>
    </row>
    <row r="8">
      <c r="A8" s="58" t="n">
        <v>4</v>
      </c>
      <c r="B8" s="59">
        <f>ROUND(IFERROR('Условия'!$C$5*INDEX('График КС'!$C$5:$C$40,MATCH($A8,'График КС'!$A$5:$A$40,0))/100,0),2)</f>
        <v/>
      </c>
      <c r="C8" s="59">
        <f>SUMIFS($B$5:$B$40,$A$5:$A$40,"&lt;="&amp;$A8)</f>
        <v/>
      </c>
      <c r="D8" s="60">
        <f>SUMIFS('График КС'!$C$5:$C$40,'График КС'!$A$5:$A$40,"&lt;="&amp;$A8)</f>
        <v/>
      </c>
      <c r="E8" s="59">
        <f>IF('Условия'!$C$25=0,0,IFERROR(MAX(0,MIN('Условия'!$C$23,IF('Условия'!$C$25=1,ROUND('Условия'!$C$23*$D8/'График КС'!$C$42,2),IF('Условия'!$C$25=2,IF($D8&gt;='График КС'!$C$42,'Условия'!$C$23,0),ROUND('Условия'!$C$23*($D8-'Условия'!$C$9)/('График КС'!$C$42-'Условия'!$C$9),2))))),0))</f>
        <v/>
      </c>
      <c r="F8" s="59">
        <f>ROUND($E8-$E7,2)</f>
        <v/>
      </c>
      <c r="G8" s="59">
        <f>ROUND($B8*'Условия'!$C$13/100,2)</f>
        <v/>
      </c>
      <c r="H8" s="59">
        <f>ROUND($B8-$F8-$G8,2)</f>
        <v/>
      </c>
      <c r="I8" s="59">
        <f>IF($A8='Условия'!$C$7,'Условия'!$C$23,0)</f>
        <v/>
      </c>
      <c r="J8" s="59">
        <f>IFERROR(INDEX($H$5:$H$40,MATCH($A8-'Условия'!$C$17,$A$5:$A$40,0)),0)</f>
        <v/>
      </c>
      <c r="K8" s="59">
        <f>IF(AND('Условия'!$C$14&gt;0,$A8='Условия'!$C$14),ROUND(SUM($G$5:$G$40)*'Условия'!$C$15/100,2),0)</f>
        <v/>
      </c>
      <c r="L8" s="59">
        <f>ROUND(IFERROR(INDEX($B$5:$B$40,MATCH($A8+'Условия'!$C$19,$A$5:$A$40,0)),0)*'Условия'!$C$18/100,2)+IF($A8=1,'Условия'!$C$20,0)+IF($A8='Условия'!$C$12,'Условия'!$C$24,0)</f>
        <v/>
      </c>
      <c r="M8" s="59">
        <f>ROUND($I8+$J8+$K8-$L8,2)</f>
        <v/>
      </c>
      <c r="N8" s="59">
        <f>ROUND($N7+$M8,2)</f>
        <v/>
      </c>
      <c r="O8" s="22">
        <f>IF($N8&lt;0,$A8,"")</f>
        <v/>
      </c>
      <c r="P8" s="13">
        <f>IF($H8&lt;0,"Из КС этого месяца удерживают больше, чем она стоит: погашение аванса и гарантийное удержание вместе больше объёма",IF(AND($B8&gt;0,'Условия'!$C$16&lt;&gt;"",$A8&gt;'Условия'!$C$16),"Месяц за пределами срока объекта, а объём в графике есть",""))</f>
        <v/>
      </c>
    </row>
    <row r="9">
      <c r="A9" s="58" t="n">
        <v>5</v>
      </c>
      <c r="B9" s="59">
        <f>ROUND(IFERROR('Условия'!$C$5*INDEX('График КС'!$C$5:$C$40,MATCH($A9,'График КС'!$A$5:$A$40,0))/100,0),2)</f>
        <v/>
      </c>
      <c r="C9" s="59">
        <f>SUMIFS($B$5:$B$40,$A$5:$A$40,"&lt;="&amp;$A9)</f>
        <v/>
      </c>
      <c r="D9" s="60">
        <f>SUMIFS('График КС'!$C$5:$C$40,'График КС'!$A$5:$A$40,"&lt;="&amp;$A9)</f>
        <v/>
      </c>
      <c r="E9" s="59">
        <f>IF('Условия'!$C$25=0,0,IFERROR(MAX(0,MIN('Условия'!$C$23,IF('Условия'!$C$25=1,ROUND('Условия'!$C$23*$D9/'График КС'!$C$42,2),IF('Условия'!$C$25=2,IF($D9&gt;='График КС'!$C$42,'Условия'!$C$23,0),ROUND('Условия'!$C$23*($D9-'Условия'!$C$9)/('График КС'!$C$42-'Условия'!$C$9),2))))),0))</f>
        <v/>
      </c>
      <c r="F9" s="59">
        <f>ROUND($E9-$E8,2)</f>
        <v/>
      </c>
      <c r="G9" s="59">
        <f>ROUND($B9*'Условия'!$C$13/100,2)</f>
        <v/>
      </c>
      <c r="H9" s="59">
        <f>ROUND($B9-$F9-$G9,2)</f>
        <v/>
      </c>
      <c r="I9" s="59">
        <f>IF($A9='Условия'!$C$7,'Условия'!$C$23,0)</f>
        <v/>
      </c>
      <c r="J9" s="59">
        <f>IFERROR(INDEX($H$5:$H$40,MATCH($A9-'Условия'!$C$17,$A$5:$A$40,0)),0)</f>
        <v/>
      </c>
      <c r="K9" s="59">
        <f>IF(AND('Условия'!$C$14&gt;0,$A9='Условия'!$C$14),ROUND(SUM($G$5:$G$40)*'Условия'!$C$15/100,2),0)</f>
        <v/>
      </c>
      <c r="L9" s="59">
        <f>ROUND(IFERROR(INDEX($B$5:$B$40,MATCH($A9+'Условия'!$C$19,$A$5:$A$40,0)),0)*'Условия'!$C$18/100,2)+IF($A9=1,'Условия'!$C$20,0)+IF($A9='Условия'!$C$12,'Условия'!$C$24,0)</f>
        <v/>
      </c>
      <c r="M9" s="59">
        <f>ROUND($I9+$J9+$K9-$L9,2)</f>
        <v/>
      </c>
      <c r="N9" s="59">
        <f>ROUND($N8+$M9,2)</f>
        <v/>
      </c>
      <c r="O9" s="22">
        <f>IF($N9&lt;0,$A9,"")</f>
        <v/>
      </c>
      <c r="P9" s="13">
        <f>IF($H9&lt;0,"Из КС этого месяца удерживают больше, чем она стоит: погашение аванса и гарантийное удержание вместе больше объёма",IF(AND($B9&gt;0,'Условия'!$C$16&lt;&gt;"",$A9&gt;'Условия'!$C$16),"Месяц за пределами срока объекта, а объём в графике есть",""))</f>
        <v/>
      </c>
    </row>
    <row r="10">
      <c r="A10" s="58" t="n">
        <v>6</v>
      </c>
      <c r="B10" s="59">
        <f>ROUND(IFERROR('Условия'!$C$5*INDEX('График КС'!$C$5:$C$40,MATCH($A10,'График КС'!$A$5:$A$40,0))/100,0),2)</f>
        <v/>
      </c>
      <c r="C10" s="59">
        <f>SUMIFS($B$5:$B$40,$A$5:$A$40,"&lt;="&amp;$A10)</f>
        <v/>
      </c>
      <c r="D10" s="60">
        <f>SUMIFS('График КС'!$C$5:$C$40,'График КС'!$A$5:$A$40,"&lt;="&amp;$A10)</f>
        <v/>
      </c>
      <c r="E10" s="59">
        <f>IF('Условия'!$C$25=0,0,IFERROR(MAX(0,MIN('Условия'!$C$23,IF('Условия'!$C$25=1,ROUND('Условия'!$C$23*$D10/'График КС'!$C$42,2),IF('Условия'!$C$25=2,IF($D10&gt;='График КС'!$C$42,'Условия'!$C$23,0),ROUND('Условия'!$C$23*($D10-'Условия'!$C$9)/('График КС'!$C$42-'Условия'!$C$9),2))))),0))</f>
        <v/>
      </c>
      <c r="F10" s="59">
        <f>ROUND($E10-$E9,2)</f>
        <v/>
      </c>
      <c r="G10" s="59">
        <f>ROUND($B10*'Условия'!$C$13/100,2)</f>
        <v/>
      </c>
      <c r="H10" s="59">
        <f>ROUND($B10-$F10-$G10,2)</f>
        <v/>
      </c>
      <c r="I10" s="59">
        <f>IF($A10='Условия'!$C$7,'Условия'!$C$23,0)</f>
        <v/>
      </c>
      <c r="J10" s="59">
        <f>IFERROR(INDEX($H$5:$H$40,MATCH($A10-'Условия'!$C$17,$A$5:$A$40,0)),0)</f>
        <v/>
      </c>
      <c r="K10" s="59">
        <f>IF(AND('Условия'!$C$14&gt;0,$A10='Условия'!$C$14),ROUND(SUM($G$5:$G$40)*'Условия'!$C$15/100,2),0)</f>
        <v/>
      </c>
      <c r="L10" s="59">
        <f>ROUND(IFERROR(INDEX($B$5:$B$40,MATCH($A10+'Условия'!$C$19,$A$5:$A$40,0)),0)*'Условия'!$C$18/100,2)+IF($A10=1,'Условия'!$C$20,0)+IF($A10='Условия'!$C$12,'Условия'!$C$24,0)</f>
        <v/>
      </c>
      <c r="M10" s="59">
        <f>ROUND($I10+$J10+$K10-$L10,2)</f>
        <v/>
      </c>
      <c r="N10" s="59">
        <f>ROUND($N9+$M10,2)</f>
        <v/>
      </c>
      <c r="O10" s="22">
        <f>IF($N10&lt;0,$A10,"")</f>
        <v/>
      </c>
      <c r="P10" s="13">
        <f>IF($H10&lt;0,"Из КС этого месяца удерживают больше, чем она стоит: погашение аванса и гарантийное удержание вместе больше объёма",IF(AND($B10&gt;0,'Условия'!$C$16&lt;&gt;"",$A10&gt;'Условия'!$C$16),"Месяц за пределами срока объекта, а объём в графике есть",""))</f>
        <v/>
      </c>
    </row>
    <row r="11">
      <c r="A11" s="58" t="n">
        <v>7</v>
      </c>
      <c r="B11" s="59">
        <f>ROUND(IFERROR('Условия'!$C$5*INDEX('График КС'!$C$5:$C$40,MATCH($A11,'График КС'!$A$5:$A$40,0))/100,0),2)</f>
        <v/>
      </c>
      <c r="C11" s="59">
        <f>SUMIFS($B$5:$B$40,$A$5:$A$40,"&lt;="&amp;$A11)</f>
        <v/>
      </c>
      <c r="D11" s="60">
        <f>SUMIFS('График КС'!$C$5:$C$40,'График КС'!$A$5:$A$40,"&lt;="&amp;$A11)</f>
        <v/>
      </c>
      <c r="E11" s="59">
        <f>IF('Условия'!$C$25=0,0,IFERROR(MAX(0,MIN('Условия'!$C$23,IF('Условия'!$C$25=1,ROUND('Условия'!$C$23*$D11/'График КС'!$C$42,2),IF('Условия'!$C$25=2,IF($D11&gt;='График КС'!$C$42,'Условия'!$C$23,0),ROUND('Условия'!$C$23*($D11-'Условия'!$C$9)/('График КС'!$C$42-'Условия'!$C$9),2))))),0))</f>
        <v/>
      </c>
      <c r="F11" s="59">
        <f>ROUND($E11-$E10,2)</f>
        <v/>
      </c>
      <c r="G11" s="59">
        <f>ROUND($B11*'Условия'!$C$13/100,2)</f>
        <v/>
      </c>
      <c r="H11" s="59">
        <f>ROUND($B11-$F11-$G11,2)</f>
        <v/>
      </c>
      <c r="I11" s="59">
        <f>IF($A11='Условия'!$C$7,'Условия'!$C$23,0)</f>
        <v/>
      </c>
      <c r="J11" s="59">
        <f>IFERROR(INDEX($H$5:$H$40,MATCH($A11-'Условия'!$C$17,$A$5:$A$40,0)),0)</f>
        <v/>
      </c>
      <c r="K11" s="59">
        <f>IF(AND('Условия'!$C$14&gt;0,$A11='Условия'!$C$14),ROUND(SUM($G$5:$G$40)*'Условия'!$C$15/100,2),0)</f>
        <v/>
      </c>
      <c r="L11" s="59">
        <f>ROUND(IFERROR(INDEX($B$5:$B$40,MATCH($A11+'Условия'!$C$19,$A$5:$A$40,0)),0)*'Условия'!$C$18/100,2)+IF($A11=1,'Условия'!$C$20,0)+IF($A11='Условия'!$C$12,'Условия'!$C$24,0)</f>
        <v/>
      </c>
      <c r="M11" s="59">
        <f>ROUND($I11+$J11+$K11-$L11,2)</f>
        <v/>
      </c>
      <c r="N11" s="59">
        <f>ROUND($N10+$M11,2)</f>
        <v/>
      </c>
      <c r="O11" s="22">
        <f>IF($N11&lt;0,$A11,"")</f>
        <v/>
      </c>
      <c r="P11" s="13">
        <f>IF($H11&lt;0,"Из КС этого месяца удерживают больше, чем она стоит: погашение аванса и гарантийное удержание вместе больше объёма",IF(AND($B11&gt;0,'Условия'!$C$16&lt;&gt;"",$A11&gt;'Условия'!$C$16),"Месяц за пределами срока объекта, а объём в графике есть",""))</f>
        <v/>
      </c>
    </row>
    <row r="12">
      <c r="A12" s="58" t="n">
        <v>8</v>
      </c>
      <c r="B12" s="59">
        <f>ROUND(IFERROR('Условия'!$C$5*INDEX('График КС'!$C$5:$C$40,MATCH($A12,'График КС'!$A$5:$A$40,0))/100,0),2)</f>
        <v/>
      </c>
      <c r="C12" s="59">
        <f>SUMIFS($B$5:$B$40,$A$5:$A$40,"&lt;="&amp;$A12)</f>
        <v/>
      </c>
      <c r="D12" s="60">
        <f>SUMIFS('График КС'!$C$5:$C$40,'График КС'!$A$5:$A$40,"&lt;="&amp;$A12)</f>
        <v/>
      </c>
      <c r="E12" s="59">
        <f>IF('Условия'!$C$25=0,0,IFERROR(MAX(0,MIN('Условия'!$C$23,IF('Условия'!$C$25=1,ROUND('Условия'!$C$23*$D12/'График КС'!$C$42,2),IF('Условия'!$C$25=2,IF($D12&gt;='График КС'!$C$42,'Условия'!$C$23,0),ROUND('Условия'!$C$23*($D12-'Условия'!$C$9)/('График КС'!$C$42-'Условия'!$C$9),2))))),0))</f>
        <v/>
      </c>
      <c r="F12" s="59">
        <f>ROUND($E12-$E11,2)</f>
        <v/>
      </c>
      <c r="G12" s="59">
        <f>ROUND($B12*'Условия'!$C$13/100,2)</f>
        <v/>
      </c>
      <c r="H12" s="59">
        <f>ROUND($B12-$F12-$G12,2)</f>
        <v/>
      </c>
      <c r="I12" s="59">
        <f>IF($A12='Условия'!$C$7,'Условия'!$C$23,0)</f>
        <v/>
      </c>
      <c r="J12" s="59">
        <f>IFERROR(INDEX($H$5:$H$40,MATCH($A12-'Условия'!$C$17,$A$5:$A$40,0)),0)</f>
        <v/>
      </c>
      <c r="K12" s="59">
        <f>IF(AND('Условия'!$C$14&gt;0,$A12='Условия'!$C$14),ROUND(SUM($G$5:$G$40)*'Условия'!$C$15/100,2),0)</f>
        <v/>
      </c>
      <c r="L12" s="59">
        <f>ROUND(IFERROR(INDEX($B$5:$B$40,MATCH($A12+'Условия'!$C$19,$A$5:$A$40,0)),0)*'Условия'!$C$18/100,2)+IF($A12=1,'Условия'!$C$20,0)+IF($A12='Условия'!$C$12,'Условия'!$C$24,0)</f>
        <v/>
      </c>
      <c r="M12" s="59">
        <f>ROUND($I12+$J12+$K12-$L12,2)</f>
        <v/>
      </c>
      <c r="N12" s="59">
        <f>ROUND($N11+$M12,2)</f>
        <v/>
      </c>
      <c r="O12" s="22">
        <f>IF($N12&lt;0,$A12,"")</f>
        <v/>
      </c>
      <c r="P12" s="13">
        <f>IF($H12&lt;0,"Из КС этого месяца удерживают больше, чем она стоит: погашение аванса и гарантийное удержание вместе больше объёма",IF(AND($B12&gt;0,'Условия'!$C$16&lt;&gt;"",$A12&gt;'Условия'!$C$16),"Месяц за пределами срока объекта, а объём в графике есть",""))</f>
        <v/>
      </c>
    </row>
    <row r="13">
      <c r="A13" s="58" t="n">
        <v>9</v>
      </c>
      <c r="B13" s="59">
        <f>ROUND(IFERROR('Условия'!$C$5*INDEX('График КС'!$C$5:$C$40,MATCH($A13,'График КС'!$A$5:$A$40,0))/100,0),2)</f>
        <v/>
      </c>
      <c r="C13" s="59">
        <f>SUMIFS($B$5:$B$40,$A$5:$A$40,"&lt;="&amp;$A13)</f>
        <v/>
      </c>
      <c r="D13" s="60">
        <f>SUMIFS('График КС'!$C$5:$C$40,'График КС'!$A$5:$A$40,"&lt;="&amp;$A13)</f>
        <v/>
      </c>
      <c r="E13" s="59">
        <f>IF('Условия'!$C$25=0,0,IFERROR(MAX(0,MIN('Условия'!$C$23,IF('Условия'!$C$25=1,ROUND('Условия'!$C$23*$D13/'График КС'!$C$42,2),IF('Условия'!$C$25=2,IF($D13&gt;='График КС'!$C$42,'Условия'!$C$23,0),ROUND('Условия'!$C$23*($D13-'Условия'!$C$9)/('График КС'!$C$42-'Условия'!$C$9),2))))),0))</f>
        <v/>
      </c>
      <c r="F13" s="59">
        <f>ROUND($E13-$E12,2)</f>
        <v/>
      </c>
      <c r="G13" s="59">
        <f>ROUND($B13*'Условия'!$C$13/100,2)</f>
        <v/>
      </c>
      <c r="H13" s="59">
        <f>ROUND($B13-$F13-$G13,2)</f>
        <v/>
      </c>
      <c r="I13" s="59">
        <f>IF($A13='Условия'!$C$7,'Условия'!$C$23,0)</f>
        <v/>
      </c>
      <c r="J13" s="59">
        <f>IFERROR(INDEX($H$5:$H$40,MATCH($A13-'Условия'!$C$17,$A$5:$A$40,0)),0)</f>
        <v/>
      </c>
      <c r="K13" s="59">
        <f>IF(AND('Условия'!$C$14&gt;0,$A13='Условия'!$C$14),ROUND(SUM($G$5:$G$40)*'Условия'!$C$15/100,2),0)</f>
        <v/>
      </c>
      <c r="L13" s="59">
        <f>ROUND(IFERROR(INDEX($B$5:$B$40,MATCH($A13+'Условия'!$C$19,$A$5:$A$40,0)),0)*'Условия'!$C$18/100,2)+IF($A13=1,'Условия'!$C$20,0)+IF($A13='Условия'!$C$12,'Условия'!$C$24,0)</f>
        <v/>
      </c>
      <c r="M13" s="59">
        <f>ROUND($I13+$J13+$K13-$L13,2)</f>
        <v/>
      </c>
      <c r="N13" s="59">
        <f>ROUND($N12+$M13,2)</f>
        <v/>
      </c>
      <c r="O13" s="22">
        <f>IF($N13&lt;0,$A13,"")</f>
        <v/>
      </c>
      <c r="P13" s="13">
        <f>IF($H13&lt;0,"Из КС этого месяца удерживают больше, чем она стоит: погашение аванса и гарантийное удержание вместе больше объёма",IF(AND($B13&gt;0,'Условия'!$C$16&lt;&gt;"",$A13&gt;'Условия'!$C$16),"Месяц за пределами срока объекта, а объём в графике есть",""))</f>
        <v/>
      </c>
    </row>
    <row r="14">
      <c r="A14" s="58" t="n">
        <v>10</v>
      </c>
      <c r="B14" s="59">
        <f>ROUND(IFERROR('Условия'!$C$5*INDEX('График КС'!$C$5:$C$40,MATCH($A14,'График КС'!$A$5:$A$40,0))/100,0),2)</f>
        <v/>
      </c>
      <c r="C14" s="59">
        <f>SUMIFS($B$5:$B$40,$A$5:$A$40,"&lt;="&amp;$A14)</f>
        <v/>
      </c>
      <c r="D14" s="60">
        <f>SUMIFS('График КС'!$C$5:$C$40,'График КС'!$A$5:$A$40,"&lt;="&amp;$A14)</f>
        <v/>
      </c>
      <c r="E14" s="59">
        <f>IF('Условия'!$C$25=0,0,IFERROR(MAX(0,MIN('Условия'!$C$23,IF('Условия'!$C$25=1,ROUND('Условия'!$C$23*$D14/'График КС'!$C$42,2),IF('Условия'!$C$25=2,IF($D14&gt;='График КС'!$C$42,'Условия'!$C$23,0),ROUND('Условия'!$C$23*($D14-'Условия'!$C$9)/('График КС'!$C$42-'Условия'!$C$9),2))))),0))</f>
        <v/>
      </c>
      <c r="F14" s="59">
        <f>ROUND($E14-$E13,2)</f>
        <v/>
      </c>
      <c r="G14" s="59">
        <f>ROUND($B14*'Условия'!$C$13/100,2)</f>
        <v/>
      </c>
      <c r="H14" s="59">
        <f>ROUND($B14-$F14-$G14,2)</f>
        <v/>
      </c>
      <c r="I14" s="59">
        <f>IF($A14='Условия'!$C$7,'Условия'!$C$23,0)</f>
        <v/>
      </c>
      <c r="J14" s="59">
        <f>IFERROR(INDEX($H$5:$H$40,MATCH($A14-'Условия'!$C$17,$A$5:$A$40,0)),0)</f>
        <v/>
      </c>
      <c r="K14" s="59">
        <f>IF(AND('Условия'!$C$14&gt;0,$A14='Условия'!$C$14),ROUND(SUM($G$5:$G$40)*'Условия'!$C$15/100,2),0)</f>
        <v/>
      </c>
      <c r="L14" s="59">
        <f>ROUND(IFERROR(INDEX($B$5:$B$40,MATCH($A14+'Условия'!$C$19,$A$5:$A$40,0)),0)*'Условия'!$C$18/100,2)+IF($A14=1,'Условия'!$C$20,0)+IF($A14='Условия'!$C$12,'Условия'!$C$24,0)</f>
        <v/>
      </c>
      <c r="M14" s="59">
        <f>ROUND($I14+$J14+$K14-$L14,2)</f>
        <v/>
      </c>
      <c r="N14" s="59">
        <f>ROUND($N13+$M14,2)</f>
        <v/>
      </c>
      <c r="O14" s="22">
        <f>IF($N14&lt;0,$A14,"")</f>
        <v/>
      </c>
      <c r="P14" s="13">
        <f>IF($H14&lt;0,"Из КС этого месяца удерживают больше, чем она стоит: погашение аванса и гарантийное удержание вместе больше объёма",IF(AND($B14&gt;0,'Условия'!$C$16&lt;&gt;"",$A14&gt;'Условия'!$C$16),"Месяц за пределами срока объекта, а объём в графике есть",""))</f>
        <v/>
      </c>
    </row>
    <row r="15">
      <c r="A15" s="58" t="n">
        <v>11</v>
      </c>
      <c r="B15" s="59">
        <f>ROUND(IFERROR('Условия'!$C$5*INDEX('График КС'!$C$5:$C$40,MATCH($A15,'График КС'!$A$5:$A$40,0))/100,0),2)</f>
        <v/>
      </c>
      <c r="C15" s="59">
        <f>SUMIFS($B$5:$B$40,$A$5:$A$40,"&lt;="&amp;$A15)</f>
        <v/>
      </c>
      <c r="D15" s="60">
        <f>SUMIFS('График КС'!$C$5:$C$40,'График КС'!$A$5:$A$40,"&lt;="&amp;$A15)</f>
        <v/>
      </c>
      <c r="E15" s="59">
        <f>IF('Условия'!$C$25=0,0,IFERROR(MAX(0,MIN('Условия'!$C$23,IF('Условия'!$C$25=1,ROUND('Условия'!$C$23*$D15/'График КС'!$C$42,2),IF('Условия'!$C$25=2,IF($D15&gt;='График КС'!$C$42,'Условия'!$C$23,0),ROUND('Условия'!$C$23*($D15-'Условия'!$C$9)/('График КС'!$C$42-'Условия'!$C$9),2))))),0))</f>
        <v/>
      </c>
      <c r="F15" s="59">
        <f>ROUND($E15-$E14,2)</f>
        <v/>
      </c>
      <c r="G15" s="59">
        <f>ROUND($B15*'Условия'!$C$13/100,2)</f>
        <v/>
      </c>
      <c r="H15" s="59">
        <f>ROUND($B15-$F15-$G15,2)</f>
        <v/>
      </c>
      <c r="I15" s="59">
        <f>IF($A15='Условия'!$C$7,'Условия'!$C$23,0)</f>
        <v/>
      </c>
      <c r="J15" s="59">
        <f>IFERROR(INDEX($H$5:$H$40,MATCH($A15-'Условия'!$C$17,$A$5:$A$40,0)),0)</f>
        <v/>
      </c>
      <c r="K15" s="59">
        <f>IF(AND('Условия'!$C$14&gt;0,$A15='Условия'!$C$14),ROUND(SUM($G$5:$G$40)*'Условия'!$C$15/100,2),0)</f>
        <v/>
      </c>
      <c r="L15" s="59">
        <f>ROUND(IFERROR(INDEX($B$5:$B$40,MATCH($A15+'Условия'!$C$19,$A$5:$A$40,0)),0)*'Условия'!$C$18/100,2)+IF($A15=1,'Условия'!$C$20,0)+IF($A15='Условия'!$C$12,'Условия'!$C$24,0)</f>
        <v/>
      </c>
      <c r="M15" s="59">
        <f>ROUND($I15+$J15+$K15-$L15,2)</f>
        <v/>
      </c>
      <c r="N15" s="59">
        <f>ROUND($N14+$M15,2)</f>
        <v/>
      </c>
      <c r="O15" s="22">
        <f>IF($N15&lt;0,$A15,"")</f>
        <v/>
      </c>
      <c r="P15" s="13">
        <f>IF($H15&lt;0,"Из КС этого месяца удерживают больше, чем она стоит: погашение аванса и гарантийное удержание вместе больше объёма",IF(AND($B15&gt;0,'Условия'!$C$16&lt;&gt;"",$A15&gt;'Условия'!$C$16),"Месяц за пределами срока объекта, а объём в графике есть",""))</f>
        <v/>
      </c>
    </row>
    <row r="16">
      <c r="A16" s="58" t="n">
        <v>12</v>
      </c>
      <c r="B16" s="59">
        <f>ROUND(IFERROR('Условия'!$C$5*INDEX('График КС'!$C$5:$C$40,MATCH($A16,'График КС'!$A$5:$A$40,0))/100,0),2)</f>
        <v/>
      </c>
      <c r="C16" s="59">
        <f>SUMIFS($B$5:$B$40,$A$5:$A$40,"&lt;="&amp;$A16)</f>
        <v/>
      </c>
      <c r="D16" s="60">
        <f>SUMIFS('График КС'!$C$5:$C$40,'График КС'!$A$5:$A$40,"&lt;="&amp;$A16)</f>
        <v/>
      </c>
      <c r="E16" s="59">
        <f>IF('Условия'!$C$25=0,0,IFERROR(MAX(0,MIN('Условия'!$C$23,IF('Условия'!$C$25=1,ROUND('Условия'!$C$23*$D16/'График КС'!$C$42,2),IF('Условия'!$C$25=2,IF($D16&gt;='График КС'!$C$42,'Условия'!$C$23,0),ROUND('Условия'!$C$23*($D16-'Условия'!$C$9)/('График КС'!$C$42-'Условия'!$C$9),2))))),0))</f>
        <v/>
      </c>
      <c r="F16" s="59">
        <f>ROUND($E16-$E15,2)</f>
        <v/>
      </c>
      <c r="G16" s="59">
        <f>ROUND($B16*'Условия'!$C$13/100,2)</f>
        <v/>
      </c>
      <c r="H16" s="59">
        <f>ROUND($B16-$F16-$G16,2)</f>
        <v/>
      </c>
      <c r="I16" s="59">
        <f>IF($A16='Условия'!$C$7,'Условия'!$C$23,0)</f>
        <v/>
      </c>
      <c r="J16" s="59">
        <f>IFERROR(INDEX($H$5:$H$40,MATCH($A16-'Условия'!$C$17,$A$5:$A$40,0)),0)</f>
        <v/>
      </c>
      <c r="K16" s="59">
        <f>IF(AND('Условия'!$C$14&gt;0,$A16='Условия'!$C$14),ROUND(SUM($G$5:$G$40)*'Условия'!$C$15/100,2),0)</f>
        <v/>
      </c>
      <c r="L16" s="59">
        <f>ROUND(IFERROR(INDEX($B$5:$B$40,MATCH($A16+'Условия'!$C$19,$A$5:$A$40,0)),0)*'Условия'!$C$18/100,2)+IF($A16=1,'Условия'!$C$20,0)+IF($A16='Условия'!$C$12,'Условия'!$C$24,0)</f>
        <v/>
      </c>
      <c r="M16" s="59">
        <f>ROUND($I16+$J16+$K16-$L16,2)</f>
        <v/>
      </c>
      <c r="N16" s="59">
        <f>ROUND($N15+$M16,2)</f>
        <v/>
      </c>
      <c r="O16" s="22">
        <f>IF($N16&lt;0,$A16,"")</f>
        <v/>
      </c>
      <c r="P16" s="13">
        <f>IF($H16&lt;0,"Из КС этого месяца удерживают больше, чем она стоит: погашение аванса и гарантийное удержание вместе больше объёма",IF(AND($B16&gt;0,'Условия'!$C$16&lt;&gt;"",$A16&gt;'Условия'!$C$16),"Месяц за пределами срока объекта, а объём в графике есть",""))</f>
        <v/>
      </c>
    </row>
    <row r="17">
      <c r="A17" s="58" t="n">
        <v>13</v>
      </c>
      <c r="B17" s="59">
        <f>ROUND(IFERROR('Условия'!$C$5*INDEX('График КС'!$C$5:$C$40,MATCH($A17,'График КС'!$A$5:$A$40,0))/100,0),2)</f>
        <v/>
      </c>
      <c r="C17" s="59">
        <f>SUMIFS($B$5:$B$40,$A$5:$A$40,"&lt;="&amp;$A17)</f>
        <v/>
      </c>
      <c r="D17" s="60">
        <f>SUMIFS('График КС'!$C$5:$C$40,'График КС'!$A$5:$A$40,"&lt;="&amp;$A17)</f>
        <v/>
      </c>
      <c r="E17" s="59">
        <f>IF('Условия'!$C$25=0,0,IFERROR(MAX(0,MIN('Условия'!$C$23,IF('Условия'!$C$25=1,ROUND('Условия'!$C$23*$D17/'График КС'!$C$42,2),IF('Условия'!$C$25=2,IF($D17&gt;='График КС'!$C$42,'Условия'!$C$23,0),ROUND('Условия'!$C$23*($D17-'Условия'!$C$9)/('График КС'!$C$42-'Условия'!$C$9),2))))),0))</f>
        <v/>
      </c>
      <c r="F17" s="59">
        <f>ROUND($E17-$E16,2)</f>
        <v/>
      </c>
      <c r="G17" s="59">
        <f>ROUND($B17*'Условия'!$C$13/100,2)</f>
        <v/>
      </c>
      <c r="H17" s="59">
        <f>ROUND($B17-$F17-$G17,2)</f>
        <v/>
      </c>
      <c r="I17" s="59">
        <f>IF($A17='Условия'!$C$7,'Условия'!$C$23,0)</f>
        <v/>
      </c>
      <c r="J17" s="59">
        <f>IFERROR(INDEX($H$5:$H$40,MATCH($A17-'Условия'!$C$17,$A$5:$A$40,0)),0)</f>
        <v/>
      </c>
      <c r="K17" s="59">
        <f>IF(AND('Условия'!$C$14&gt;0,$A17='Условия'!$C$14),ROUND(SUM($G$5:$G$40)*'Условия'!$C$15/100,2),0)</f>
        <v/>
      </c>
      <c r="L17" s="59">
        <f>ROUND(IFERROR(INDEX($B$5:$B$40,MATCH($A17+'Условия'!$C$19,$A$5:$A$40,0)),0)*'Условия'!$C$18/100,2)+IF($A17=1,'Условия'!$C$20,0)+IF($A17='Условия'!$C$12,'Условия'!$C$24,0)</f>
        <v/>
      </c>
      <c r="M17" s="59">
        <f>ROUND($I17+$J17+$K17-$L17,2)</f>
        <v/>
      </c>
      <c r="N17" s="59">
        <f>ROUND($N16+$M17,2)</f>
        <v/>
      </c>
      <c r="O17" s="22">
        <f>IF($N17&lt;0,$A17,"")</f>
        <v/>
      </c>
      <c r="P17" s="13">
        <f>IF($H17&lt;0,"Из КС этого месяца удерживают больше, чем она стоит: погашение аванса и гарантийное удержание вместе больше объёма",IF(AND($B17&gt;0,'Условия'!$C$16&lt;&gt;"",$A17&gt;'Условия'!$C$16),"Месяц за пределами срока объекта, а объём в графике есть",""))</f>
        <v/>
      </c>
    </row>
    <row r="18">
      <c r="A18" s="58" t="n">
        <v>14</v>
      </c>
      <c r="B18" s="59">
        <f>ROUND(IFERROR('Условия'!$C$5*INDEX('График КС'!$C$5:$C$40,MATCH($A18,'График КС'!$A$5:$A$40,0))/100,0),2)</f>
        <v/>
      </c>
      <c r="C18" s="59">
        <f>SUMIFS($B$5:$B$40,$A$5:$A$40,"&lt;="&amp;$A18)</f>
        <v/>
      </c>
      <c r="D18" s="60">
        <f>SUMIFS('График КС'!$C$5:$C$40,'График КС'!$A$5:$A$40,"&lt;="&amp;$A18)</f>
        <v/>
      </c>
      <c r="E18" s="59">
        <f>IF('Условия'!$C$25=0,0,IFERROR(MAX(0,MIN('Условия'!$C$23,IF('Условия'!$C$25=1,ROUND('Условия'!$C$23*$D18/'График КС'!$C$42,2),IF('Условия'!$C$25=2,IF($D18&gt;='График КС'!$C$42,'Условия'!$C$23,0),ROUND('Условия'!$C$23*($D18-'Условия'!$C$9)/('График КС'!$C$42-'Условия'!$C$9),2))))),0))</f>
        <v/>
      </c>
      <c r="F18" s="59">
        <f>ROUND($E18-$E17,2)</f>
        <v/>
      </c>
      <c r="G18" s="59">
        <f>ROUND($B18*'Условия'!$C$13/100,2)</f>
        <v/>
      </c>
      <c r="H18" s="59">
        <f>ROUND($B18-$F18-$G18,2)</f>
        <v/>
      </c>
      <c r="I18" s="59">
        <f>IF($A18='Условия'!$C$7,'Условия'!$C$23,0)</f>
        <v/>
      </c>
      <c r="J18" s="59">
        <f>IFERROR(INDEX($H$5:$H$40,MATCH($A18-'Условия'!$C$17,$A$5:$A$40,0)),0)</f>
        <v/>
      </c>
      <c r="K18" s="59">
        <f>IF(AND('Условия'!$C$14&gt;0,$A18='Условия'!$C$14),ROUND(SUM($G$5:$G$40)*'Условия'!$C$15/100,2),0)</f>
        <v/>
      </c>
      <c r="L18" s="59">
        <f>ROUND(IFERROR(INDEX($B$5:$B$40,MATCH($A18+'Условия'!$C$19,$A$5:$A$40,0)),0)*'Условия'!$C$18/100,2)+IF($A18=1,'Условия'!$C$20,0)+IF($A18='Условия'!$C$12,'Условия'!$C$24,0)</f>
        <v/>
      </c>
      <c r="M18" s="59">
        <f>ROUND($I18+$J18+$K18-$L18,2)</f>
        <v/>
      </c>
      <c r="N18" s="59">
        <f>ROUND($N17+$M18,2)</f>
        <v/>
      </c>
      <c r="O18" s="22">
        <f>IF($N18&lt;0,$A18,"")</f>
        <v/>
      </c>
      <c r="P18" s="13">
        <f>IF($H18&lt;0,"Из КС этого месяца удерживают больше, чем она стоит: погашение аванса и гарантийное удержание вместе больше объёма",IF(AND($B18&gt;0,'Условия'!$C$16&lt;&gt;"",$A18&gt;'Условия'!$C$16),"Месяц за пределами срока объекта, а объём в графике есть",""))</f>
        <v/>
      </c>
    </row>
    <row r="19">
      <c r="A19" s="58" t="n">
        <v>15</v>
      </c>
      <c r="B19" s="59">
        <f>ROUND(IFERROR('Условия'!$C$5*INDEX('График КС'!$C$5:$C$40,MATCH($A19,'График КС'!$A$5:$A$40,0))/100,0),2)</f>
        <v/>
      </c>
      <c r="C19" s="59">
        <f>SUMIFS($B$5:$B$40,$A$5:$A$40,"&lt;="&amp;$A19)</f>
        <v/>
      </c>
      <c r="D19" s="60">
        <f>SUMIFS('График КС'!$C$5:$C$40,'График КС'!$A$5:$A$40,"&lt;="&amp;$A19)</f>
        <v/>
      </c>
      <c r="E19" s="59">
        <f>IF('Условия'!$C$25=0,0,IFERROR(MAX(0,MIN('Условия'!$C$23,IF('Условия'!$C$25=1,ROUND('Условия'!$C$23*$D19/'График КС'!$C$42,2),IF('Условия'!$C$25=2,IF($D19&gt;='График КС'!$C$42,'Условия'!$C$23,0),ROUND('Условия'!$C$23*($D19-'Условия'!$C$9)/('График КС'!$C$42-'Условия'!$C$9),2))))),0))</f>
        <v/>
      </c>
      <c r="F19" s="59">
        <f>ROUND($E19-$E18,2)</f>
        <v/>
      </c>
      <c r="G19" s="59">
        <f>ROUND($B19*'Условия'!$C$13/100,2)</f>
        <v/>
      </c>
      <c r="H19" s="59">
        <f>ROUND($B19-$F19-$G19,2)</f>
        <v/>
      </c>
      <c r="I19" s="59">
        <f>IF($A19='Условия'!$C$7,'Условия'!$C$23,0)</f>
        <v/>
      </c>
      <c r="J19" s="59">
        <f>IFERROR(INDEX($H$5:$H$40,MATCH($A19-'Условия'!$C$17,$A$5:$A$40,0)),0)</f>
        <v/>
      </c>
      <c r="K19" s="59">
        <f>IF(AND('Условия'!$C$14&gt;0,$A19='Условия'!$C$14),ROUND(SUM($G$5:$G$40)*'Условия'!$C$15/100,2),0)</f>
        <v/>
      </c>
      <c r="L19" s="59">
        <f>ROUND(IFERROR(INDEX($B$5:$B$40,MATCH($A19+'Условия'!$C$19,$A$5:$A$40,0)),0)*'Условия'!$C$18/100,2)+IF($A19=1,'Условия'!$C$20,0)+IF($A19='Условия'!$C$12,'Условия'!$C$24,0)</f>
        <v/>
      </c>
      <c r="M19" s="59">
        <f>ROUND($I19+$J19+$K19-$L19,2)</f>
        <v/>
      </c>
      <c r="N19" s="59">
        <f>ROUND($N18+$M19,2)</f>
        <v/>
      </c>
      <c r="O19" s="22">
        <f>IF($N19&lt;0,$A19,"")</f>
        <v/>
      </c>
      <c r="P19" s="13">
        <f>IF($H19&lt;0,"Из КС этого месяца удерживают больше, чем она стоит: погашение аванса и гарантийное удержание вместе больше объёма",IF(AND($B19&gt;0,'Условия'!$C$16&lt;&gt;"",$A19&gt;'Условия'!$C$16),"Месяц за пределами срока объекта, а объём в графике есть",""))</f>
        <v/>
      </c>
    </row>
    <row r="20">
      <c r="A20" s="58" t="n">
        <v>16</v>
      </c>
      <c r="B20" s="59">
        <f>ROUND(IFERROR('Условия'!$C$5*INDEX('График КС'!$C$5:$C$40,MATCH($A20,'График КС'!$A$5:$A$40,0))/100,0),2)</f>
        <v/>
      </c>
      <c r="C20" s="59">
        <f>SUMIFS($B$5:$B$40,$A$5:$A$40,"&lt;="&amp;$A20)</f>
        <v/>
      </c>
      <c r="D20" s="60">
        <f>SUMIFS('График КС'!$C$5:$C$40,'График КС'!$A$5:$A$40,"&lt;="&amp;$A20)</f>
        <v/>
      </c>
      <c r="E20" s="59">
        <f>IF('Условия'!$C$25=0,0,IFERROR(MAX(0,MIN('Условия'!$C$23,IF('Условия'!$C$25=1,ROUND('Условия'!$C$23*$D20/'График КС'!$C$42,2),IF('Условия'!$C$25=2,IF($D20&gt;='График КС'!$C$42,'Условия'!$C$23,0),ROUND('Условия'!$C$23*($D20-'Условия'!$C$9)/('График КС'!$C$42-'Условия'!$C$9),2))))),0))</f>
        <v/>
      </c>
      <c r="F20" s="59">
        <f>ROUND($E20-$E19,2)</f>
        <v/>
      </c>
      <c r="G20" s="59">
        <f>ROUND($B20*'Условия'!$C$13/100,2)</f>
        <v/>
      </c>
      <c r="H20" s="59">
        <f>ROUND($B20-$F20-$G20,2)</f>
        <v/>
      </c>
      <c r="I20" s="59">
        <f>IF($A20='Условия'!$C$7,'Условия'!$C$23,0)</f>
        <v/>
      </c>
      <c r="J20" s="59">
        <f>IFERROR(INDEX($H$5:$H$40,MATCH($A20-'Условия'!$C$17,$A$5:$A$40,0)),0)</f>
        <v/>
      </c>
      <c r="K20" s="59">
        <f>IF(AND('Условия'!$C$14&gt;0,$A20='Условия'!$C$14),ROUND(SUM($G$5:$G$40)*'Условия'!$C$15/100,2),0)</f>
        <v/>
      </c>
      <c r="L20" s="59">
        <f>ROUND(IFERROR(INDEX($B$5:$B$40,MATCH($A20+'Условия'!$C$19,$A$5:$A$40,0)),0)*'Условия'!$C$18/100,2)+IF($A20=1,'Условия'!$C$20,0)+IF($A20='Условия'!$C$12,'Условия'!$C$24,0)</f>
        <v/>
      </c>
      <c r="M20" s="59">
        <f>ROUND($I20+$J20+$K20-$L20,2)</f>
        <v/>
      </c>
      <c r="N20" s="59">
        <f>ROUND($N19+$M20,2)</f>
        <v/>
      </c>
      <c r="O20" s="22">
        <f>IF($N20&lt;0,$A20,"")</f>
        <v/>
      </c>
      <c r="P20" s="13">
        <f>IF($H20&lt;0,"Из КС этого месяца удерживают больше, чем она стоит: погашение аванса и гарантийное удержание вместе больше объёма",IF(AND($B20&gt;0,'Условия'!$C$16&lt;&gt;"",$A20&gt;'Условия'!$C$16),"Месяц за пределами срока объекта, а объём в графике есть",""))</f>
        <v/>
      </c>
    </row>
    <row r="21">
      <c r="A21" s="58" t="n">
        <v>17</v>
      </c>
      <c r="B21" s="59">
        <f>ROUND(IFERROR('Условия'!$C$5*INDEX('График КС'!$C$5:$C$40,MATCH($A21,'График КС'!$A$5:$A$40,0))/100,0),2)</f>
        <v/>
      </c>
      <c r="C21" s="59">
        <f>SUMIFS($B$5:$B$40,$A$5:$A$40,"&lt;="&amp;$A21)</f>
        <v/>
      </c>
      <c r="D21" s="60">
        <f>SUMIFS('График КС'!$C$5:$C$40,'График КС'!$A$5:$A$40,"&lt;="&amp;$A21)</f>
        <v/>
      </c>
      <c r="E21" s="59">
        <f>IF('Условия'!$C$25=0,0,IFERROR(MAX(0,MIN('Условия'!$C$23,IF('Условия'!$C$25=1,ROUND('Условия'!$C$23*$D21/'График КС'!$C$42,2),IF('Условия'!$C$25=2,IF($D21&gt;='График КС'!$C$42,'Условия'!$C$23,0),ROUND('Условия'!$C$23*($D21-'Условия'!$C$9)/('График КС'!$C$42-'Условия'!$C$9),2))))),0))</f>
        <v/>
      </c>
      <c r="F21" s="59">
        <f>ROUND($E21-$E20,2)</f>
        <v/>
      </c>
      <c r="G21" s="59">
        <f>ROUND($B21*'Условия'!$C$13/100,2)</f>
        <v/>
      </c>
      <c r="H21" s="59">
        <f>ROUND($B21-$F21-$G21,2)</f>
        <v/>
      </c>
      <c r="I21" s="59">
        <f>IF($A21='Условия'!$C$7,'Условия'!$C$23,0)</f>
        <v/>
      </c>
      <c r="J21" s="59">
        <f>IFERROR(INDEX($H$5:$H$40,MATCH($A21-'Условия'!$C$17,$A$5:$A$40,0)),0)</f>
        <v/>
      </c>
      <c r="K21" s="59">
        <f>IF(AND('Условия'!$C$14&gt;0,$A21='Условия'!$C$14),ROUND(SUM($G$5:$G$40)*'Условия'!$C$15/100,2),0)</f>
        <v/>
      </c>
      <c r="L21" s="59">
        <f>ROUND(IFERROR(INDEX($B$5:$B$40,MATCH($A21+'Условия'!$C$19,$A$5:$A$40,0)),0)*'Условия'!$C$18/100,2)+IF($A21=1,'Условия'!$C$20,0)+IF($A21='Условия'!$C$12,'Условия'!$C$24,0)</f>
        <v/>
      </c>
      <c r="M21" s="59">
        <f>ROUND($I21+$J21+$K21-$L21,2)</f>
        <v/>
      </c>
      <c r="N21" s="59">
        <f>ROUND($N20+$M21,2)</f>
        <v/>
      </c>
      <c r="O21" s="22">
        <f>IF($N21&lt;0,$A21,"")</f>
        <v/>
      </c>
      <c r="P21" s="13">
        <f>IF($H21&lt;0,"Из КС этого месяца удерживают больше, чем она стоит: погашение аванса и гарантийное удержание вместе больше объёма",IF(AND($B21&gt;0,'Условия'!$C$16&lt;&gt;"",$A21&gt;'Условия'!$C$16),"Месяц за пределами срока объекта, а объём в графике есть",""))</f>
        <v/>
      </c>
    </row>
    <row r="22">
      <c r="A22" s="58" t="n">
        <v>18</v>
      </c>
      <c r="B22" s="59">
        <f>ROUND(IFERROR('Условия'!$C$5*INDEX('График КС'!$C$5:$C$40,MATCH($A22,'График КС'!$A$5:$A$40,0))/100,0),2)</f>
        <v/>
      </c>
      <c r="C22" s="59">
        <f>SUMIFS($B$5:$B$40,$A$5:$A$40,"&lt;="&amp;$A22)</f>
        <v/>
      </c>
      <c r="D22" s="60">
        <f>SUMIFS('График КС'!$C$5:$C$40,'График КС'!$A$5:$A$40,"&lt;="&amp;$A22)</f>
        <v/>
      </c>
      <c r="E22" s="59">
        <f>IF('Условия'!$C$25=0,0,IFERROR(MAX(0,MIN('Условия'!$C$23,IF('Условия'!$C$25=1,ROUND('Условия'!$C$23*$D22/'График КС'!$C$42,2),IF('Условия'!$C$25=2,IF($D22&gt;='График КС'!$C$42,'Условия'!$C$23,0),ROUND('Условия'!$C$23*($D22-'Условия'!$C$9)/('График КС'!$C$42-'Условия'!$C$9),2))))),0))</f>
        <v/>
      </c>
      <c r="F22" s="59">
        <f>ROUND($E22-$E21,2)</f>
        <v/>
      </c>
      <c r="G22" s="59">
        <f>ROUND($B22*'Условия'!$C$13/100,2)</f>
        <v/>
      </c>
      <c r="H22" s="59">
        <f>ROUND($B22-$F22-$G22,2)</f>
        <v/>
      </c>
      <c r="I22" s="59">
        <f>IF($A22='Условия'!$C$7,'Условия'!$C$23,0)</f>
        <v/>
      </c>
      <c r="J22" s="59">
        <f>IFERROR(INDEX($H$5:$H$40,MATCH($A22-'Условия'!$C$17,$A$5:$A$40,0)),0)</f>
        <v/>
      </c>
      <c r="K22" s="59">
        <f>IF(AND('Условия'!$C$14&gt;0,$A22='Условия'!$C$14),ROUND(SUM($G$5:$G$40)*'Условия'!$C$15/100,2),0)</f>
        <v/>
      </c>
      <c r="L22" s="59">
        <f>ROUND(IFERROR(INDEX($B$5:$B$40,MATCH($A22+'Условия'!$C$19,$A$5:$A$40,0)),0)*'Условия'!$C$18/100,2)+IF($A22=1,'Условия'!$C$20,0)+IF($A22='Условия'!$C$12,'Условия'!$C$24,0)</f>
        <v/>
      </c>
      <c r="M22" s="59">
        <f>ROUND($I22+$J22+$K22-$L22,2)</f>
        <v/>
      </c>
      <c r="N22" s="59">
        <f>ROUND($N21+$M22,2)</f>
        <v/>
      </c>
      <c r="O22" s="22">
        <f>IF($N22&lt;0,$A22,"")</f>
        <v/>
      </c>
      <c r="P22" s="13">
        <f>IF($H22&lt;0,"Из КС этого месяца удерживают больше, чем она стоит: погашение аванса и гарантийное удержание вместе больше объёма",IF(AND($B22&gt;0,'Условия'!$C$16&lt;&gt;"",$A22&gt;'Условия'!$C$16),"Месяц за пределами срока объекта, а объём в графике есть",""))</f>
        <v/>
      </c>
    </row>
    <row r="23">
      <c r="A23" s="58" t="n">
        <v>19</v>
      </c>
      <c r="B23" s="59">
        <f>ROUND(IFERROR('Условия'!$C$5*INDEX('График КС'!$C$5:$C$40,MATCH($A23,'График КС'!$A$5:$A$40,0))/100,0),2)</f>
        <v/>
      </c>
      <c r="C23" s="59">
        <f>SUMIFS($B$5:$B$40,$A$5:$A$40,"&lt;="&amp;$A23)</f>
        <v/>
      </c>
      <c r="D23" s="60">
        <f>SUMIFS('График КС'!$C$5:$C$40,'График КС'!$A$5:$A$40,"&lt;="&amp;$A23)</f>
        <v/>
      </c>
      <c r="E23" s="59">
        <f>IF('Условия'!$C$25=0,0,IFERROR(MAX(0,MIN('Условия'!$C$23,IF('Условия'!$C$25=1,ROUND('Условия'!$C$23*$D23/'График КС'!$C$42,2),IF('Условия'!$C$25=2,IF($D23&gt;='График КС'!$C$42,'Условия'!$C$23,0),ROUND('Условия'!$C$23*($D23-'Условия'!$C$9)/('График КС'!$C$42-'Условия'!$C$9),2))))),0))</f>
        <v/>
      </c>
      <c r="F23" s="59">
        <f>ROUND($E23-$E22,2)</f>
        <v/>
      </c>
      <c r="G23" s="59">
        <f>ROUND($B23*'Условия'!$C$13/100,2)</f>
        <v/>
      </c>
      <c r="H23" s="59">
        <f>ROUND($B23-$F23-$G23,2)</f>
        <v/>
      </c>
      <c r="I23" s="59">
        <f>IF($A23='Условия'!$C$7,'Условия'!$C$23,0)</f>
        <v/>
      </c>
      <c r="J23" s="59">
        <f>IFERROR(INDEX($H$5:$H$40,MATCH($A23-'Условия'!$C$17,$A$5:$A$40,0)),0)</f>
        <v/>
      </c>
      <c r="K23" s="59">
        <f>IF(AND('Условия'!$C$14&gt;0,$A23='Условия'!$C$14),ROUND(SUM($G$5:$G$40)*'Условия'!$C$15/100,2),0)</f>
        <v/>
      </c>
      <c r="L23" s="59">
        <f>ROUND(IFERROR(INDEX($B$5:$B$40,MATCH($A23+'Условия'!$C$19,$A$5:$A$40,0)),0)*'Условия'!$C$18/100,2)+IF($A23=1,'Условия'!$C$20,0)+IF($A23='Условия'!$C$12,'Условия'!$C$24,0)</f>
        <v/>
      </c>
      <c r="M23" s="59">
        <f>ROUND($I23+$J23+$K23-$L23,2)</f>
        <v/>
      </c>
      <c r="N23" s="59">
        <f>ROUND($N22+$M23,2)</f>
        <v/>
      </c>
      <c r="O23" s="22">
        <f>IF($N23&lt;0,$A23,"")</f>
        <v/>
      </c>
      <c r="P23" s="13">
        <f>IF($H23&lt;0,"Из КС этого месяца удерживают больше, чем она стоит: погашение аванса и гарантийное удержание вместе больше объёма",IF(AND($B23&gt;0,'Условия'!$C$16&lt;&gt;"",$A23&gt;'Условия'!$C$16),"Месяц за пределами срока объекта, а объём в графике есть",""))</f>
        <v/>
      </c>
    </row>
    <row r="24">
      <c r="A24" s="58" t="n">
        <v>20</v>
      </c>
      <c r="B24" s="59">
        <f>ROUND(IFERROR('Условия'!$C$5*INDEX('График КС'!$C$5:$C$40,MATCH($A24,'График КС'!$A$5:$A$40,0))/100,0),2)</f>
        <v/>
      </c>
      <c r="C24" s="59">
        <f>SUMIFS($B$5:$B$40,$A$5:$A$40,"&lt;="&amp;$A24)</f>
        <v/>
      </c>
      <c r="D24" s="60">
        <f>SUMIFS('График КС'!$C$5:$C$40,'График КС'!$A$5:$A$40,"&lt;="&amp;$A24)</f>
        <v/>
      </c>
      <c r="E24" s="59">
        <f>IF('Условия'!$C$25=0,0,IFERROR(MAX(0,MIN('Условия'!$C$23,IF('Условия'!$C$25=1,ROUND('Условия'!$C$23*$D24/'График КС'!$C$42,2),IF('Условия'!$C$25=2,IF($D24&gt;='График КС'!$C$42,'Условия'!$C$23,0),ROUND('Условия'!$C$23*($D24-'Условия'!$C$9)/('График КС'!$C$42-'Условия'!$C$9),2))))),0))</f>
        <v/>
      </c>
      <c r="F24" s="59">
        <f>ROUND($E24-$E23,2)</f>
        <v/>
      </c>
      <c r="G24" s="59">
        <f>ROUND($B24*'Условия'!$C$13/100,2)</f>
        <v/>
      </c>
      <c r="H24" s="59">
        <f>ROUND($B24-$F24-$G24,2)</f>
        <v/>
      </c>
      <c r="I24" s="59">
        <f>IF($A24='Условия'!$C$7,'Условия'!$C$23,0)</f>
        <v/>
      </c>
      <c r="J24" s="59">
        <f>IFERROR(INDEX($H$5:$H$40,MATCH($A24-'Условия'!$C$17,$A$5:$A$40,0)),0)</f>
        <v/>
      </c>
      <c r="K24" s="59">
        <f>IF(AND('Условия'!$C$14&gt;0,$A24='Условия'!$C$14),ROUND(SUM($G$5:$G$40)*'Условия'!$C$15/100,2),0)</f>
        <v/>
      </c>
      <c r="L24" s="59">
        <f>ROUND(IFERROR(INDEX($B$5:$B$40,MATCH($A24+'Условия'!$C$19,$A$5:$A$40,0)),0)*'Условия'!$C$18/100,2)+IF($A24=1,'Условия'!$C$20,0)+IF($A24='Условия'!$C$12,'Условия'!$C$24,0)</f>
        <v/>
      </c>
      <c r="M24" s="59">
        <f>ROUND($I24+$J24+$K24-$L24,2)</f>
        <v/>
      </c>
      <c r="N24" s="59">
        <f>ROUND($N23+$M24,2)</f>
        <v/>
      </c>
      <c r="O24" s="22">
        <f>IF($N24&lt;0,$A24,"")</f>
        <v/>
      </c>
      <c r="P24" s="13">
        <f>IF($H24&lt;0,"Из КС этого месяца удерживают больше, чем она стоит: погашение аванса и гарантийное удержание вместе больше объёма",IF(AND($B24&gt;0,'Условия'!$C$16&lt;&gt;"",$A24&gt;'Условия'!$C$16),"Месяц за пределами срока объекта, а объём в графике есть",""))</f>
        <v/>
      </c>
    </row>
    <row r="25">
      <c r="A25" s="58" t="n">
        <v>21</v>
      </c>
      <c r="B25" s="59">
        <f>ROUND(IFERROR('Условия'!$C$5*INDEX('График КС'!$C$5:$C$40,MATCH($A25,'График КС'!$A$5:$A$40,0))/100,0),2)</f>
        <v/>
      </c>
      <c r="C25" s="59">
        <f>SUMIFS($B$5:$B$40,$A$5:$A$40,"&lt;="&amp;$A25)</f>
        <v/>
      </c>
      <c r="D25" s="60">
        <f>SUMIFS('График КС'!$C$5:$C$40,'График КС'!$A$5:$A$40,"&lt;="&amp;$A25)</f>
        <v/>
      </c>
      <c r="E25" s="59">
        <f>IF('Условия'!$C$25=0,0,IFERROR(MAX(0,MIN('Условия'!$C$23,IF('Условия'!$C$25=1,ROUND('Условия'!$C$23*$D25/'График КС'!$C$42,2),IF('Условия'!$C$25=2,IF($D25&gt;='График КС'!$C$42,'Условия'!$C$23,0),ROUND('Условия'!$C$23*($D25-'Условия'!$C$9)/('График КС'!$C$42-'Условия'!$C$9),2))))),0))</f>
        <v/>
      </c>
      <c r="F25" s="59">
        <f>ROUND($E25-$E24,2)</f>
        <v/>
      </c>
      <c r="G25" s="59">
        <f>ROUND($B25*'Условия'!$C$13/100,2)</f>
        <v/>
      </c>
      <c r="H25" s="59">
        <f>ROUND($B25-$F25-$G25,2)</f>
        <v/>
      </c>
      <c r="I25" s="59">
        <f>IF($A25='Условия'!$C$7,'Условия'!$C$23,0)</f>
        <v/>
      </c>
      <c r="J25" s="59">
        <f>IFERROR(INDEX($H$5:$H$40,MATCH($A25-'Условия'!$C$17,$A$5:$A$40,0)),0)</f>
        <v/>
      </c>
      <c r="K25" s="59">
        <f>IF(AND('Условия'!$C$14&gt;0,$A25='Условия'!$C$14),ROUND(SUM($G$5:$G$40)*'Условия'!$C$15/100,2),0)</f>
        <v/>
      </c>
      <c r="L25" s="59">
        <f>ROUND(IFERROR(INDEX($B$5:$B$40,MATCH($A25+'Условия'!$C$19,$A$5:$A$40,0)),0)*'Условия'!$C$18/100,2)+IF($A25=1,'Условия'!$C$20,0)+IF($A25='Условия'!$C$12,'Условия'!$C$24,0)</f>
        <v/>
      </c>
      <c r="M25" s="59">
        <f>ROUND($I25+$J25+$K25-$L25,2)</f>
        <v/>
      </c>
      <c r="N25" s="59">
        <f>ROUND($N24+$M25,2)</f>
        <v/>
      </c>
      <c r="O25" s="22">
        <f>IF($N25&lt;0,$A25,"")</f>
        <v/>
      </c>
      <c r="P25" s="13">
        <f>IF($H25&lt;0,"Из КС этого месяца удерживают больше, чем она стоит: погашение аванса и гарантийное удержание вместе больше объёма",IF(AND($B25&gt;0,'Условия'!$C$16&lt;&gt;"",$A25&gt;'Условия'!$C$16),"Месяц за пределами срока объекта, а объём в графике есть",""))</f>
        <v/>
      </c>
    </row>
    <row r="26">
      <c r="A26" s="58" t="n">
        <v>22</v>
      </c>
      <c r="B26" s="59">
        <f>ROUND(IFERROR('Условия'!$C$5*INDEX('График КС'!$C$5:$C$40,MATCH($A26,'График КС'!$A$5:$A$40,0))/100,0),2)</f>
        <v/>
      </c>
      <c r="C26" s="59">
        <f>SUMIFS($B$5:$B$40,$A$5:$A$40,"&lt;="&amp;$A26)</f>
        <v/>
      </c>
      <c r="D26" s="60">
        <f>SUMIFS('График КС'!$C$5:$C$40,'График КС'!$A$5:$A$40,"&lt;="&amp;$A26)</f>
        <v/>
      </c>
      <c r="E26" s="59">
        <f>IF('Условия'!$C$25=0,0,IFERROR(MAX(0,MIN('Условия'!$C$23,IF('Условия'!$C$25=1,ROUND('Условия'!$C$23*$D26/'График КС'!$C$42,2),IF('Условия'!$C$25=2,IF($D26&gt;='График КС'!$C$42,'Условия'!$C$23,0),ROUND('Условия'!$C$23*($D26-'Условия'!$C$9)/('График КС'!$C$42-'Условия'!$C$9),2))))),0))</f>
        <v/>
      </c>
      <c r="F26" s="59">
        <f>ROUND($E26-$E25,2)</f>
        <v/>
      </c>
      <c r="G26" s="59">
        <f>ROUND($B26*'Условия'!$C$13/100,2)</f>
        <v/>
      </c>
      <c r="H26" s="59">
        <f>ROUND($B26-$F26-$G26,2)</f>
        <v/>
      </c>
      <c r="I26" s="59">
        <f>IF($A26='Условия'!$C$7,'Условия'!$C$23,0)</f>
        <v/>
      </c>
      <c r="J26" s="59">
        <f>IFERROR(INDEX($H$5:$H$40,MATCH($A26-'Условия'!$C$17,$A$5:$A$40,0)),0)</f>
        <v/>
      </c>
      <c r="K26" s="59">
        <f>IF(AND('Условия'!$C$14&gt;0,$A26='Условия'!$C$14),ROUND(SUM($G$5:$G$40)*'Условия'!$C$15/100,2),0)</f>
        <v/>
      </c>
      <c r="L26" s="59">
        <f>ROUND(IFERROR(INDEX($B$5:$B$40,MATCH($A26+'Условия'!$C$19,$A$5:$A$40,0)),0)*'Условия'!$C$18/100,2)+IF($A26=1,'Условия'!$C$20,0)+IF($A26='Условия'!$C$12,'Условия'!$C$24,0)</f>
        <v/>
      </c>
      <c r="M26" s="59">
        <f>ROUND($I26+$J26+$K26-$L26,2)</f>
        <v/>
      </c>
      <c r="N26" s="59">
        <f>ROUND($N25+$M26,2)</f>
        <v/>
      </c>
      <c r="O26" s="22">
        <f>IF($N26&lt;0,$A26,"")</f>
        <v/>
      </c>
      <c r="P26" s="13">
        <f>IF($H26&lt;0,"Из КС этого месяца удерживают больше, чем она стоит: погашение аванса и гарантийное удержание вместе больше объёма",IF(AND($B26&gt;0,'Условия'!$C$16&lt;&gt;"",$A26&gt;'Условия'!$C$16),"Месяц за пределами срока объекта, а объём в графике есть",""))</f>
        <v/>
      </c>
    </row>
    <row r="27">
      <c r="A27" s="58" t="n">
        <v>23</v>
      </c>
      <c r="B27" s="59">
        <f>ROUND(IFERROR('Условия'!$C$5*INDEX('График КС'!$C$5:$C$40,MATCH($A27,'График КС'!$A$5:$A$40,0))/100,0),2)</f>
        <v/>
      </c>
      <c r="C27" s="59">
        <f>SUMIFS($B$5:$B$40,$A$5:$A$40,"&lt;="&amp;$A27)</f>
        <v/>
      </c>
      <c r="D27" s="60">
        <f>SUMIFS('График КС'!$C$5:$C$40,'График КС'!$A$5:$A$40,"&lt;="&amp;$A27)</f>
        <v/>
      </c>
      <c r="E27" s="59">
        <f>IF('Условия'!$C$25=0,0,IFERROR(MAX(0,MIN('Условия'!$C$23,IF('Условия'!$C$25=1,ROUND('Условия'!$C$23*$D27/'График КС'!$C$42,2),IF('Условия'!$C$25=2,IF($D27&gt;='График КС'!$C$42,'Условия'!$C$23,0),ROUND('Условия'!$C$23*($D27-'Условия'!$C$9)/('График КС'!$C$42-'Условия'!$C$9),2))))),0))</f>
        <v/>
      </c>
      <c r="F27" s="59">
        <f>ROUND($E27-$E26,2)</f>
        <v/>
      </c>
      <c r="G27" s="59">
        <f>ROUND($B27*'Условия'!$C$13/100,2)</f>
        <v/>
      </c>
      <c r="H27" s="59">
        <f>ROUND($B27-$F27-$G27,2)</f>
        <v/>
      </c>
      <c r="I27" s="59">
        <f>IF($A27='Условия'!$C$7,'Условия'!$C$23,0)</f>
        <v/>
      </c>
      <c r="J27" s="59">
        <f>IFERROR(INDEX($H$5:$H$40,MATCH($A27-'Условия'!$C$17,$A$5:$A$40,0)),0)</f>
        <v/>
      </c>
      <c r="K27" s="59">
        <f>IF(AND('Условия'!$C$14&gt;0,$A27='Условия'!$C$14),ROUND(SUM($G$5:$G$40)*'Условия'!$C$15/100,2),0)</f>
        <v/>
      </c>
      <c r="L27" s="59">
        <f>ROUND(IFERROR(INDEX($B$5:$B$40,MATCH($A27+'Условия'!$C$19,$A$5:$A$40,0)),0)*'Условия'!$C$18/100,2)+IF($A27=1,'Условия'!$C$20,0)+IF($A27='Условия'!$C$12,'Условия'!$C$24,0)</f>
        <v/>
      </c>
      <c r="M27" s="59">
        <f>ROUND($I27+$J27+$K27-$L27,2)</f>
        <v/>
      </c>
      <c r="N27" s="59">
        <f>ROUND($N26+$M27,2)</f>
        <v/>
      </c>
      <c r="O27" s="22">
        <f>IF($N27&lt;0,$A27,"")</f>
        <v/>
      </c>
      <c r="P27" s="13">
        <f>IF($H27&lt;0,"Из КС этого месяца удерживают больше, чем она стоит: погашение аванса и гарантийное удержание вместе больше объёма",IF(AND($B27&gt;0,'Условия'!$C$16&lt;&gt;"",$A27&gt;'Условия'!$C$16),"Месяц за пределами срока объекта, а объём в графике есть",""))</f>
        <v/>
      </c>
    </row>
    <row r="28">
      <c r="A28" s="58" t="n">
        <v>24</v>
      </c>
      <c r="B28" s="59">
        <f>ROUND(IFERROR('Условия'!$C$5*INDEX('График КС'!$C$5:$C$40,MATCH($A28,'График КС'!$A$5:$A$40,0))/100,0),2)</f>
        <v/>
      </c>
      <c r="C28" s="59">
        <f>SUMIFS($B$5:$B$40,$A$5:$A$40,"&lt;="&amp;$A28)</f>
        <v/>
      </c>
      <c r="D28" s="60">
        <f>SUMIFS('График КС'!$C$5:$C$40,'График КС'!$A$5:$A$40,"&lt;="&amp;$A28)</f>
        <v/>
      </c>
      <c r="E28" s="59">
        <f>IF('Условия'!$C$25=0,0,IFERROR(MAX(0,MIN('Условия'!$C$23,IF('Условия'!$C$25=1,ROUND('Условия'!$C$23*$D28/'График КС'!$C$42,2),IF('Условия'!$C$25=2,IF($D28&gt;='График КС'!$C$42,'Условия'!$C$23,0),ROUND('Условия'!$C$23*($D28-'Условия'!$C$9)/('График КС'!$C$42-'Условия'!$C$9),2))))),0))</f>
        <v/>
      </c>
      <c r="F28" s="59">
        <f>ROUND($E28-$E27,2)</f>
        <v/>
      </c>
      <c r="G28" s="59">
        <f>ROUND($B28*'Условия'!$C$13/100,2)</f>
        <v/>
      </c>
      <c r="H28" s="59">
        <f>ROUND($B28-$F28-$G28,2)</f>
        <v/>
      </c>
      <c r="I28" s="59">
        <f>IF($A28='Условия'!$C$7,'Условия'!$C$23,0)</f>
        <v/>
      </c>
      <c r="J28" s="59">
        <f>IFERROR(INDEX($H$5:$H$40,MATCH($A28-'Условия'!$C$17,$A$5:$A$40,0)),0)</f>
        <v/>
      </c>
      <c r="K28" s="59">
        <f>IF(AND('Условия'!$C$14&gt;0,$A28='Условия'!$C$14),ROUND(SUM($G$5:$G$40)*'Условия'!$C$15/100,2),0)</f>
        <v/>
      </c>
      <c r="L28" s="59">
        <f>ROUND(IFERROR(INDEX($B$5:$B$40,MATCH($A28+'Условия'!$C$19,$A$5:$A$40,0)),0)*'Условия'!$C$18/100,2)+IF($A28=1,'Условия'!$C$20,0)+IF($A28='Условия'!$C$12,'Условия'!$C$24,0)</f>
        <v/>
      </c>
      <c r="M28" s="59">
        <f>ROUND($I28+$J28+$K28-$L28,2)</f>
        <v/>
      </c>
      <c r="N28" s="59">
        <f>ROUND($N27+$M28,2)</f>
        <v/>
      </c>
      <c r="O28" s="22">
        <f>IF($N28&lt;0,$A28,"")</f>
        <v/>
      </c>
      <c r="P28" s="13">
        <f>IF($H28&lt;0,"Из КС этого месяца удерживают больше, чем она стоит: погашение аванса и гарантийное удержание вместе больше объёма",IF(AND($B28&gt;0,'Условия'!$C$16&lt;&gt;"",$A28&gt;'Условия'!$C$16),"Месяц за пределами срока объекта, а объём в графике есть",""))</f>
        <v/>
      </c>
    </row>
    <row r="29">
      <c r="A29" s="58" t="n">
        <v>25</v>
      </c>
      <c r="B29" s="59">
        <f>ROUND(IFERROR('Условия'!$C$5*INDEX('График КС'!$C$5:$C$40,MATCH($A29,'График КС'!$A$5:$A$40,0))/100,0),2)</f>
        <v/>
      </c>
      <c r="C29" s="59">
        <f>SUMIFS($B$5:$B$40,$A$5:$A$40,"&lt;="&amp;$A29)</f>
        <v/>
      </c>
      <c r="D29" s="60">
        <f>SUMIFS('График КС'!$C$5:$C$40,'График КС'!$A$5:$A$40,"&lt;="&amp;$A29)</f>
        <v/>
      </c>
      <c r="E29" s="59">
        <f>IF('Условия'!$C$25=0,0,IFERROR(MAX(0,MIN('Условия'!$C$23,IF('Условия'!$C$25=1,ROUND('Условия'!$C$23*$D29/'График КС'!$C$42,2),IF('Условия'!$C$25=2,IF($D29&gt;='График КС'!$C$42,'Условия'!$C$23,0),ROUND('Условия'!$C$23*($D29-'Условия'!$C$9)/('График КС'!$C$42-'Условия'!$C$9),2))))),0))</f>
        <v/>
      </c>
      <c r="F29" s="59">
        <f>ROUND($E29-$E28,2)</f>
        <v/>
      </c>
      <c r="G29" s="59">
        <f>ROUND($B29*'Условия'!$C$13/100,2)</f>
        <v/>
      </c>
      <c r="H29" s="59">
        <f>ROUND($B29-$F29-$G29,2)</f>
        <v/>
      </c>
      <c r="I29" s="59">
        <f>IF($A29='Условия'!$C$7,'Условия'!$C$23,0)</f>
        <v/>
      </c>
      <c r="J29" s="59">
        <f>IFERROR(INDEX($H$5:$H$40,MATCH($A29-'Условия'!$C$17,$A$5:$A$40,0)),0)</f>
        <v/>
      </c>
      <c r="K29" s="59">
        <f>IF(AND('Условия'!$C$14&gt;0,$A29='Условия'!$C$14),ROUND(SUM($G$5:$G$40)*'Условия'!$C$15/100,2),0)</f>
        <v/>
      </c>
      <c r="L29" s="59">
        <f>ROUND(IFERROR(INDEX($B$5:$B$40,MATCH($A29+'Условия'!$C$19,$A$5:$A$40,0)),0)*'Условия'!$C$18/100,2)+IF($A29=1,'Условия'!$C$20,0)+IF($A29='Условия'!$C$12,'Условия'!$C$24,0)</f>
        <v/>
      </c>
      <c r="M29" s="59">
        <f>ROUND($I29+$J29+$K29-$L29,2)</f>
        <v/>
      </c>
      <c r="N29" s="59">
        <f>ROUND($N28+$M29,2)</f>
        <v/>
      </c>
      <c r="O29" s="22">
        <f>IF($N29&lt;0,$A29,"")</f>
        <v/>
      </c>
      <c r="P29" s="13">
        <f>IF($H29&lt;0,"Из КС этого месяца удерживают больше, чем она стоит: погашение аванса и гарантийное удержание вместе больше объёма",IF(AND($B29&gt;0,'Условия'!$C$16&lt;&gt;"",$A29&gt;'Условия'!$C$16),"Месяц за пределами срока объекта, а объём в графике есть",""))</f>
        <v/>
      </c>
    </row>
    <row r="30">
      <c r="A30" s="58" t="n">
        <v>26</v>
      </c>
      <c r="B30" s="59">
        <f>ROUND(IFERROR('Условия'!$C$5*INDEX('График КС'!$C$5:$C$40,MATCH($A30,'График КС'!$A$5:$A$40,0))/100,0),2)</f>
        <v/>
      </c>
      <c r="C30" s="59">
        <f>SUMIFS($B$5:$B$40,$A$5:$A$40,"&lt;="&amp;$A30)</f>
        <v/>
      </c>
      <c r="D30" s="60">
        <f>SUMIFS('График КС'!$C$5:$C$40,'График КС'!$A$5:$A$40,"&lt;="&amp;$A30)</f>
        <v/>
      </c>
      <c r="E30" s="59">
        <f>IF('Условия'!$C$25=0,0,IFERROR(MAX(0,MIN('Условия'!$C$23,IF('Условия'!$C$25=1,ROUND('Условия'!$C$23*$D30/'График КС'!$C$42,2),IF('Условия'!$C$25=2,IF($D30&gt;='График КС'!$C$42,'Условия'!$C$23,0),ROUND('Условия'!$C$23*($D30-'Условия'!$C$9)/('График КС'!$C$42-'Условия'!$C$9),2))))),0))</f>
        <v/>
      </c>
      <c r="F30" s="59">
        <f>ROUND($E30-$E29,2)</f>
        <v/>
      </c>
      <c r="G30" s="59">
        <f>ROUND($B30*'Условия'!$C$13/100,2)</f>
        <v/>
      </c>
      <c r="H30" s="59">
        <f>ROUND($B30-$F30-$G30,2)</f>
        <v/>
      </c>
      <c r="I30" s="59">
        <f>IF($A30='Условия'!$C$7,'Условия'!$C$23,0)</f>
        <v/>
      </c>
      <c r="J30" s="59">
        <f>IFERROR(INDEX($H$5:$H$40,MATCH($A30-'Условия'!$C$17,$A$5:$A$40,0)),0)</f>
        <v/>
      </c>
      <c r="K30" s="59">
        <f>IF(AND('Условия'!$C$14&gt;0,$A30='Условия'!$C$14),ROUND(SUM($G$5:$G$40)*'Условия'!$C$15/100,2),0)</f>
        <v/>
      </c>
      <c r="L30" s="59">
        <f>ROUND(IFERROR(INDEX($B$5:$B$40,MATCH($A30+'Условия'!$C$19,$A$5:$A$40,0)),0)*'Условия'!$C$18/100,2)+IF($A30=1,'Условия'!$C$20,0)+IF($A30='Условия'!$C$12,'Условия'!$C$24,0)</f>
        <v/>
      </c>
      <c r="M30" s="59">
        <f>ROUND($I30+$J30+$K30-$L30,2)</f>
        <v/>
      </c>
      <c r="N30" s="59">
        <f>ROUND($N29+$M30,2)</f>
        <v/>
      </c>
      <c r="O30" s="22">
        <f>IF($N30&lt;0,$A30,"")</f>
        <v/>
      </c>
      <c r="P30" s="13">
        <f>IF($H30&lt;0,"Из КС этого месяца удерживают больше, чем она стоит: погашение аванса и гарантийное удержание вместе больше объёма",IF(AND($B30&gt;0,'Условия'!$C$16&lt;&gt;"",$A30&gt;'Условия'!$C$16),"Месяц за пределами срока объекта, а объём в графике есть",""))</f>
        <v/>
      </c>
    </row>
    <row r="31">
      <c r="A31" s="58" t="n">
        <v>27</v>
      </c>
      <c r="B31" s="59">
        <f>ROUND(IFERROR('Условия'!$C$5*INDEX('График КС'!$C$5:$C$40,MATCH($A31,'График КС'!$A$5:$A$40,0))/100,0),2)</f>
        <v/>
      </c>
      <c r="C31" s="59">
        <f>SUMIFS($B$5:$B$40,$A$5:$A$40,"&lt;="&amp;$A31)</f>
        <v/>
      </c>
      <c r="D31" s="60">
        <f>SUMIFS('График КС'!$C$5:$C$40,'График КС'!$A$5:$A$40,"&lt;="&amp;$A31)</f>
        <v/>
      </c>
      <c r="E31" s="59">
        <f>IF('Условия'!$C$25=0,0,IFERROR(MAX(0,MIN('Условия'!$C$23,IF('Условия'!$C$25=1,ROUND('Условия'!$C$23*$D31/'График КС'!$C$42,2),IF('Условия'!$C$25=2,IF($D31&gt;='График КС'!$C$42,'Условия'!$C$23,0),ROUND('Условия'!$C$23*($D31-'Условия'!$C$9)/('График КС'!$C$42-'Условия'!$C$9),2))))),0))</f>
        <v/>
      </c>
      <c r="F31" s="59">
        <f>ROUND($E31-$E30,2)</f>
        <v/>
      </c>
      <c r="G31" s="59">
        <f>ROUND($B31*'Условия'!$C$13/100,2)</f>
        <v/>
      </c>
      <c r="H31" s="59">
        <f>ROUND($B31-$F31-$G31,2)</f>
        <v/>
      </c>
      <c r="I31" s="59">
        <f>IF($A31='Условия'!$C$7,'Условия'!$C$23,0)</f>
        <v/>
      </c>
      <c r="J31" s="59">
        <f>IFERROR(INDEX($H$5:$H$40,MATCH($A31-'Условия'!$C$17,$A$5:$A$40,0)),0)</f>
        <v/>
      </c>
      <c r="K31" s="59">
        <f>IF(AND('Условия'!$C$14&gt;0,$A31='Условия'!$C$14),ROUND(SUM($G$5:$G$40)*'Условия'!$C$15/100,2),0)</f>
        <v/>
      </c>
      <c r="L31" s="59">
        <f>ROUND(IFERROR(INDEX($B$5:$B$40,MATCH($A31+'Условия'!$C$19,$A$5:$A$40,0)),0)*'Условия'!$C$18/100,2)+IF($A31=1,'Условия'!$C$20,0)+IF($A31='Условия'!$C$12,'Условия'!$C$24,0)</f>
        <v/>
      </c>
      <c r="M31" s="59">
        <f>ROUND($I31+$J31+$K31-$L31,2)</f>
        <v/>
      </c>
      <c r="N31" s="59">
        <f>ROUND($N30+$M31,2)</f>
        <v/>
      </c>
      <c r="O31" s="22">
        <f>IF($N31&lt;0,$A31,"")</f>
        <v/>
      </c>
      <c r="P31" s="13">
        <f>IF($H31&lt;0,"Из КС этого месяца удерживают больше, чем она стоит: погашение аванса и гарантийное удержание вместе больше объёма",IF(AND($B31&gt;0,'Условия'!$C$16&lt;&gt;"",$A31&gt;'Условия'!$C$16),"Месяц за пределами срока объекта, а объём в графике есть",""))</f>
        <v/>
      </c>
    </row>
    <row r="32">
      <c r="A32" s="58" t="n">
        <v>28</v>
      </c>
      <c r="B32" s="59">
        <f>ROUND(IFERROR('Условия'!$C$5*INDEX('График КС'!$C$5:$C$40,MATCH($A32,'График КС'!$A$5:$A$40,0))/100,0),2)</f>
        <v/>
      </c>
      <c r="C32" s="59">
        <f>SUMIFS($B$5:$B$40,$A$5:$A$40,"&lt;="&amp;$A32)</f>
        <v/>
      </c>
      <c r="D32" s="60">
        <f>SUMIFS('График КС'!$C$5:$C$40,'График КС'!$A$5:$A$40,"&lt;="&amp;$A32)</f>
        <v/>
      </c>
      <c r="E32" s="59">
        <f>IF('Условия'!$C$25=0,0,IFERROR(MAX(0,MIN('Условия'!$C$23,IF('Условия'!$C$25=1,ROUND('Условия'!$C$23*$D32/'График КС'!$C$42,2),IF('Условия'!$C$25=2,IF($D32&gt;='График КС'!$C$42,'Условия'!$C$23,0),ROUND('Условия'!$C$23*($D32-'Условия'!$C$9)/('График КС'!$C$42-'Условия'!$C$9),2))))),0))</f>
        <v/>
      </c>
      <c r="F32" s="59">
        <f>ROUND($E32-$E31,2)</f>
        <v/>
      </c>
      <c r="G32" s="59">
        <f>ROUND($B32*'Условия'!$C$13/100,2)</f>
        <v/>
      </c>
      <c r="H32" s="59">
        <f>ROUND($B32-$F32-$G32,2)</f>
        <v/>
      </c>
      <c r="I32" s="59">
        <f>IF($A32='Условия'!$C$7,'Условия'!$C$23,0)</f>
        <v/>
      </c>
      <c r="J32" s="59">
        <f>IFERROR(INDEX($H$5:$H$40,MATCH($A32-'Условия'!$C$17,$A$5:$A$40,0)),0)</f>
        <v/>
      </c>
      <c r="K32" s="59">
        <f>IF(AND('Условия'!$C$14&gt;0,$A32='Условия'!$C$14),ROUND(SUM($G$5:$G$40)*'Условия'!$C$15/100,2),0)</f>
        <v/>
      </c>
      <c r="L32" s="59">
        <f>ROUND(IFERROR(INDEX($B$5:$B$40,MATCH($A32+'Условия'!$C$19,$A$5:$A$40,0)),0)*'Условия'!$C$18/100,2)+IF($A32=1,'Условия'!$C$20,0)+IF($A32='Условия'!$C$12,'Условия'!$C$24,0)</f>
        <v/>
      </c>
      <c r="M32" s="59">
        <f>ROUND($I32+$J32+$K32-$L32,2)</f>
        <v/>
      </c>
      <c r="N32" s="59">
        <f>ROUND($N31+$M32,2)</f>
        <v/>
      </c>
      <c r="O32" s="22">
        <f>IF($N32&lt;0,$A32,"")</f>
        <v/>
      </c>
      <c r="P32" s="13">
        <f>IF($H32&lt;0,"Из КС этого месяца удерживают больше, чем она стоит: погашение аванса и гарантийное удержание вместе больше объёма",IF(AND($B32&gt;0,'Условия'!$C$16&lt;&gt;"",$A32&gt;'Условия'!$C$16),"Месяц за пределами срока объекта, а объём в графике есть",""))</f>
        <v/>
      </c>
    </row>
    <row r="33">
      <c r="A33" s="58" t="n">
        <v>29</v>
      </c>
      <c r="B33" s="59">
        <f>ROUND(IFERROR('Условия'!$C$5*INDEX('График КС'!$C$5:$C$40,MATCH($A33,'График КС'!$A$5:$A$40,0))/100,0),2)</f>
        <v/>
      </c>
      <c r="C33" s="59">
        <f>SUMIFS($B$5:$B$40,$A$5:$A$40,"&lt;="&amp;$A33)</f>
        <v/>
      </c>
      <c r="D33" s="60">
        <f>SUMIFS('График КС'!$C$5:$C$40,'График КС'!$A$5:$A$40,"&lt;="&amp;$A33)</f>
        <v/>
      </c>
      <c r="E33" s="59">
        <f>IF('Условия'!$C$25=0,0,IFERROR(MAX(0,MIN('Условия'!$C$23,IF('Условия'!$C$25=1,ROUND('Условия'!$C$23*$D33/'График КС'!$C$42,2),IF('Условия'!$C$25=2,IF($D33&gt;='График КС'!$C$42,'Условия'!$C$23,0),ROUND('Условия'!$C$23*($D33-'Условия'!$C$9)/('График КС'!$C$42-'Условия'!$C$9),2))))),0))</f>
        <v/>
      </c>
      <c r="F33" s="59">
        <f>ROUND($E33-$E32,2)</f>
        <v/>
      </c>
      <c r="G33" s="59">
        <f>ROUND($B33*'Условия'!$C$13/100,2)</f>
        <v/>
      </c>
      <c r="H33" s="59">
        <f>ROUND($B33-$F33-$G33,2)</f>
        <v/>
      </c>
      <c r="I33" s="59">
        <f>IF($A33='Условия'!$C$7,'Условия'!$C$23,0)</f>
        <v/>
      </c>
      <c r="J33" s="59">
        <f>IFERROR(INDEX($H$5:$H$40,MATCH($A33-'Условия'!$C$17,$A$5:$A$40,0)),0)</f>
        <v/>
      </c>
      <c r="K33" s="59">
        <f>IF(AND('Условия'!$C$14&gt;0,$A33='Условия'!$C$14),ROUND(SUM($G$5:$G$40)*'Условия'!$C$15/100,2),0)</f>
        <v/>
      </c>
      <c r="L33" s="59">
        <f>ROUND(IFERROR(INDEX($B$5:$B$40,MATCH($A33+'Условия'!$C$19,$A$5:$A$40,0)),0)*'Условия'!$C$18/100,2)+IF($A33=1,'Условия'!$C$20,0)+IF($A33='Условия'!$C$12,'Условия'!$C$24,0)</f>
        <v/>
      </c>
      <c r="M33" s="59">
        <f>ROUND($I33+$J33+$K33-$L33,2)</f>
        <v/>
      </c>
      <c r="N33" s="59">
        <f>ROUND($N32+$M33,2)</f>
        <v/>
      </c>
      <c r="O33" s="22">
        <f>IF($N33&lt;0,$A33,"")</f>
        <v/>
      </c>
      <c r="P33" s="13">
        <f>IF($H33&lt;0,"Из КС этого месяца удерживают больше, чем она стоит: погашение аванса и гарантийное удержание вместе больше объёма",IF(AND($B33&gt;0,'Условия'!$C$16&lt;&gt;"",$A33&gt;'Условия'!$C$16),"Месяц за пределами срока объекта, а объём в графике есть",""))</f>
        <v/>
      </c>
    </row>
    <row r="34">
      <c r="A34" s="58" t="n">
        <v>30</v>
      </c>
      <c r="B34" s="59">
        <f>ROUND(IFERROR('Условия'!$C$5*INDEX('График КС'!$C$5:$C$40,MATCH($A34,'График КС'!$A$5:$A$40,0))/100,0),2)</f>
        <v/>
      </c>
      <c r="C34" s="59">
        <f>SUMIFS($B$5:$B$40,$A$5:$A$40,"&lt;="&amp;$A34)</f>
        <v/>
      </c>
      <c r="D34" s="60">
        <f>SUMIFS('График КС'!$C$5:$C$40,'График КС'!$A$5:$A$40,"&lt;="&amp;$A34)</f>
        <v/>
      </c>
      <c r="E34" s="59">
        <f>IF('Условия'!$C$25=0,0,IFERROR(MAX(0,MIN('Условия'!$C$23,IF('Условия'!$C$25=1,ROUND('Условия'!$C$23*$D34/'График КС'!$C$42,2),IF('Условия'!$C$25=2,IF($D34&gt;='График КС'!$C$42,'Условия'!$C$23,0),ROUND('Условия'!$C$23*($D34-'Условия'!$C$9)/('График КС'!$C$42-'Условия'!$C$9),2))))),0))</f>
        <v/>
      </c>
      <c r="F34" s="59">
        <f>ROUND($E34-$E33,2)</f>
        <v/>
      </c>
      <c r="G34" s="59">
        <f>ROUND($B34*'Условия'!$C$13/100,2)</f>
        <v/>
      </c>
      <c r="H34" s="59">
        <f>ROUND($B34-$F34-$G34,2)</f>
        <v/>
      </c>
      <c r="I34" s="59">
        <f>IF($A34='Условия'!$C$7,'Условия'!$C$23,0)</f>
        <v/>
      </c>
      <c r="J34" s="59">
        <f>IFERROR(INDEX($H$5:$H$40,MATCH($A34-'Условия'!$C$17,$A$5:$A$40,0)),0)</f>
        <v/>
      </c>
      <c r="K34" s="59">
        <f>IF(AND('Условия'!$C$14&gt;0,$A34='Условия'!$C$14),ROUND(SUM($G$5:$G$40)*'Условия'!$C$15/100,2),0)</f>
        <v/>
      </c>
      <c r="L34" s="59">
        <f>ROUND(IFERROR(INDEX($B$5:$B$40,MATCH($A34+'Условия'!$C$19,$A$5:$A$40,0)),0)*'Условия'!$C$18/100,2)+IF($A34=1,'Условия'!$C$20,0)+IF($A34='Условия'!$C$12,'Условия'!$C$24,0)</f>
        <v/>
      </c>
      <c r="M34" s="59">
        <f>ROUND($I34+$J34+$K34-$L34,2)</f>
        <v/>
      </c>
      <c r="N34" s="59">
        <f>ROUND($N33+$M34,2)</f>
        <v/>
      </c>
      <c r="O34" s="22">
        <f>IF($N34&lt;0,$A34,"")</f>
        <v/>
      </c>
      <c r="P34" s="13">
        <f>IF($H34&lt;0,"Из КС этого месяца удерживают больше, чем она стоит: погашение аванса и гарантийное удержание вместе больше объёма",IF(AND($B34&gt;0,'Условия'!$C$16&lt;&gt;"",$A34&gt;'Условия'!$C$16),"Месяц за пределами срока объекта, а объём в графике есть",""))</f>
        <v/>
      </c>
    </row>
    <row r="35">
      <c r="A35" s="58" t="n">
        <v>31</v>
      </c>
      <c r="B35" s="59">
        <f>ROUND(IFERROR('Условия'!$C$5*INDEX('График КС'!$C$5:$C$40,MATCH($A35,'График КС'!$A$5:$A$40,0))/100,0),2)</f>
        <v/>
      </c>
      <c r="C35" s="59">
        <f>SUMIFS($B$5:$B$40,$A$5:$A$40,"&lt;="&amp;$A35)</f>
        <v/>
      </c>
      <c r="D35" s="60">
        <f>SUMIFS('График КС'!$C$5:$C$40,'График КС'!$A$5:$A$40,"&lt;="&amp;$A35)</f>
        <v/>
      </c>
      <c r="E35" s="59">
        <f>IF('Условия'!$C$25=0,0,IFERROR(MAX(0,MIN('Условия'!$C$23,IF('Условия'!$C$25=1,ROUND('Условия'!$C$23*$D35/'График КС'!$C$42,2),IF('Условия'!$C$25=2,IF($D35&gt;='График КС'!$C$42,'Условия'!$C$23,0),ROUND('Условия'!$C$23*($D35-'Условия'!$C$9)/('График КС'!$C$42-'Условия'!$C$9),2))))),0))</f>
        <v/>
      </c>
      <c r="F35" s="59">
        <f>ROUND($E35-$E34,2)</f>
        <v/>
      </c>
      <c r="G35" s="59">
        <f>ROUND($B35*'Условия'!$C$13/100,2)</f>
        <v/>
      </c>
      <c r="H35" s="59">
        <f>ROUND($B35-$F35-$G35,2)</f>
        <v/>
      </c>
      <c r="I35" s="59">
        <f>IF($A35='Условия'!$C$7,'Условия'!$C$23,0)</f>
        <v/>
      </c>
      <c r="J35" s="59">
        <f>IFERROR(INDEX($H$5:$H$40,MATCH($A35-'Условия'!$C$17,$A$5:$A$40,0)),0)</f>
        <v/>
      </c>
      <c r="K35" s="59">
        <f>IF(AND('Условия'!$C$14&gt;0,$A35='Условия'!$C$14),ROUND(SUM($G$5:$G$40)*'Условия'!$C$15/100,2),0)</f>
        <v/>
      </c>
      <c r="L35" s="59">
        <f>ROUND(IFERROR(INDEX($B$5:$B$40,MATCH($A35+'Условия'!$C$19,$A$5:$A$40,0)),0)*'Условия'!$C$18/100,2)+IF($A35=1,'Условия'!$C$20,0)+IF($A35='Условия'!$C$12,'Условия'!$C$24,0)</f>
        <v/>
      </c>
      <c r="M35" s="59">
        <f>ROUND($I35+$J35+$K35-$L35,2)</f>
        <v/>
      </c>
      <c r="N35" s="59">
        <f>ROUND($N34+$M35,2)</f>
        <v/>
      </c>
      <c r="O35" s="22">
        <f>IF($N35&lt;0,$A35,"")</f>
        <v/>
      </c>
      <c r="P35" s="13">
        <f>IF($H35&lt;0,"Из КС этого месяца удерживают больше, чем она стоит: погашение аванса и гарантийное удержание вместе больше объёма",IF(AND($B35&gt;0,'Условия'!$C$16&lt;&gt;"",$A35&gt;'Условия'!$C$16),"Месяц за пределами срока объекта, а объём в графике есть",""))</f>
        <v/>
      </c>
    </row>
    <row r="36">
      <c r="A36" s="58" t="n">
        <v>32</v>
      </c>
      <c r="B36" s="59">
        <f>ROUND(IFERROR('Условия'!$C$5*INDEX('График КС'!$C$5:$C$40,MATCH($A36,'График КС'!$A$5:$A$40,0))/100,0),2)</f>
        <v/>
      </c>
      <c r="C36" s="59">
        <f>SUMIFS($B$5:$B$40,$A$5:$A$40,"&lt;="&amp;$A36)</f>
        <v/>
      </c>
      <c r="D36" s="60">
        <f>SUMIFS('График КС'!$C$5:$C$40,'График КС'!$A$5:$A$40,"&lt;="&amp;$A36)</f>
        <v/>
      </c>
      <c r="E36" s="59">
        <f>IF('Условия'!$C$25=0,0,IFERROR(MAX(0,MIN('Условия'!$C$23,IF('Условия'!$C$25=1,ROUND('Условия'!$C$23*$D36/'График КС'!$C$42,2),IF('Условия'!$C$25=2,IF($D36&gt;='График КС'!$C$42,'Условия'!$C$23,0),ROUND('Условия'!$C$23*($D36-'Условия'!$C$9)/('График КС'!$C$42-'Условия'!$C$9),2))))),0))</f>
        <v/>
      </c>
      <c r="F36" s="59">
        <f>ROUND($E36-$E35,2)</f>
        <v/>
      </c>
      <c r="G36" s="59">
        <f>ROUND($B36*'Условия'!$C$13/100,2)</f>
        <v/>
      </c>
      <c r="H36" s="59">
        <f>ROUND($B36-$F36-$G36,2)</f>
        <v/>
      </c>
      <c r="I36" s="59">
        <f>IF($A36='Условия'!$C$7,'Условия'!$C$23,0)</f>
        <v/>
      </c>
      <c r="J36" s="59">
        <f>IFERROR(INDEX($H$5:$H$40,MATCH($A36-'Условия'!$C$17,$A$5:$A$40,0)),0)</f>
        <v/>
      </c>
      <c r="K36" s="59">
        <f>IF(AND('Условия'!$C$14&gt;0,$A36='Условия'!$C$14),ROUND(SUM($G$5:$G$40)*'Условия'!$C$15/100,2),0)</f>
        <v/>
      </c>
      <c r="L36" s="59">
        <f>ROUND(IFERROR(INDEX($B$5:$B$40,MATCH($A36+'Условия'!$C$19,$A$5:$A$40,0)),0)*'Условия'!$C$18/100,2)+IF($A36=1,'Условия'!$C$20,0)+IF($A36='Условия'!$C$12,'Условия'!$C$24,0)</f>
        <v/>
      </c>
      <c r="M36" s="59">
        <f>ROUND($I36+$J36+$K36-$L36,2)</f>
        <v/>
      </c>
      <c r="N36" s="59">
        <f>ROUND($N35+$M36,2)</f>
        <v/>
      </c>
      <c r="O36" s="22">
        <f>IF($N36&lt;0,$A36,"")</f>
        <v/>
      </c>
      <c r="P36" s="13">
        <f>IF($H36&lt;0,"Из КС этого месяца удерживают больше, чем она стоит: погашение аванса и гарантийное удержание вместе больше объёма",IF(AND($B36&gt;0,'Условия'!$C$16&lt;&gt;"",$A36&gt;'Условия'!$C$16),"Месяц за пределами срока объекта, а объём в графике есть",""))</f>
        <v/>
      </c>
    </row>
    <row r="37">
      <c r="A37" s="58" t="n">
        <v>33</v>
      </c>
      <c r="B37" s="59">
        <f>ROUND(IFERROR('Условия'!$C$5*INDEX('График КС'!$C$5:$C$40,MATCH($A37,'График КС'!$A$5:$A$40,0))/100,0),2)</f>
        <v/>
      </c>
      <c r="C37" s="59">
        <f>SUMIFS($B$5:$B$40,$A$5:$A$40,"&lt;="&amp;$A37)</f>
        <v/>
      </c>
      <c r="D37" s="60">
        <f>SUMIFS('График КС'!$C$5:$C$40,'График КС'!$A$5:$A$40,"&lt;="&amp;$A37)</f>
        <v/>
      </c>
      <c r="E37" s="59">
        <f>IF('Условия'!$C$25=0,0,IFERROR(MAX(0,MIN('Условия'!$C$23,IF('Условия'!$C$25=1,ROUND('Условия'!$C$23*$D37/'График КС'!$C$42,2),IF('Условия'!$C$25=2,IF($D37&gt;='График КС'!$C$42,'Условия'!$C$23,0),ROUND('Условия'!$C$23*($D37-'Условия'!$C$9)/('График КС'!$C$42-'Условия'!$C$9),2))))),0))</f>
        <v/>
      </c>
      <c r="F37" s="59">
        <f>ROUND($E37-$E36,2)</f>
        <v/>
      </c>
      <c r="G37" s="59">
        <f>ROUND($B37*'Условия'!$C$13/100,2)</f>
        <v/>
      </c>
      <c r="H37" s="59">
        <f>ROUND($B37-$F37-$G37,2)</f>
        <v/>
      </c>
      <c r="I37" s="59">
        <f>IF($A37='Условия'!$C$7,'Условия'!$C$23,0)</f>
        <v/>
      </c>
      <c r="J37" s="59">
        <f>IFERROR(INDEX($H$5:$H$40,MATCH($A37-'Условия'!$C$17,$A$5:$A$40,0)),0)</f>
        <v/>
      </c>
      <c r="K37" s="59">
        <f>IF(AND('Условия'!$C$14&gt;0,$A37='Условия'!$C$14),ROUND(SUM($G$5:$G$40)*'Условия'!$C$15/100,2),0)</f>
        <v/>
      </c>
      <c r="L37" s="59">
        <f>ROUND(IFERROR(INDEX($B$5:$B$40,MATCH($A37+'Условия'!$C$19,$A$5:$A$40,0)),0)*'Условия'!$C$18/100,2)+IF($A37=1,'Условия'!$C$20,0)+IF($A37='Условия'!$C$12,'Условия'!$C$24,0)</f>
        <v/>
      </c>
      <c r="M37" s="59">
        <f>ROUND($I37+$J37+$K37-$L37,2)</f>
        <v/>
      </c>
      <c r="N37" s="59">
        <f>ROUND($N36+$M37,2)</f>
        <v/>
      </c>
      <c r="O37" s="22">
        <f>IF($N37&lt;0,$A37,"")</f>
        <v/>
      </c>
      <c r="P37" s="13">
        <f>IF($H37&lt;0,"Из КС этого месяца удерживают больше, чем она стоит: погашение аванса и гарантийное удержание вместе больше объёма",IF(AND($B37&gt;0,'Условия'!$C$16&lt;&gt;"",$A37&gt;'Условия'!$C$16),"Месяц за пределами срока объекта, а объём в графике есть",""))</f>
        <v/>
      </c>
    </row>
    <row r="38">
      <c r="A38" s="58" t="n">
        <v>34</v>
      </c>
      <c r="B38" s="59">
        <f>ROUND(IFERROR('Условия'!$C$5*INDEX('График КС'!$C$5:$C$40,MATCH($A38,'График КС'!$A$5:$A$40,0))/100,0),2)</f>
        <v/>
      </c>
      <c r="C38" s="59">
        <f>SUMIFS($B$5:$B$40,$A$5:$A$40,"&lt;="&amp;$A38)</f>
        <v/>
      </c>
      <c r="D38" s="60">
        <f>SUMIFS('График КС'!$C$5:$C$40,'График КС'!$A$5:$A$40,"&lt;="&amp;$A38)</f>
        <v/>
      </c>
      <c r="E38" s="59">
        <f>IF('Условия'!$C$25=0,0,IFERROR(MAX(0,MIN('Условия'!$C$23,IF('Условия'!$C$25=1,ROUND('Условия'!$C$23*$D38/'График КС'!$C$42,2),IF('Условия'!$C$25=2,IF($D38&gt;='График КС'!$C$42,'Условия'!$C$23,0),ROUND('Условия'!$C$23*($D38-'Условия'!$C$9)/('График КС'!$C$42-'Условия'!$C$9),2))))),0))</f>
        <v/>
      </c>
      <c r="F38" s="59">
        <f>ROUND($E38-$E37,2)</f>
        <v/>
      </c>
      <c r="G38" s="59">
        <f>ROUND($B38*'Условия'!$C$13/100,2)</f>
        <v/>
      </c>
      <c r="H38" s="59">
        <f>ROUND($B38-$F38-$G38,2)</f>
        <v/>
      </c>
      <c r="I38" s="59">
        <f>IF($A38='Условия'!$C$7,'Условия'!$C$23,0)</f>
        <v/>
      </c>
      <c r="J38" s="59">
        <f>IFERROR(INDEX($H$5:$H$40,MATCH($A38-'Условия'!$C$17,$A$5:$A$40,0)),0)</f>
        <v/>
      </c>
      <c r="K38" s="59">
        <f>IF(AND('Условия'!$C$14&gt;0,$A38='Условия'!$C$14),ROUND(SUM($G$5:$G$40)*'Условия'!$C$15/100,2),0)</f>
        <v/>
      </c>
      <c r="L38" s="59">
        <f>ROUND(IFERROR(INDEX($B$5:$B$40,MATCH($A38+'Условия'!$C$19,$A$5:$A$40,0)),0)*'Условия'!$C$18/100,2)+IF($A38=1,'Условия'!$C$20,0)+IF($A38='Условия'!$C$12,'Условия'!$C$24,0)</f>
        <v/>
      </c>
      <c r="M38" s="59">
        <f>ROUND($I38+$J38+$K38-$L38,2)</f>
        <v/>
      </c>
      <c r="N38" s="59">
        <f>ROUND($N37+$M38,2)</f>
        <v/>
      </c>
      <c r="O38" s="22">
        <f>IF($N38&lt;0,$A38,"")</f>
        <v/>
      </c>
      <c r="P38" s="13">
        <f>IF($H38&lt;0,"Из КС этого месяца удерживают больше, чем она стоит: погашение аванса и гарантийное удержание вместе больше объёма",IF(AND($B38&gt;0,'Условия'!$C$16&lt;&gt;"",$A38&gt;'Условия'!$C$16),"Месяц за пределами срока объекта, а объём в графике есть",""))</f>
        <v/>
      </c>
    </row>
    <row r="39">
      <c r="A39" s="58" t="n">
        <v>35</v>
      </c>
      <c r="B39" s="59">
        <f>ROUND(IFERROR('Условия'!$C$5*INDEX('График КС'!$C$5:$C$40,MATCH($A39,'График КС'!$A$5:$A$40,0))/100,0),2)</f>
        <v/>
      </c>
      <c r="C39" s="59">
        <f>SUMIFS($B$5:$B$40,$A$5:$A$40,"&lt;="&amp;$A39)</f>
        <v/>
      </c>
      <c r="D39" s="60">
        <f>SUMIFS('График КС'!$C$5:$C$40,'График КС'!$A$5:$A$40,"&lt;="&amp;$A39)</f>
        <v/>
      </c>
      <c r="E39" s="59">
        <f>IF('Условия'!$C$25=0,0,IFERROR(MAX(0,MIN('Условия'!$C$23,IF('Условия'!$C$25=1,ROUND('Условия'!$C$23*$D39/'График КС'!$C$42,2),IF('Условия'!$C$25=2,IF($D39&gt;='График КС'!$C$42,'Условия'!$C$23,0),ROUND('Условия'!$C$23*($D39-'Условия'!$C$9)/('График КС'!$C$42-'Условия'!$C$9),2))))),0))</f>
        <v/>
      </c>
      <c r="F39" s="59">
        <f>ROUND($E39-$E38,2)</f>
        <v/>
      </c>
      <c r="G39" s="59">
        <f>ROUND($B39*'Условия'!$C$13/100,2)</f>
        <v/>
      </c>
      <c r="H39" s="59">
        <f>ROUND($B39-$F39-$G39,2)</f>
        <v/>
      </c>
      <c r="I39" s="59">
        <f>IF($A39='Условия'!$C$7,'Условия'!$C$23,0)</f>
        <v/>
      </c>
      <c r="J39" s="59">
        <f>IFERROR(INDEX($H$5:$H$40,MATCH($A39-'Условия'!$C$17,$A$5:$A$40,0)),0)</f>
        <v/>
      </c>
      <c r="K39" s="59">
        <f>IF(AND('Условия'!$C$14&gt;0,$A39='Условия'!$C$14),ROUND(SUM($G$5:$G$40)*'Условия'!$C$15/100,2),0)</f>
        <v/>
      </c>
      <c r="L39" s="59">
        <f>ROUND(IFERROR(INDEX($B$5:$B$40,MATCH($A39+'Условия'!$C$19,$A$5:$A$40,0)),0)*'Условия'!$C$18/100,2)+IF($A39=1,'Условия'!$C$20,0)+IF($A39='Условия'!$C$12,'Условия'!$C$24,0)</f>
        <v/>
      </c>
      <c r="M39" s="59">
        <f>ROUND($I39+$J39+$K39-$L39,2)</f>
        <v/>
      </c>
      <c r="N39" s="59">
        <f>ROUND($N38+$M39,2)</f>
        <v/>
      </c>
      <c r="O39" s="22">
        <f>IF($N39&lt;0,$A39,"")</f>
        <v/>
      </c>
      <c r="P39" s="13">
        <f>IF($H39&lt;0,"Из КС этого месяца удерживают больше, чем она стоит: погашение аванса и гарантийное удержание вместе больше объёма",IF(AND($B39&gt;0,'Условия'!$C$16&lt;&gt;"",$A39&gt;'Условия'!$C$16),"Месяц за пределами срока объекта, а объём в графике есть",""))</f>
        <v/>
      </c>
    </row>
    <row r="40">
      <c r="A40" s="58" t="n">
        <v>36</v>
      </c>
      <c r="B40" s="59">
        <f>ROUND(IFERROR('Условия'!$C$5*INDEX('График КС'!$C$5:$C$40,MATCH($A40,'График КС'!$A$5:$A$40,0))/100,0),2)</f>
        <v/>
      </c>
      <c r="C40" s="59">
        <f>SUMIFS($B$5:$B$40,$A$5:$A$40,"&lt;="&amp;$A40)</f>
        <v/>
      </c>
      <c r="D40" s="60">
        <f>SUMIFS('График КС'!$C$5:$C$40,'График КС'!$A$5:$A$40,"&lt;="&amp;$A40)</f>
        <v/>
      </c>
      <c r="E40" s="59">
        <f>IF('Условия'!$C$25=0,0,IFERROR(MAX(0,MIN('Условия'!$C$23,IF('Условия'!$C$25=1,ROUND('Условия'!$C$23*$D40/'График КС'!$C$42,2),IF('Условия'!$C$25=2,IF($D40&gt;='График КС'!$C$42,'Условия'!$C$23,0),ROUND('Условия'!$C$23*($D40-'Условия'!$C$9)/('График КС'!$C$42-'Условия'!$C$9),2))))),0))</f>
        <v/>
      </c>
      <c r="F40" s="59">
        <f>ROUND($E40-$E39,2)</f>
        <v/>
      </c>
      <c r="G40" s="59">
        <f>ROUND($B40*'Условия'!$C$13/100,2)</f>
        <v/>
      </c>
      <c r="H40" s="59">
        <f>ROUND($B40-$F40-$G40,2)</f>
        <v/>
      </c>
      <c r="I40" s="59">
        <f>IF($A40='Условия'!$C$7,'Условия'!$C$23,0)</f>
        <v/>
      </c>
      <c r="J40" s="59">
        <f>IFERROR(INDEX($H$5:$H$40,MATCH($A40-'Условия'!$C$17,$A$5:$A$40,0)),0)</f>
        <v/>
      </c>
      <c r="K40" s="59">
        <f>IF(AND('Условия'!$C$14&gt;0,$A40='Условия'!$C$14),ROUND(SUM($G$5:$G$40)*'Условия'!$C$15/100,2),0)</f>
        <v/>
      </c>
      <c r="L40" s="59">
        <f>ROUND(IFERROR(INDEX($B$5:$B$40,MATCH($A40+'Условия'!$C$19,$A$5:$A$40,0)),0)*'Условия'!$C$18/100,2)+IF($A40=1,'Условия'!$C$20,0)+IF($A40='Условия'!$C$12,'Условия'!$C$24,0)</f>
        <v/>
      </c>
      <c r="M40" s="59">
        <f>ROUND($I40+$J40+$K40-$L40,2)</f>
        <v/>
      </c>
      <c r="N40" s="59">
        <f>ROUND($N39+$M40,2)</f>
        <v/>
      </c>
      <c r="O40" s="22">
        <f>IF($N40&lt;0,$A40,"")</f>
        <v/>
      </c>
      <c r="P40" s="13">
        <f>IF($H40&lt;0,"Из КС этого месяца удерживают больше, чем она стоит: погашение аванса и гарантийное удержание вместе больше объёма",IF(AND($B40&gt;0,'Условия'!$C$16&lt;&gt;"",$A40&gt;'Условия'!$C$16),"Месяц за пределами срока объекта, а объём в графике есть",""))</f>
        <v/>
      </c>
    </row>
    <row r="42">
      <c r="A42" s="9" t="inlineStr">
        <is>
          <t>Итого</t>
        </is>
      </c>
      <c r="B42" s="61">
        <f>ROUND(SUM($B$5:$B$40),2)</f>
        <v/>
      </c>
      <c r="F42" s="61">
        <f>ROUND(SUM($F$5:$F$40),2)</f>
        <v/>
      </c>
      <c r="G42" s="61">
        <f>ROUND(SUM($G$5:$G$40),2)</f>
        <v/>
      </c>
      <c r="H42" s="61">
        <f>ROUND(SUM($H$5:$H$40),2)</f>
        <v/>
      </c>
      <c r="I42" s="61">
        <f>ROUND(SUM($I$5:$I$40),2)</f>
        <v/>
      </c>
      <c r="J42" s="61">
        <f>ROUND(SUM($J$5:$J$40),2)</f>
        <v/>
      </c>
      <c r="K42" s="61">
        <f>ROUND(SUM($K$5:$K$40),2)</f>
        <v/>
      </c>
      <c r="L42" s="61">
        <f>ROUND(SUM($L$5:$L$40),2)</f>
        <v/>
      </c>
      <c r="M42" s="61">
        <f>ROUND(SUM($M$5:$M$40),2)</f>
        <v/>
      </c>
      <c r="N42" s="61">
        <f>$N$40</f>
        <v/>
      </c>
      <c r="P42" s="2" t="inlineStr">
        <is>
          <t>Итог колонки «Накопленный остаток» — это остаток последнего месяца, а не сумма колонки.</t>
        </is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2" customWidth="1" min="3" max="3"/>
    <col width="22" customWidth="1" min="4" max="4"/>
    <col width="54" customWidth="1" min="5" max="5"/>
  </cols>
  <sheetData>
    <row r="1">
      <c r="A1" s="35" t="inlineStr">
        <is>
          <t>Сравнение двух сценариев: что меняет условие</t>
        </is>
      </c>
    </row>
    <row r="2" ht="32" customHeight="1">
      <c r="A2" s="2" t="inlineStr">
        <is>
          <t>Здесь не заполняется ничего. Главная строка — «Максимальная заморозка собственных денег»: столько ваших денег стоит в объекте в худший месяц. Разница между сценариями и есть цена условия, о котором идёт разговор.</t>
        </is>
      </c>
    </row>
    <row r="4">
      <c r="A4" s="42" t="inlineStr">
        <is>
          <t>Показатель</t>
        </is>
      </c>
      <c r="B4" s="42" t="inlineStr">
        <is>
          <t>Сценарий А</t>
        </is>
      </c>
      <c r="C4" s="42" t="inlineStr">
        <is>
          <t>Сценарий Б</t>
        </is>
      </c>
      <c r="D4" s="42" t="inlineStr">
        <is>
          <t>Разница (Б минус А)</t>
        </is>
      </c>
      <c r="E4" s="42" t="inlineStr">
        <is>
          <t>Как читать</t>
        </is>
      </c>
    </row>
    <row r="5" ht="32" customHeight="1">
      <c r="A5" s="4" t="inlineStr">
        <is>
          <t>Аванс получен, руб.</t>
        </is>
      </c>
      <c r="B5" s="62">
        <f>'Профиль А'!$I$42</f>
        <v/>
      </c>
      <c r="C5" s="62">
        <f>'Профиль Б'!$I$42</f>
        <v/>
      </c>
      <c r="D5" s="63">
        <f>ROUND($C5-$B5,2)</f>
        <v/>
      </c>
      <c r="E5" s="2" t="inlineStr">
        <is>
          <t>Сколько чужих денег зашло в объект.</t>
        </is>
      </c>
    </row>
    <row r="6" ht="32" customHeight="1">
      <c r="A6" s="4" t="inlineStr">
        <is>
          <t>Стоимость обеспечения аванса, руб.</t>
        </is>
      </c>
      <c r="B6" s="62">
        <f>'Условия'!$B$24</f>
        <v/>
      </c>
      <c r="C6" s="62">
        <f>'Условия'!$C$24</f>
        <v/>
      </c>
      <c r="D6" s="63">
        <f>ROUND($C6-$B6,2)</f>
        <v/>
      </c>
      <c r="E6" s="2" t="inlineStr">
        <is>
          <t>Прямой вычет из маржи. Считается от суммы аванса, ставки и срока обеспечения.</t>
        </is>
      </c>
    </row>
    <row r="7" ht="32" customHeight="1">
      <c r="A7" s="4" t="inlineStr">
        <is>
          <t>Максимальная заморозка собственных денег, руб.</t>
        </is>
      </c>
      <c r="B7" s="62">
        <f>IF(MIN('Профиль А'!$N$5:$N$40)&lt;0,-MIN('Профиль А'!$N$5:$N$40),0)</f>
        <v/>
      </c>
      <c r="C7" s="62">
        <f>IF(MIN('Профиль Б'!$N$5:$N$40)&lt;0,-MIN('Профиль Б'!$N$5:$N$40),0)</f>
        <v/>
      </c>
      <c r="D7" s="63">
        <f>ROUND($C7-$B7,2)</f>
        <v/>
      </c>
      <c r="E7" s="2" t="inlineStr">
        <is>
          <t>Худшая точка кассы. Столько денег нужно иметь или занять, чтобы объект не встал. Это и есть главная цифра файла.</t>
        </is>
      </c>
    </row>
    <row r="8" ht="32" customHeight="1">
      <c r="A8" s="4" t="inlineStr">
        <is>
          <t>Месяц максимальной заморозки</t>
        </is>
      </c>
      <c r="B8" s="64">
        <f>IF(MIN('Профиль А'!$N$5:$N$40)&lt;0,INDEX('Профиль А'!$A$5:$A$40,MATCH(MIN('Профиль А'!$N$5:$N$40),'Профиль А'!$N$5:$N$40,0)),"минуса нет")</f>
        <v/>
      </c>
      <c r="C8" s="64">
        <f>IF(MIN('Профиль Б'!$N$5:$N$40)&lt;0,INDEX('Профиль Б'!$A$5:$A$40,MATCH(MIN('Профиль Б'!$N$5:$N$40),'Профиль Б'!$N$5:$N$40,0)),"минуса нет")</f>
        <v/>
      </c>
      <c r="D8" s="65" t="inlineStr">
        <is>
          <t>—</t>
        </is>
      </c>
      <c r="E8" s="2" t="inlineStr">
        <is>
          <t>Когда наступает худшая точка. Если она приходится на пик работ — риск срыва сроков, а не только процентов по кредиту.</t>
        </is>
      </c>
    </row>
    <row r="9" ht="32" customHeight="1">
      <c r="A9" s="4" t="inlineStr">
        <is>
          <t>Первый месяц в минусе</t>
        </is>
      </c>
      <c r="B9" s="64">
        <f>IF(COUNT('Профиль А'!$O$5:$O$40)=0,"минуса нет",MIN('Профиль А'!$O$5:$O$40))</f>
        <v/>
      </c>
      <c r="C9" s="64">
        <f>IF(COUNT('Профиль Б'!$O$5:$O$40)=0,"минуса нет",MIN('Профиль Б'!$O$5:$O$40))</f>
        <v/>
      </c>
      <c r="D9" s="65" t="inlineStr">
        <is>
          <t>—</t>
        </is>
      </c>
      <c r="E9" s="2" t="inlineStr">
        <is>
          <t>С какого месяца объект финансируется вами.</t>
        </is>
      </c>
    </row>
    <row r="10" ht="32" customHeight="1">
      <c r="A10" s="4" t="inlineStr">
        <is>
          <t>Месяцев в минусе</t>
        </is>
      </c>
      <c r="B10" s="64">
        <f>SUMPRODUCT(('Профиль А'!$N$5:$N$40&lt;0)*('Профиль А'!$A$5:$A$40&lt;&gt;""))</f>
        <v/>
      </c>
      <c r="C10" s="64">
        <f>SUMPRODUCT(('Профиль Б'!$N$5:$N$40&lt;0)*('Профиль Б'!$A$5:$A$40&lt;&gt;""))</f>
        <v/>
      </c>
      <c r="D10" s="65" t="inlineStr">
        <is>
          <t>—</t>
        </is>
      </c>
      <c r="E10" s="2" t="inlineStr">
        <is>
          <t>Длина ямы. Стоимость денег считается от неё, а не от глубины.</t>
        </is>
      </c>
    </row>
    <row r="11" ht="32" customHeight="1">
      <c r="A11" s="4" t="inlineStr">
        <is>
          <t>Погашено аванса, руб.</t>
        </is>
      </c>
      <c r="B11" s="62">
        <f>'Профиль А'!$F$42</f>
        <v/>
      </c>
      <c r="C11" s="62">
        <f>'Профиль Б'!$F$42</f>
        <v/>
      </c>
      <c r="D11" s="63">
        <f>ROUND($C11-$B11,2)</f>
        <v/>
      </c>
      <c r="E11" s="2" t="inlineStr">
        <is>
          <t>К концу горизонта должно совпасть с полученным авансом. Если меньше — часть погашения приходится на месяцы за горизонтом расчёта.</t>
        </is>
      </c>
    </row>
    <row r="12" ht="32" customHeight="1">
      <c r="A12" s="4" t="inlineStr">
        <is>
          <t>Удержано гарантийным удержанием и не возвращено, руб.</t>
        </is>
      </c>
      <c r="B12" s="62">
        <f>ROUND('Профиль А'!$G$42-'Профиль А'!$K$42,2)</f>
        <v/>
      </c>
      <c r="C12" s="62">
        <f>ROUND('Профиль Б'!$G$42-'Профиль Б'!$K$42,2)</f>
        <v/>
      </c>
      <c r="D12" s="63">
        <f>ROUND($C12-$B12,2)</f>
        <v/>
      </c>
      <c r="E12" s="2" t="inlineStr">
        <is>
          <t>Ваши деньги, оставшиеся у генподрядчика на конец расчёта.</t>
        </is>
      </c>
    </row>
    <row r="13" ht="32" customHeight="1">
      <c r="A13" s="4" t="inlineStr">
        <is>
          <t>Начислено, но не поступило до конца горизонта, руб.</t>
        </is>
      </c>
      <c r="B13" s="62">
        <f>ROUND('Профиль А'!$H$42-'Профиль А'!$J$42,2)</f>
        <v/>
      </c>
      <c r="C13" s="62">
        <f>ROUND('Профиль Б'!$H$42-'Профиль Б'!$J$42,2)</f>
        <v/>
      </c>
      <c r="D13" s="63">
        <f>ROUND($C13-$B13,2)</f>
        <v/>
      </c>
      <c r="E13" s="2" t="inlineStr">
        <is>
          <t>Акты подписаны, деньги ещё идут. Если больше нуля — горизонт короче, чем объект плюс отсрочка оплаты.</t>
        </is>
      </c>
    </row>
    <row r="14" ht="32" customHeight="1">
      <c r="A14" s="4" t="inlineStr">
        <is>
          <t>Израсходовано на объекте, руб.</t>
        </is>
      </c>
      <c r="B14" s="62">
        <f>'Профиль А'!$L$42</f>
        <v/>
      </c>
      <c r="C14" s="62">
        <f>'Профиль Б'!$L$42</f>
        <v/>
      </c>
      <c r="D14" s="63">
        <f>ROUND($C14-$B14,2)</f>
        <v/>
      </c>
      <c r="E14" s="2" t="inlineStr">
        <is>
          <t>Себестоимость, стартовые затраты и стоимость обеспечения вместе.</t>
        </is>
      </c>
    </row>
    <row r="15" ht="32" customHeight="1">
      <c r="A15" s="4" t="inlineStr">
        <is>
          <t>Накопленный остаток на конец расчёта, руб.</t>
        </is>
      </c>
      <c r="B15" s="62">
        <f>'Профиль А'!$N$42</f>
        <v/>
      </c>
      <c r="C15" s="62">
        <f>'Профиль Б'!$N$42</f>
        <v/>
      </c>
      <c r="D15" s="63">
        <f>ROUND($C15-$B15,2)</f>
        <v/>
      </c>
      <c r="E15" s="2" t="inlineStr">
        <is>
          <t>Денежный результат объекта на конец горизонта. Не прибыль по учёту: часть денег может быть ещё в пути.</t>
        </is>
      </c>
    </row>
    <row r="17" ht="30" customHeight="1">
      <c r="A17" s="9" t="inlineStr">
        <is>
          <t>Что изменилось между сценариями</t>
        </is>
      </c>
      <c r="B17" s="26">
        <f>IF(OR($B7="",$C7=""),"",IF(ROUND($C7-$B7,2)&lt;0,"Сценарий Б замораживает меньше ваших денег в худшей точке",IF(ROUND($C7-$B7,2)&gt;0,"Сценарий Б замораживает больше ваших денег в худшей точке","Оба сценария дают одинаковую худшую точку")))</f>
        <v/>
      </c>
    </row>
    <row r="19">
      <c r="A19" s="9" t="inlineStr">
        <is>
          <t>Чего эта таблица не считает</t>
        </is>
      </c>
    </row>
    <row r="20" ht="46" customHeight="1">
      <c r="A20" s="2" t="inlineStr">
        <is>
          <t>— Стоимость денег. Заморозка показана суммой и длиной, а не процентами по кредиту: ставку по своему кредиту или овердрафту вы знаете сами, и она меняется. Умножьте заморозку на свою ставку и на число месяцев в минусе — это и будет цена условия в рублях.</t>
        </is>
      </c>
    </row>
    <row r="21" ht="46" customHeight="1">
      <c r="A21" s="2" t="inlineStr">
        <is>
          <t>— Налоги. НДС с полученного аванса и момент признания дохода здесь не считаются вообще: это другой расчёт и другой специалист.</t>
        </is>
      </c>
    </row>
    <row r="22" ht="46" customHeight="1">
      <c r="A22" s="2" t="inlineStr">
        <is>
          <t>— Возврат неотработанного аванса при расторжении. Это спор о квалификации отношений и объёме выполненного, а не расчёт кассы. Ситуацию надо назвать и остановиться: дальше юрист по вашему делу.</t>
        </is>
      </c>
    </row>
    <row r="23" ht="46" customHeight="1">
      <c r="A23" s="2" t="inlineStr">
        <is>
          <t>— Вероятность согласия. Генподрядчик может не согласиться ни на один пункт. Файл даёт цифру для разговора, а не рычаг.</t>
        </is>
      </c>
    </row>
  </sheetData>
  <mergeCells count="6">
    <mergeCell ref="A21:E21"/>
    <mergeCell ref="B17:E17"/>
    <mergeCell ref="A20:E20"/>
    <mergeCell ref="A2:E2"/>
    <mergeCell ref="A23:E2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36" t="inlineStr">
        <is>
          <t>Как пользоваться калькулятором</t>
        </is>
      </c>
    </row>
    <row r="3" ht="46" customHeight="1">
      <c r="A3" s="4" t="inlineStr">
        <is>
          <t>Шаг 1</t>
        </is>
      </c>
      <c r="B3" s="27" t="inlineStr">
        <is>
          <t>На листе «Условия» заполните колонку «Сценарий А» — то, что вам предлагают сейчас. Всё из вашего договора или из проекта договора.</t>
        </is>
      </c>
    </row>
    <row r="4" ht="46" customHeight="1">
      <c r="A4" s="4" t="inlineStr">
        <is>
          <t>Шаг 2</t>
        </is>
      </c>
      <c r="B4" s="27" t="inlineStr">
        <is>
          <t>На листе «График КС» проставьте доли объёма по месяцам. Сумма долей должна быть 100. Колонку Б заполните так же, если сравниваете только условия аванса.</t>
        </is>
      </c>
    </row>
    <row r="5" ht="46" customHeight="1">
      <c r="A5" s="4" t="inlineStr">
        <is>
          <t>Шаг 3</t>
        </is>
      </c>
      <c r="B5" s="27" t="inlineStr">
        <is>
          <t>Скопируйте колонку А в колонку Б на листе «Условия» и измените в ней ровно одно условие: размер аванса, порядок погашения, ставку обеспечения или гарантийное удержание. По одному условию за раз — иначе непонятно, что именно дало разницу.</t>
        </is>
      </c>
    </row>
    <row r="6" ht="46" customHeight="1">
      <c r="A6" s="4" t="inlineStr">
        <is>
          <t>Шаг 4</t>
        </is>
      </c>
      <c r="B6" s="27" t="inlineStr">
        <is>
          <t>Откройте лист «Сравнение». Строка «Максимальная заморозка собственных денег» — цена этого условия для вас. Строка «Месяц максимальной заморозки» — когда вам понадобятся деньги.</t>
        </is>
      </c>
    </row>
    <row r="7" ht="46" customHeight="1">
      <c r="A7" s="4" t="inlineStr">
        <is>
          <t>Шаг 5</t>
        </is>
      </c>
      <c r="B7" s="27" t="inlineStr">
        <is>
          <t>Повторите для остальных условий. Получится список из четырёх цифр — это и есть повестка переговоров, отсортированная по деньгам.</t>
        </is>
      </c>
    </row>
    <row r="8" ht="46" customHeight="1">
      <c r="A8" s="4" t="inlineStr">
        <is>
          <t>Шаг 6</t>
        </is>
      </c>
      <c r="B8" s="27" t="inlineStr">
        <is>
          <t>Договорённость закрывается документом: до подписания — протоколом разногласий, после подписания — дополнительным соглашением. Оба есть в этом комплекте.</t>
        </is>
      </c>
    </row>
    <row r="10">
      <c r="A10" s="9" t="inlineStr">
        <is>
          <t>Цвета</t>
        </is>
      </c>
    </row>
    <row r="11">
      <c r="A11" s="28" t="inlineStr">
        <is>
          <t>Жёлтая ячейка</t>
        </is>
      </c>
      <c r="B11" s="29" t="inlineStr">
        <is>
          <t>заполняете вы</t>
        </is>
      </c>
    </row>
    <row r="12">
      <c r="A12" s="28" t="inlineStr">
        <is>
          <t>Синий шрифт</t>
        </is>
      </c>
      <c r="B12" s="29" t="inlineStr">
        <is>
          <t>введённое значение</t>
        </is>
      </c>
    </row>
    <row r="13">
      <c r="A13" s="28" t="inlineStr">
        <is>
          <t>Чёрный шрифт</t>
        </is>
      </c>
      <c r="B13" s="29" t="inlineStr">
        <is>
          <t>считает формула, менять не нужно</t>
        </is>
      </c>
    </row>
    <row r="14">
      <c r="A14" s="28" t="inlineStr">
        <is>
          <t>Зелёный шрифт</t>
        </is>
      </c>
      <c r="B14" s="29" t="inlineStr">
        <is>
          <t>ссылка на другой лист</t>
        </is>
      </c>
    </row>
    <row r="15">
      <c r="A15" s="28" t="inlineStr">
        <is>
          <t>Красный текст</t>
        </is>
      </c>
      <c r="B15" s="29" t="inlineStr">
        <is>
          <t>проверка: если что-то написано, читайте и исправляйте</t>
        </is>
      </c>
    </row>
    <row r="17">
      <c r="A17" s="9" t="inlineStr">
        <is>
          <t>Почему файл открывается и в LibreOffice</t>
        </is>
      </c>
    </row>
    <row r="18" ht="46" customHeight="1">
      <c r="A18" s="2" t="inlineStr">
        <is>
          <t>В расчёте использованы только функции, которые вычисляют и Excel, и LibreOffice: IF, AND, OR, SUM, SUMIFS, MIN, MAX, COUNT, INDEX, MATCH, IFERROR, SUMPRODUCT, ROUND. Новых функций поиска здесь нет намеренно — в LibreOffice они дают ошибку вместо результата, и файл выглядел бы сломанным.</t>
        </is>
      </c>
    </row>
    <row r="20">
      <c r="A20" s="9" t="inlineStr">
        <is>
          <t>Проверьте себя перед переговорами</t>
        </is>
      </c>
    </row>
    <row r="21" ht="46" customHeight="1">
      <c r="A21" s="2" t="inlineStr">
        <is>
          <t>Посчитайте сценарий с нулевым авансом. Разница с вашим сценарием по строке «Максимальная заморозка» — это то, сколько аванс стоит для вас на самом деле. Если она меньше стоимости обеспечения, аванс под платную гарантию вам невыгоден, и об этом стоит знать до подписания, а не после.</t>
        </is>
      </c>
    </row>
  </sheetData>
  <mergeCells count="2">
    <mergeCell ref="A18:B18"/>
    <mergeCell ref="A21:B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4" customWidth="1" min="3" max="3"/>
    <col width="52" customWidth="1" min="4" max="4"/>
  </cols>
  <sheetData>
    <row r="1">
      <c r="A1" s="37" t="inlineStr">
        <is>
          <t>Пример: как выглядят заполненные условия</t>
        </is>
      </c>
    </row>
    <row r="2" ht="32" customHeight="1">
      <c r="A2" s="16" t="inlineStr">
        <is>
          <t>Здесь показан формат ввода, а не ваш расчёт. Цифры условные и взяты для наглядности. Ничего отсюда не переносите в рабочие листы: считайте по своему договору.</t>
        </is>
      </c>
    </row>
    <row r="4">
      <c r="A4" s="9" t="inlineStr">
        <is>
          <t>Лист «Условия»</t>
        </is>
      </c>
      <c r="B4" s="9" t="inlineStr">
        <is>
          <t>Сценарий А</t>
        </is>
      </c>
      <c r="C4" s="9" t="inlineStr">
        <is>
          <t>Сценарий Б</t>
        </is>
      </c>
    </row>
    <row r="5">
      <c r="A5" s="27" t="inlineStr">
        <is>
          <t>Сумма договора, руб.</t>
        </is>
      </c>
      <c r="B5" s="30" t="inlineStr">
        <is>
          <t>10 000 000,00</t>
        </is>
      </c>
      <c r="C5" s="30" t="inlineStr">
        <is>
          <t>10 000 000,00</t>
        </is>
      </c>
    </row>
    <row r="6">
      <c r="A6" s="27" t="inlineStr">
        <is>
          <t>Размер аванса, % от суммы договора</t>
        </is>
      </c>
      <c r="B6" s="30" t="inlineStr">
        <is>
          <t>30,00</t>
        </is>
      </c>
      <c r="C6" s="30" t="inlineStr">
        <is>
          <t>0,00</t>
        </is>
      </c>
    </row>
    <row r="7">
      <c r="A7" s="27" t="inlineStr">
        <is>
          <t>Месяц поступления аванса</t>
        </is>
      </c>
      <c r="B7" s="30" t="inlineStr">
        <is>
          <t>1</t>
        </is>
      </c>
      <c r="C7" s="30" t="inlineStr">
        <is>
          <t>1</t>
        </is>
      </c>
    </row>
    <row r="8">
      <c r="A8" s="27" t="inlineStr">
        <is>
          <t>Порядок погашения аванса</t>
        </is>
      </c>
      <c r="B8" s="30" t="inlineStr">
        <is>
          <t>пропорционально из каждой КС</t>
        </is>
      </c>
      <c r="C8" s="30" t="inlineStr">
        <is>
          <t>—</t>
        </is>
      </c>
    </row>
    <row r="9">
      <c r="A9" s="27" t="inlineStr">
        <is>
          <t>Доля выполнения, с которой начинается погашение, %</t>
        </is>
      </c>
      <c r="B9" s="30" t="inlineStr">
        <is>
          <t>—</t>
        </is>
      </c>
      <c r="C9" s="30" t="inlineStr">
        <is>
          <t>—</t>
        </is>
      </c>
    </row>
    <row r="10">
      <c r="A10" s="27" t="inlineStr">
        <is>
          <t>Ставка обеспечения аванса, % годовых</t>
        </is>
      </c>
      <c r="B10" s="30" t="inlineStr">
        <is>
          <t>из предложения банка</t>
        </is>
      </c>
      <c r="C10" s="30" t="inlineStr">
        <is>
          <t>0,00</t>
        </is>
      </c>
    </row>
    <row r="11">
      <c r="A11" s="27" t="inlineStr">
        <is>
          <t>Срок действия обеспечения, мес.</t>
        </is>
      </c>
      <c r="B11" s="30" t="inlineStr">
        <is>
          <t>12</t>
        </is>
      </c>
      <c r="C11" s="30" t="inlineStr">
        <is>
          <t>0</t>
        </is>
      </c>
    </row>
    <row r="12">
      <c r="A12" s="27" t="inlineStr">
        <is>
          <t>Месяц оплаты обеспечения</t>
        </is>
      </c>
      <c r="B12" s="30" t="inlineStr">
        <is>
          <t>1</t>
        </is>
      </c>
      <c r="C12" s="30" t="inlineStr">
        <is>
          <t>0</t>
        </is>
      </c>
    </row>
    <row r="13">
      <c r="A13" s="27" t="inlineStr">
        <is>
          <t>Гарантийное удержание, % от каждой КС</t>
        </is>
      </c>
      <c r="B13" s="30" t="inlineStr">
        <is>
          <t>5,00</t>
        </is>
      </c>
      <c r="C13" s="30" t="inlineStr">
        <is>
          <t>5,00</t>
        </is>
      </c>
    </row>
    <row r="14">
      <c r="A14" s="27" t="inlineStr">
        <is>
          <t>Месяц возврата гарантийного удержания</t>
        </is>
      </c>
      <c r="B14" s="30" t="inlineStr">
        <is>
          <t>0</t>
        </is>
      </c>
      <c r="C14" s="30" t="inlineStr">
        <is>
          <t>0</t>
        </is>
      </c>
    </row>
    <row r="15">
      <c r="A15" s="27" t="inlineStr">
        <is>
          <t>Доля возвращаемого удержания, %</t>
        </is>
      </c>
      <c r="B15" s="30" t="inlineStr">
        <is>
          <t>0,00</t>
        </is>
      </c>
      <c r="C15" s="30" t="inlineStr">
        <is>
          <t>0,00</t>
        </is>
      </c>
    </row>
    <row r="16">
      <c r="A16" s="27" t="inlineStr">
        <is>
          <t>Срок объекта, мес.</t>
        </is>
      </c>
      <c r="B16" s="30" t="inlineStr">
        <is>
          <t>10</t>
        </is>
      </c>
      <c r="C16" s="30" t="inlineStr">
        <is>
          <t>10</t>
        </is>
      </c>
    </row>
    <row r="17">
      <c r="A17" s="27" t="inlineStr">
        <is>
          <t>Отсрочка оплаты КС, мес.</t>
        </is>
      </c>
      <c r="B17" s="30" t="inlineStr">
        <is>
          <t>1</t>
        </is>
      </c>
      <c r="C17" s="30" t="inlineStr">
        <is>
          <t>1</t>
        </is>
      </c>
    </row>
    <row r="18">
      <c r="A18" s="27" t="inlineStr">
        <is>
          <t>Себестоимость работ, % от суммы договора</t>
        </is>
      </c>
      <c r="B18" s="30" t="inlineStr">
        <is>
          <t>80,00</t>
        </is>
      </c>
      <c r="C18" s="30" t="inlineStr">
        <is>
          <t>80,00</t>
        </is>
      </c>
    </row>
    <row r="19">
      <c r="A19" s="27" t="inlineStr">
        <is>
          <t>Опережение расходов, мес.</t>
        </is>
      </c>
      <c r="B19" s="30" t="inlineStr">
        <is>
          <t>1</t>
        </is>
      </c>
      <c r="C19" s="30" t="inlineStr">
        <is>
          <t>1</t>
        </is>
      </c>
    </row>
    <row r="20">
      <c r="A20" s="27" t="inlineStr">
        <is>
          <t>Стартовые затраты до первой КС, руб.</t>
        </is>
      </c>
      <c r="B20" s="30" t="inlineStr">
        <is>
          <t>500 000,00</t>
        </is>
      </c>
      <c r="C20" s="30" t="inlineStr">
        <is>
          <t>500 000,00</t>
        </is>
      </c>
    </row>
    <row r="22">
      <c r="A22" s="9" t="inlineStr">
        <is>
          <t>Лист «График КС»</t>
        </is>
      </c>
    </row>
    <row r="23">
      <c r="A23" s="2" t="inlineStr">
        <is>
          <t>Десять месяцев по 10% в каждом, колонки А и Б одинаковые: сравниваются условия аванса, а не график.</t>
        </is>
      </c>
    </row>
    <row r="25">
      <c r="A25" s="9" t="inlineStr">
        <is>
          <t>Что покажет лист «Сравнение» на таких условиях</t>
        </is>
      </c>
    </row>
    <row r="26" ht="60" customHeight="1">
      <c r="A26" s="2" t="inlineStr">
        <is>
          <t>Сценарий А получает аванс в первом месяце и гасит его равными долями из каждой КС; сценарий Б не получает ничего и живёт на своих с первого дня. Разница по строке «Максимальная заморозка собственных денег» — это цена аванса в вашу сторону; из неё надо вычесть стоимость обеспечения, если гарантия платная. Точные числа посчитает файл: здесь их нет намеренно, чтобы никто не переписал пример вместо своего расчёта.</t>
        </is>
      </c>
    </row>
  </sheetData>
  <mergeCells count="3">
    <mergeCell ref="A23:D23"/>
    <mergeCell ref="A26:D2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2026-08-01T11:19:44Z</dcterms:created>
  <dcterms:modified xsi:type="dcterms:W3CDTF">2026-08-01T11:19:45Z</dcterms:modified>
</cp:coreProperties>
</file>