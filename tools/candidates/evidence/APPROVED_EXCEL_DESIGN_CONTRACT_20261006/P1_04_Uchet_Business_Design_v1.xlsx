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>
  <x:fileVersion appName="xl" lastEdited="7" lowestEdited="7" rupBuild="20417"/>
  <x:workbookPr/>
  <x:bookViews>
    <x:workbookView xmlns:xr2="http://schemas.microsoft.com/office/spreadsheetml/2015/revision2" xWindow="0" yWindow="0" windowWidth="23040" windowHeight="9060" activeTab="5" xr2:uid="{00000000-000D-0000-FFFF-FFFF00000000}" firstSheet="0"/>
  </x:bookViews>
  <x:sheets>
    <x:sheet xmlns:r="http://schemas.openxmlformats.org/officeDocument/2006/relationships" name="Взаиморасчёты" sheetId="1" r:id="Rb7636bae53894b30"/>
    <x:sheet xmlns:r="http://schemas.openxmlformats.org/officeDocument/2006/relationships" name="Долг по актам" sheetId="2" r:id="Rff71dcf6f72844dd"/>
    <x:sheet xmlns:r="http://schemas.openxmlformats.org/officeDocument/2006/relationships" name="Акт сверки" sheetId="3" r:id="Rf8f68b977eaa4a51"/>
    <x:sheet xmlns:r="http://schemas.openxmlformats.org/officeDocument/2006/relationships" name="Реестр передачи" sheetId="4" r:id="R599f32918100404d"/>
    <x:sheet xmlns:r="http://schemas.openxmlformats.org/officeDocument/2006/relationships" name="Реестр приложений" sheetId="5" r:id="Rf4dbd305c09842d6"/>
    <x:sheet xmlns:r="http://schemas.openxmlformats.org/officeDocument/2006/relationships" name="Сводка" sheetId="6" r:id="R8783c9a4d2ad4b5b"/>
  </x:sheets>
  <x:definedNames>
    <x:definedName name="_xlnm.Print_Titles" localSheetId="2">'Акт сверки'!$12:$12</x:definedName>
    <x:definedName name="_xlnm.Print_Area" localSheetId="2">'Акт сверки'!$A$1:$J$51</x:definedName>
  </x:definedNames>
  <x:calcPr calcId="191029" fullCalcOnLoad="1" forceFullCalc="1" calcMode="auto"/>
</x:workbook>
</file>

<file path=xl/sharedStrings.xml><?xml version="1.0" encoding="utf-8"?>
<x:sst xmlns:x="http://schemas.openxmlformats.org/spreadsheetml/2006/main">
  <x:si>
    <x:t xml:space="preserve">Реестр взаиморасчётов</x:t>
  </x:si>
  <x:si>
    <x:t xml:space="preserve">№</x:t>
  </x:si>
  <x:si>
    <x:t xml:space="preserve">Дата</x:t>
  </x:si>
  <x:si>
    <x:t xml:space="preserve">Тип операции</x:t>
  </x:si>
  <x:si>
    <x:t xml:space="preserve">Документ (№, дата)</x:t>
  </x:si>
  <x:si>
    <x:t xml:space="preserve">Сумма, руб.</x:t>
  </x:si>
  <x:si>
    <x:t xml:space="preserve">Акт (идентификатор, как в «Долг по актам»)</x:t>
  </x:si>
  <x:si>
    <x:t xml:space="preserve">Влияние на общий долг</x:t>
  </x:si>
  <x:si>
    <x:t xml:space="preserve">Спорная сумма (границы B2, B5)</x:t>
  </x:si>
  <x:si>
    <x:t xml:space="preserve">Проверка строки</x:t>
  </x:si>
  <x:si>
    <x:t xml:space="preserve">Общий долг нарастающим итогом</x:t>
  </x:si>
  <x:si>
    <x:t xml:space="preserve">Начислено по актам</x:t>
  </x:si>
  <x:si>
    <x:t xml:space="preserve">Оплачено</x:t>
  </x:si>
  <x:si>
    <x:t xml:space="preserve">Зачтён аванс</x:t>
  </x:si>
  <x:si>
    <x:t xml:space="preserve">Корректировки</x:t>
  </x:si>
  <x:si>
    <x:t xml:space="preserve">Спорные операции (удержание, зачёт встречного требования, неустойка, допработы без соглашения)</x:t>
  </x:si>
  <x:si>
    <x:t xml:space="preserve">Операций ниже таблицы (не учтены)</x:t>
  </x:si>
  <x:si>
    <x:t xml:space="preserve">ОБЩИЙ ДОЛГ ПО ДАННЫМ СУБПОДРЯДЧИКА, руб.</x:t>
  </x:si>
  <x:si>
    <x:t xml:space="preserve">СПОРНАЯ ЧАСТЬ, руб. (в том числе оспаривается Заказчиком)</x:t>
  </x:si>
  <x:si>
    <x:t xml:space="preserve">БЕССПОРНАЯ ЧАСТЬ, руб. (общий долг − спорная часть; по актам — лист «Долг по актам»)</x:t>
  </x:si>
  <x:si>
    <x:t xml:space="preserve">Граница</x:t>
  </x:si>
  <x:si>
    <x:t xml:space="preserve">Операций без типа или суммы</x:t>
  </x:si>
  <x:si>
    <x:t xml:space="preserve">Строк с ошибкой в колонке «Проверка строки»</x:t>
  </x:si>
  <x:si>
    <x:t xml:space="preserve">Общий долг — ТЕКУЩИЙ остаток: из него уже вычтены все оплаты, в том числе поступившие после начала просрочки. В расчёт процентов (файл 08) его переносить нельзя — там нужен бесспорный долг на первый день просрочки по каждому акту. Спорная часть в расчёт процентов и претензию не идёт: её оценка — у специалиста. Числа по актам берите на листе «Долг по актам», для заказчика — лист «Акт сверки».</x:t>
  </x:si>
  <x:si>
    <x:t xml:space="preserve">Долг по актам: что переносить в расчёт процентов</x:t>
  </x:si>
  <x:si>
    <x:t xml:space="preserve">Одна строка — один акт (или часть долга) со своим сроком оплаты. Начисления, оплаты, зачёты и спорные операции берутся из листа «Взаиморасчёты» по идентификатору акта. Колонка H — общий долг на первый день просрочки, колонка I — спорная часть по акту (удержание, зачёт встречного требования, неустойка, допработы без соглашения). В файл 08, лист «Акты», переносится только бесспорная часть: колонка J — бесспорный долг на первый день просрочки (в колонку D файла 08), колонка M — текущий бесспорный остаток (в колонку F файла 08, для сверки). Проценты на спорную часть книга не считает ни за какой период. Оплаты, поступившие в первый день просрочки и позже, переносятся в файл 08, лист «Оплаты», с тем же идентификатором акта.</x:t>
  </x:si>
  <x:si>
    <x:t xml:space="preserve">Акт (идентификатор)</x:t>
  </x:si>
  <x:si>
    <x:t xml:space="preserve">Документ (КС-2 / акт: №, дата)</x:t>
  </x:si>
  <x:si>
    <x:t xml:space="preserve">Последний день срока оплаты по этому акту</x:t>
  </x:si>
  <x:si>
    <x:t xml:space="preserve">Первый день просрочки</x:t>
  </x:si>
  <x:si>
    <x:t xml:space="preserve">Начислено и скорректировано, руб.</x:t>
  </x:si>
  <x:si>
    <x:t xml:space="preserve">Оплачено и зачтено до первого дня просрочки, руб.</x:t>
  </x:si>
  <x:si>
    <x:t xml:space="preserve">Общий на первый день просрочки, руб.</x:t>
  </x:si>
  <x:si>
    <x:t xml:space="preserve">Спорно по акту, руб. (в расчёт и претензию не идёт)</x:t>
  </x:si>
  <x:si>
    <x:t xml:space="preserve">Бесспорный на первый день просрочки, руб. → файл 08, «Акты», колонка D</x:t>
  </x:si>
  <x:si>
    <x:t xml:space="preserve">Оплачено с первого дня просрочки, руб. → файл 08, «Оплаты»</x:t>
  </x:si>
  <x:si>
    <x:t xml:space="preserve">Текущий общий остаток по акту, руб. → акт сверки</x:t>
  </x:si>
  <x:si>
    <x:t xml:space="preserve">Текущий бесспорный остаток, руб. → файл 08, «Акты», колонка F (сверка); акт сверки</x:t>
  </x:si>
  <x:si>
    <x:t xml:space="preserve">Проверка</x:t>
  </x:si>
  <x:si>
    <x:t xml:space="preserve">Переносить в файл 08</x:t>
  </x:si>
  <x:si>
    <x:t xml:space="preserve">Актов к переносу в файл 08</x:t>
  </x:si>
  <x:si>
    <x:t xml:space="preserve">Строк с ошибкой в колонке «Проверка»</x:t>
  </x:si>
  <x:si>
    <x:t xml:space="preserve">Записей ниже таблицы (не учтены)</x:t>
  </x:si>
  <x:si>
    <x:t xml:space="preserve">Общий долг на первый день просрочки, всего по переносимым актам, руб.</x:t>
  </x:si>
  <x:si>
    <x:t xml:space="preserve">Спорно, всего по переносимым актам, руб.</x:t>
  </x:si>
  <x:si>
    <x:t xml:space="preserve">БЕССПОРНЫЙ ДОЛГ НА ПЕРВЫЙ ДЕНЬ ПРОСРОЧКИ, всего по переносимым актам, руб.</x:t>
  </x:si>
  <x:si>
    <x:t xml:space="preserve">Текущий бесспорный остаток, всего по переносимым актам, руб.</x:t>
  </x:si>
  <x:si>
    <x:t xml:space="preserve">АКТ СВЕРКИ ВЗАИМНЫХ РАСЧЁТОВ</x:t>
  </x:si>
  <x:si>
    <x:t xml:space="preserve">Рабочая форма для направления заказчику. Заполняется автоматически из листов «Взаиморасчёты» и «Долг по актам»: впишите только стороны, договор и дату сверки. Показывает общий долг по данным Субподрядчика и отдельной графой — сумму, которую оспаривает Заказчик (удержание, зачёт встречного требования, неустойка, допработы без соглашения). Графу «По данным Заказчика» заполняет Заказчик. Правовое значение подписанного акта сверки и порядок работы со спорной частью — вопрос к специалисту; система их не оценивает.</x:t>
  </x:si>
  <x:si>
    <x:t xml:space="preserve">Статус</x:t>
  </x:si>
  <x:si>
    <x:t xml:space="preserve">Субподрядчик</x:t>
  </x:si>
  <x:si>
    <x:t xml:space="preserve">наименование, ИНН</x:t>
  </x:si>
  <x:si>
    <x:t xml:space="preserve">Заказчик</x:t>
  </x:si>
  <x:si>
    <x:t xml:space="preserve">Договор</x:t>
  </x:si>
  <x:si>
    <x:t xml:space="preserve">№, дата</x:t>
  </x:si>
  <x:si>
    <x:t xml:space="preserve">Дата сверки</x:t>
  </x:si>
  <x:si>
    <x:t xml:space="preserve">дата</x:t>
  </x:si>
  <x:si>
    <x:t xml:space="preserve">Суммы — по данным Субподрядчика. Общий долг = начислено и скорректировано − оплачено и зачтено. «В том числе оспаривается Заказчиком» общий долг не уменьшает: это его часть, которую Заказчик не признаёт.</x:t>
  </x:si>
  <x:si>
    <x:t xml:space="preserve">Оплачено и зачтено, руб.</x:t>
  </x:si>
  <x:si>
    <x:t xml:space="preserve">Общий долг по данным Субподрядчика, руб.</x:t>
  </x:si>
  <x:si>
    <x:t xml:space="preserve">в том числе оспаривается Заказчиком, руб.</x:t>
  </x:si>
  <x:si>
    <x:t xml:space="preserve">Бесспорная часть, руб.</x:t>
  </x:si>
  <x:si>
    <x:t xml:space="preserve">По данным Заказчика, руб.</x:t>
  </x:si>
  <x:si>
    <x:t xml:space="preserve">Расхождение, комментарий Заказчика</x:t>
  </x:si>
  <x:si>
    <x:t xml:space="preserve">ИТОГО</x:t>
  </x:si>
  <x:si>
    <x:t xml:space="preserve">По данным Заказчика задолженность составляет: ____________________ руб.</x:t>
  </x:si>
  <x:si>
    <x:t xml:space="preserve">От Субподрядчика</x:t>
  </x:si>
  <x:si>
    <x:t xml:space="preserve">От Заказчика</x:t>
  </x:si>
  <x:si>
    <x:t xml:space="preserve">Должность, ФИО: ______________________</x:t>
  </x:si>
  <x:si>
    <x:t xml:space="preserve">Подпись: ______________   М. П.</x:t>
  </x:si>
  <x:si>
    <x:t xml:space="preserve">Дата: ____________</x:t>
  </x:si>
  <x:si>
    <x:t xml:space="preserve">Реестр передачи документов и доказательств передачи</x:t>
  </x:si>
  <x:si>
    <x:t xml:space="preserve">Одна строка — одно ваше отправление: уведомление, претензия, копия иска. Без доказательства направления документ для спора считается ненаправленным. Порядок — файл 07. Входящие документы заказчика (гарантийное письмо, ответ, возражения, акт сверки) сюда не вносятся: их отметка — в файле 02, «Контроль ответа», и строкой в «Реестре приложений».</x:t>
  </x:si>
  <x:si>
    <x:t xml:space="preserve">Документ</x:t>
  </x:si>
  <x:si>
    <x:t xml:space="preserve">№ и дата документа</x:t>
  </x:si>
  <x:si>
    <x:t xml:space="preserve">Листов</x:t>
  </x:si>
  <x:si>
    <x:t xml:space="preserve">Адресат и адрес (ЕГРЮЛ / договор)</x:t>
  </x:si>
  <x:si>
    <x:t xml:space="preserve">Способ</x:t>
  </x:si>
  <x:si>
    <x:t xml:space="preserve">Дата отправки</x:t>
  </x:si>
  <x:si>
    <x:t xml:space="preserve">Идентификатор (трек, № ЭДО, вх. №)</x:t>
  </x:si>
  <x:si>
    <x:t xml:space="preserve">Дата получения</x:t>
  </x:si>
  <x:si>
    <x:t xml:space="preserve">Доказательство (где хранится)</x:t>
  </x:si>
  <x:si>
    <x:t xml:space="preserve">Отправлений без доказательства</x:t>
  </x:si>
  <x:si>
    <x:t xml:space="preserve">Реестр приложений к претензии и иску</x:t>
  </x:si>
  <x:si>
    <x:t xml:space="preserve">Что прикладывается, в каком виде и где лежит. Из этого реестра собирается список приложений претензии (файл 09) и иска (файл 10). Входящие документы заказчика — гарантийное письмо, протокол или соглашение, подписанный им акт сверки, возражения — вносятся сюда же: отдельного реестра входящих нет.</x:t>
  </x:si>
  <x:si>
    <x:t xml:space="preserve">№ и дата</x:t>
  </x:si>
  <x:si>
    <x:t xml:space="preserve">Копия / оригинал</x:t>
  </x:si>
  <x:si>
    <x:t xml:space="preserve">К претензии</x:t>
  </x:si>
  <x:si>
    <x:t xml:space="preserve">К иску</x:t>
  </x:si>
  <x:si>
    <x:t xml:space="preserve">Где лежит (папка, файл)</x:t>
  </x:si>
  <x:si>
    <x:t xml:space="preserve">Есть</x:t>
  </x:si>
  <x:si>
    <x:t xml:space="preserve">Договор и дополнительные соглашения</x:t>
  </x:si>
  <x:si>
    <x:t xml:space="preserve">Акты КС-2 / акты выполненных работ</x:t>
  </x:si>
  <x:si>
    <x:t xml:space="preserve">Справки КС-3</x:t>
  </x:si>
  <x:si>
    <x:t xml:space="preserve">Доказательства передачи актов</x:t>
  </x:si>
  <x:si>
    <x:t xml:space="preserve">Переписка с заказчиком об оплате</x:t>
  </x:si>
  <x:si>
    <x:t xml:space="preserve">Реестр взаиморасчётов / акт сверки</x:t>
  </x:si>
  <x:si>
    <x:t xml:space="preserve">Платёжные поручения</x:t>
  </x:si>
  <x:si>
    <x:t xml:space="preserve">Расчёт процентов по ст. 395 ГК РФ</x:t>
  </x:si>
  <x:si>
    <x:t xml:space="preserve">Претензия и доказательство её направления</x:t>
  </x:si>
  <x:si>
    <x:t xml:space="preserve">Выписка ЕГРЮЛ на истца</x:t>
  </x:si>
  <x:si>
    <x:t xml:space="preserve">Выписка ЕГРЮЛ на ответчика</x:t>
  </x:si>
  <x:si>
    <x:t xml:space="preserve">Документ об уплате государственной пошлины</x:t>
  </x:si>
  <x:si>
    <x:t xml:space="preserve">Доказательство направления иска ответчику</x:t>
  </x:si>
  <x:si>
    <x:t xml:space="preserve">Доверенность представителя</x:t>
  </x:si>
  <x:si>
    <x:t xml:space="preserve">Гарантийное письмо заказчика</x:t>
  </x:si>
  <x:si>
    <x:t xml:space="preserve">Протокол переговоров / соглашение</x:t>
  </x:si>
  <x:si>
    <x:t xml:space="preserve">Акт сверки, подписанный Заказчиком</x:t>
  </x:si>
  <x:si>
    <x:t xml:space="preserve">Возражения Заказчика</x:t>
  </x:si>
  <x:si>
    <x:t xml:space="preserve">Нужно к иску, но нет</x:t>
  </x:si>
</x:sst>
</file>

<file path=xl/styles.xml><?xml version="1.0" encoding="utf-8"?>
<x:styleSheet xmlns:x="http://schemas.openxmlformats.org/spreadsheetml/2006/main">
  <x:numFmts count="2">
    <x:numFmt numFmtId="164" formatCode="dd\.mm\.yyyy"/>
    <x:numFmt numFmtId="200" formatCode="#,##0.00;[Red](#,##0.00);0.00"/>
  </x:numFmts>
  <x:fonts count="23">
    <x:font>
      <x:sz val="11"/>
      <x:color theme="1"/>
      <x:name val="Calibri"/>
    </x:font>
    <x:font>
      <x:b/>
      <x:sz val="11"/>
      <x:name val="Calibri"/>
    </x:font>
    <x:font>
      <x:b/>
      <x:sz val="13"/>
      <x:name val="Calibri"/>
    </x:font>
    <x:font>
      <x:sz val="11"/>
      <x:color rgb="FF1F4E79"/>
      <x:name val="Calibri"/>
    </x:font>
    <x:font>
      <x:b/>
      <x:sz val="10"/>
      <x:color rgb="FF27333D"/>
      <x:name val="Calibri"/>
    </x:font>
    <x:font>
      <x:sz val="10"/>
      <x:color rgb="FF27333D"/>
      <x:name val="Calibri"/>
    </x:font>
    <x:font>
      <x:b/>
      <x:sz val="18"/>
      <x:color rgb="FFFFFFFF"/>
      <x:name val="Calibri"/>
    </x:font>
    <x:font>
      <x:b/>
      <x:sz val="10"/>
      <x:color rgb="FFFFFFFF"/>
      <x:name val="Calibri"/>
    </x:font>
    <x:font>
      <x:sz val="10"/>
      <x:color rgb="FF687780"/>
      <x:name val="Calibri"/>
    </x:font>
    <x:font>
      <x:b/>
      <x:sz val="11"/>
      <x:color rgb="FF27333D"/>
      <x:name val="Calibri"/>
    </x:font>
    <x:font>
      <x:sz val="11"/>
      <x:color rgb="FF27333D"/>
      <x:name val="Calibri"/>
    </x:font>
    <x:font>
      <x:b/>
      <x:sz val="11"/>
      <x:color rgb="FFD7C59E"/>
      <x:name val="Calibri"/>
    </x:font>
    <x:font>
      <x:b/>
      <x:sz val="10"/>
      <x:color rgb="FF345F53"/>
      <x:name val="Calibri"/>
    </x:font>
    <x:font>
      <x:b/>
      <x:sz val="18"/>
      <x:color rgb="FF27333D"/>
      <x:name val="Calibri"/>
    </x:font>
    <x:font>
      <x:b/>
      <x:sz val="11"/>
      <x:color rgb="FFD6C29A"/>
      <x:name val="Calibri"/>
    </x:font>
    <x:font>
      <x:sz val="10"/>
      <x:color rgb="FFD6C29A"/>
      <x:name val="Calibri"/>
    </x:font>
    <x:font>
      <x:b/>
      <x:sz val="24"/>
      <x:color rgb="FFFFFFFF"/>
      <x:name val="Calibri"/>
    </x:font>
    <x:font>
      <x:sz val="11"/>
      <x:color rgb="FFD9E1E5"/>
      <x:name val="Calibri"/>
    </x:font>
    <x:font>
      <x:b/>
      <x:sz val="11"/>
      <x:color rgb="FF687780"/>
      <x:name val="Calibri"/>
    </x:font>
    <x:font>
      <x:b/>
      <x:sz val="23"/>
      <x:color rgb="FF27333D"/>
      <x:name val="Calibri"/>
    </x:font>
    <x:font>
      <x:b/>
      <x:sz val="16"/>
      <x:color rgb="FF27333D"/>
      <x:name val="Calibri"/>
    </x:font>
    <x:font>
      <x:b/>
      <x:sz val="12"/>
      <x:color rgb="FFFFFFFF"/>
      <x:name val="Calibri"/>
    </x:font>
    <x:font>
      <x:b/>
      <x:sz val="10"/>
      <x:color rgb="FF687780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27333D"/>
      </x:patternFill>
    </x:fill>
    <x:fill>
      <x:patternFill patternType="solid">
        <x:fgColor rgb="FFF6F7F7"/>
      </x:patternFill>
    </x:fill>
    <x:fill>
      <x:patternFill patternType="solid">
        <x:fgColor rgb="FFFFFFFF"/>
      </x:patternFill>
    </x:fill>
    <x:fill>
      <x:patternFill patternType="solid">
        <x:fgColor rgb="FFFBF7EB"/>
      </x:patternFill>
    </x:fill>
    <x:fill>
      <x:patternFill patternType="solid">
        <x:fgColor rgb="FFF2F5F6"/>
      </x:patternFill>
    </x:fill>
    <x:fill>
      <x:patternFill patternType="solid">
        <x:fgColor rgb="FFEFE9DC"/>
      </x:patternFill>
    </x:fill>
    <x:fill>
      <x:patternFill patternType="solid">
        <x:fgColor rgb="FFFFF1D7"/>
      </x:patternFill>
    </x:fill>
    <x:fill>
      <x:patternFill patternType="solid">
        <x:fgColor rgb="FFECEFE9"/>
      </x:patternFill>
    </x:fill>
    <x:fill>
      <x:patternFill patternType="solid">
        <x:fgColor rgb="FFE8ECEE"/>
      </x:patternFill>
    </x:fill>
    <x:fill>
      <x:patternFill patternType="solid">
        <x:fgColor rgb="FFFAF8F2"/>
      </x:patternFill>
    </x:fill>
    <x:fill>
      <x:patternFill patternType="solid">
        <x:fgColor rgb="FFF2F4F5"/>
      </x:patternFill>
    </x:fill>
    <x:fill>
      <x:patternFill patternType="solid">
        <x:fgColor rgb="FFB39559"/>
      </x:patternFill>
    </x:fill>
  </x:fills>
  <x:borders count="2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  <x:border>
      <x:left style="thin">
        <x:color rgb="FF999999"/>
      </x:left>
      <x:right style="hair">
        <x:color rgb="FFDEE4E7"/>
      </x:right>
      <x:top style="thin">
        <x:color rgb="FF999999"/>
      </x:top>
      <x:bottom style="hair">
        <x:color rgb="FFDEE4E7"/>
      </x:bottom>
    </x:border>
    <x:border>
      <x:left style="hair">
        <x:color rgb="FFDEE4E7"/>
      </x:left>
      <x:right style="hair">
        <x:color rgb="FFDEE4E7"/>
      </x:right>
      <x:top style="thin">
        <x:color rgb="FF999999"/>
      </x:top>
      <x:bottom style="hair">
        <x:color rgb="FFDEE4E7"/>
      </x:bottom>
    </x:border>
    <x:border>
      <x:left style="hair">
        <x:color rgb="FFDEE4E7"/>
      </x:left>
      <x:right style="thin">
        <x:color rgb="FF999999"/>
      </x:right>
      <x:top style="thin">
        <x:color rgb="FF999999"/>
      </x:top>
      <x:bottom style="hair">
        <x:color rgb="FFDEE4E7"/>
      </x:bottom>
    </x:border>
    <x:border>
      <x:left style="thin">
        <x:color rgb="FF999999"/>
      </x:left>
      <x:right style="hair">
        <x:color rgb="FFDEE4E7"/>
      </x:right>
      <x:top style="hair">
        <x:color rgb="FFDEE4E7"/>
      </x:top>
      <x:bottom style="hair">
        <x:color rgb="FFDEE4E7"/>
      </x:bottom>
    </x:border>
    <x:border>
      <x:left style="hair">
        <x:color rgb="FFDEE4E7"/>
      </x:left>
      <x:right style="hair">
        <x:color rgb="FFDEE4E7"/>
      </x:right>
      <x:top style="hair">
        <x:color rgb="FFDEE4E7"/>
      </x:top>
      <x:bottom style="hair">
        <x:color rgb="FFDEE4E7"/>
      </x:bottom>
    </x:border>
    <x:border>
      <x:left style="hair">
        <x:color rgb="FFDEE4E7"/>
      </x:left>
      <x:right style="thin">
        <x:color rgb="FF999999"/>
      </x:right>
      <x:top style="hair">
        <x:color rgb="FFDEE4E7"/>
      </x:top>
      <x:bottom style="hair">
        <x:color rgb="FFDEE4E7"/>
      </x:bottom>
    </x:border>
    <x:border>
      <x:left style="thin">
        <x:color rgb="FF999999"/>
      </x:left>
      <x:right style="hair">
        <x:color rgb="FFDEE4E7"/>
      </x:right>
      <x:top style="hair">
        <x:color rgb="FFDEE4E7"/>
      </x:top>
      <x:bottom style="thin">
        <x:color rgb="FF999999"/>
      </x:bottom>
    </x:border>
    <x:border>
      <x:left style="hair">
        <x:color rgb="FFDEE4E7"/>
      </x:left>
      <x:right style="hair">
        <x:color rgb="FFDEE4E7"/>
      </x:right>
      <x:top style="hair">
        <x:color rgb="FFDEE4E7"/>
      </x:top>
      <x:bottom style="thin">
        <x:color rgb="FF999999"/>
      </x:bottom>
    </x:border>
    <x:border>
      <x:left style="hair">
        <x:color rgb="FFDEE4E7"/>
      </x:left>
      <x:right style="thin">
        <x:color rgb="FF999999"/>
      </x:right>
      <x:top style="hair">
        <x:color rgb="FFDEE4E7"/>
      </x:top>
      <x:bottom style="thin">
        <x:color rgb="FF999999"/>
      </x:bottom>
    </x:border>
    <x:border>
      <x:left style="thin">
        <x:color rgb="FF999999"/>
      </x:left>
      <x:right style="hair">
        <x:color rgb="FFDEE4E7"/>
      </x:right>
      <x:top style="thin">
        <x:color rgb="FF999999"/>
      </x:top>
      <x:bottom style="hair">
        <x:color rgb="FFDEE4E7"/>
      </x:bottom>
    </x:border>
    <x:border>
      <x:left style="hair">
        <x:color rgb="FFDEE4E7"/>
      </x:left>
      <x:right style="hair">
        <x:color rgb="FFDEE4E7"/>
      </x:right>
      <x:top style="thin">
        <x:color rgb="FF999999"/>
      </x:top>
      <x:bottom style="hair">
        <x:color rgb="FFDEE4E7"/>
      </x:bottom>
    </x:border>
    <x:border>
      <x:left style="hair">
        <x:color rgb="FFDEE4E7"/>
      </x:left>
      <x:right style="thin">
        <x:color rgb="FF999999"/>
      </x:right>
      <x:top style="thin">
        <x:color rgb="FF999999"/>
      </x:top>
      <x:bottom style="hair">
        <x:color rgb="FFDEE4E7"/>
      </x:bottom>
    </x:border>
    <x:border>
      <x:left style="thin">
        <x:color rgb="FF999999"/>
      </x:left>
      <x:right style="hair">
        <x:color rgb="FFDEE4E7"/>
      </x:right>
      <x:top style="hair">
        <x:color rgb="FFDEE4E7"/>
      </x:top>
      <x:bottom style="hair">
        <x:color rgb="FFDEE4E7"/>
      </x:bottom>
    </x:border>
    <x:border>
      <x:left style="hair">
        <x:color rgb="FFDEE4E7"/>
      </x:left>
      <x:right style="hair">
        <x:color rgb="FFDEE4E7"/>
      </x:right>
      <x:top style="hair">
        <x:color rgb="FFDEE4E7"/>
      </x:top>
      <x:bottom style="hair">
        <x:color rgb="FFDEE4E7"/>
      </x:bottom>
    </x:border>
    <x:border>
      <x:left style="hair">
        <x:color rgb="FFDEE4E7"/>
      </x:left>
      <x:right style="thin">
        <x:color rgb="FF999999"/>
      </x:right>
      <x:top style="hair">
        <x:color rgb="FFDEE4E7"/>
      </x:top>
      <x:bottom style="hair">
        <x:color rgb="FFDEE4E7"/>
      </x:bottom>
    </x:border>
    <x:border>
      <x:left style="thin">
        <x:color rgb="FF999999"/>
      </x:left>
      <x:right style="hair">
        <x:color rgb="FFDEE4E7"/>
      </x:right>
      <x:top style="hair">
        <x:color rgb="FFDEE4E7"/>
      </x:top>
      <x:bottom style="thin">
        <x:color rgb="FF999999"/>
      </x:bottom>
    </x:border>
    <x:border>
      <x:left style="hair">
        <x:color rgb="FFDEE4E7"/>
      </x:left>
      <x:right style="hair">
        <x:color rgb="FFDEE4E7"/>
      </x:right>
      <x:top style="hair">
        <x:color rgb="FFDEE4E7"/>
      </x:top>
      <x:bottom style="thin">
        <x:color rgb="FF999999"/>
      </x:bottom>
    </x:border>
    <x:border>
      <x:left style="hair">
        <x:color rgb="FFDEE4E7"/>
      </x:left>
      <x:right style="thin">
        <x:color rgb="FF999999"/>
      </x:right>
      <x:top style="hair">
        <x:color rgb="FFDEE4E7"/>
      </x:top>
      <x:bottom style="thin">
        <x:color rgb="FF999999"/>
      </x:bottom>
    </x:border>
  </x:borders>
  <x:cellStyleXfs count="1">
    <x:xf numFmtId="0" fontId="0" fillId="0" borderId="0"/>
  </x:cellStyleXfs>
  <x:cellXfs count="411">
    <x:xf numFmtId="0" fontId="0" fillId="0" borderId="0" xfId="0"/>
    <x:xf numFmtId="0" fontId="1" fillId="2" borderId="1" xfId="0" applyFont="1" applyFill="1" applyBorder="1" applyAlignment="1">
      <x:alignment vertical="top" wrapText="1"/>
    </x:xf>
    <x:xf numFmtId="0" fontId="1" fillId="0" borderId="1" xfId="0" applyFont="1" applyBorder="1" applyAlignment="1">
      <x:alignment vertical="top" wrapText="1"/>
    </x:xf>
    <x:xf numFmtId="4" fontId="0" fillId="0" borderId="1" xfId="0" applyNumberFormat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164" fontId="3" fillId="3" borderId="1" xfId="0" applyNumberFormat="1" applyFont="1" applyFill="1" applyBorder="1" applyAlignment="1">
      <x:alignment vertical="top" wrapText="1"/>
    </x:xf>
    <x:xf numFmtId="0" fontId="3" fillId="3" borderId="1" xfId="0" applyFont="1" applyFill="1" applyBorder="1" applyAlignment="1">
      <x:alignment vertical="top" wrapText="1"/>
    </x:xf>
    <x:xf numFmtId="4" fontId="3" fillId="3" borderId="1" xfId="0" applyNumberFormat="1" applyFont="1" applyFill="1" applyBorder="1" applyAlignment="1">
      <x:alignment vertical="top" wrapText="1"/>
    </x:xf>
    <x:xf numFmtId="164" fontId="0" fillId="0" borderId="1" xfId="0" applyNumberFormat="1" applyBorder="1" applyAlignment="1">
      <x:alignment vertical="top" wrapText="1"/>
    </x:xf>
    <x:xf numFmtId="0" fontId="1" fillId="0" borderId="0" xfId="0" applyFont="1"/>
    <x:xf numFmtId="4" fontId="1" fillId="0" borderId="1" xfId="0" applyNumberFormat="1" applyFont="1" applyBorder="1" applyAlignment="1">
      <x:alignment vertical="top" wrapText="1"/>
    </x:xf>
    <x:xf numFmtId="0" fontId="1" fillId="0" borderId="0" xfId="0" applyFont="1" applyAlignment="1">
      <x:alignment vertical="top" wrapText="1"/>
    </x:xf>
    <x:xf numFmtId="0" fontId="0" fillId="0" borderId="0" xfId="0"/>
    <x:xf numFmtId="0" fontId="2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164" fontId="3" fillId="3" borderId="1" xfId="0" applyNumberFormat="1" applyFont="1" applyFill="1" applyBorder="1"/>
    <x:xf numFmtId="0" fontId="3" fillId="3" borderId="1" xfId="0" applyFont="1" applyFill="1" applyBorder="1"/>
    <x:xf numFmtId="0" fontId="1" fillId="2" borderId="1" xfId="0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4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164" fontId="3" fillId="3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4" fontId="3" fillId="3" borderId="3" xfId="0" applyNumberFormat="1" applyFont="1" applyFill="1" applyBorder="1" applyAlignment="1">
      <x:alignment vertical="top" wrapText="1"/>
    </x:xf>
    <x:xf numFmtId="164" fontId="0" fillId="0" borderId="3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/>
    <x:xf numFmtId="4" fontId="1" fillId="0" borderId="3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164" fontId="3" fillId="3" borderId="3" xfId="0" applyNumberFormat="1" applyFont="1" applyFill="1" applyBorder="1"/>
    <x:xf numFmtId="0" fontId="3" fillId="3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4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164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4" fontId="5" fillId="3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4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164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4" fontId="5" fillId="3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top" wrapText="1"/>
    </x:xf>
    <x:xf numFmtId="4" fontId="5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164" fontId="5" fillId="3" borderId="3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4" fontId="5" fillId="3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4" fontId="5" fillId="0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164" fontId="5" fillId="3" borderId="3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4" fontId="5" fillId="3" borderId="3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left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 wrapText="1"/>
    </x:xf>
    <x:xf numFmtId="0" fontId="8" fillId="5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top" wrapText="1"/>
    </x:xf>
    <x:xf numFmtId="164" fontId="5" fillId="0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164" fontId="5" fillId="0" borderId="1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top" wrapText="1"/>
    </x:xf>
    <x:xf numFmtId="164" fontId="5" fillId="0" borderId="3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center" wrapText="1"/>
    </x:xf>
    <x:xf numFmtId="164" fontId="5" fillId="0" borderId="3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3" borderId="1" xfId="0" applyNumberFormat="1" applyFont="1" applyFill="1" applyBorder="1"/>
    <x:xf numFmtId="164" fontId="5" fillId="3" borderId="1" xfId="0" applyNumberFormat="1" applyFont="1" applyFill="1" applyBorder="1"/>
    <x:xf numFmtId="4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164" fontId="5" fillId="3" borderId="1" xfId="0" applyNumberFormat="1" applyFont="1" applyFill="1" applyBorder="1" applyAlignment="1">
      <x:alignment vertical="center"/>
    </x:xf>
    <x:xf numFmtId="4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/>
    <x:xf numFmtId="0" fontId="5" fillId="3" borderId="3" xfId="0" applyNumberFormat="1" applyFont="1" applyFill="1" applyBorder="1"/>
    <x:xf numFmtId="164" fontId="5" fillId="3" borderId="3" xfId="0" applyNumberFormat="1" applyFont="1" applyFill="1" applyBorder="1"/>
    <x:xf numFmtId="4" fontId="4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164" fontId="5" fillId="3" borderId="3" xfId="0" applyNumberFormat="1" applyFont="1" applyFill="1" applyBorder="1" applyAlignment="1">
      <x:alignment vertical="center"/>
    </x:xf>
    <x:xf numFmtId="4" fontId="4" fillId="0" borderId="3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164" fontId="5" fillId="6" borderId="1" xfId="0" applyNumberFormat="1" applyFont="1" applyFill="1" applyBorder="1" applyAlignment="1">
      <x:alignment vertical="center" wrapText="1"/>
    </x:xf>
    <x:xf numFmtId="4" fontId="5" fillId="6" borderId="1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164" fontId="5" fillId="6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4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164" fontId="5" fillId="6" borderId="8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4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164" fontId="5" fillId="6" borderId="11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4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164" fontId="5" fillId="6" borderId="3" xfId="0" applyNumberFormat="1" applyFont="1" applyFill="1" applyBorder="1" applyAlignment="1">
      <x:alignment vertical="center" wrapText="1"/>
    </x:xf>
    <x:xf numFmtId="4" fontId="5" fillId="6" borderId="3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164" fontId="5" fillId="6" borderId="14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4" fontId="5" fillId="6" borderId="14" xfId="0" applyNumberFormat="1" applyFont="1" applyFill="1" applyBorder="1" applyAlignment="1">
      <x:alignment vertical="center" wrapText="1"/>
    </x:xf>
    <x:xf numFmtId="0" fontId="5" fillId="6" borderId="15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164" fontId="5" fillId="6" borderId="17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4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164" fontId="5" fillId="6" borderId="20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4" fontId="5" fillId="6" borderId="20" xfId="0" applyNumberFormat="1" applyFont="1" applyFill="1" applyBorder="1" applyAlignment="1">
      <x:alignment vertical="center" wrapText="1"/>
    </x:xf>
    <x:xf numFmtId="0" fontId="5" fillId="6" borderId="21" xfId="0" applyNumberFormat="1" applyFont="1" applyFill="1" applyBorder="1" applyAlignment="1">
      <x:alignment vertical="center" wrapText="1"/>
    </x:xf>
    <x:xf numFmtId="164" fontId="5" fillId="7" borderId="5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4" fontId="5" fillId="7" borderId="5" xfId="0" applyNumberFormat="1" applyFont="1" applyFill="1" applyBorder="1" applyAlignment="1">
      <x:alignment vertical="center" wrapText="1"/>
    </x:xf>
    <x:xf numFmtId="164" fontId="5" fillId="7" borderId="8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4" fontId="5" fillId="7" borderId="8" xfId="0" applyNumberFormat="1" applyFont="1" applyFill="1" applyBorder="1" applyAlignment="1">
      <x:alignment vertical="center" wrapText="1"/>
    </x:xf>
    <x:xf numFmtId="164" fontId="5" fillId="7" borderId="11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4" fontId="5" fillId="7" borderId="11" xfId="0" applyNumberFormat="1" applyFont="1" applyFill="1" applyBorder="1" applyAlignment="1">
      <x:alignment vertical="center" wrapText="1"/>
    </x:xf>
    <x:xf numFmtId="164" fontId="5" fillId="7" borderId="14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4" fontId="5" fillId="7" borderId="14" xfId="0" applyNumberFormat="1" applyFont="1" applyFill="1" applyBorder="1" applyAlignment="1">
      <x:alignment vertical="center" wrapText="1"/>
    </x:xf>
    <x:xf numFmtId="164" fontId="5" fillId="7" borderId="17" xfId="0" applyNumberFormat="1" applyFont="1" applyFill="1" applyBorder="1" applyAlignment="1">
      <x:alignment vertical="center" wrapText="1"/>
    </x:xf>
    <x:xf numFmtId="0" fontId="5" fillId="7" borderId="17" xfId="0" applyNumberFormat="1" applyFont="1" applyFill="1" applyBorder="1" applyAlignment="1">
      <x:alignment vertical="center" wrapText="1"/>
    </x:xf>
    <x:xf numFmtId="4" fontId="5" fillId="7" borderId="17" xfId="0" applyNumberFormat="1" applyFont="1" applyFill="1" applyBorder="1" applyAlignment="1">
      <x:alignment vertical="center" wrapText="1"/>
    </x:xf>
    <x:xf numFmtId="164" fontId="5" fillId="7" borderId="20" xfId="0" applyNumberFormat="1" applyFont="1" applyFill="1" applyBorder="1" applyAlignment="1">
      <x:alignment vertical="center" wrapText="1"/>
    </x:xf>
    <x:xf numFmtId="0" fontId="5" fillId="7" borderId="20" xfId="0" applyNumberFormat="1" applyFont="1" applyFill="1" applyBorder="1" applyAlignment="1">
      <x:alignment vertical="center" wrapText="1"/>
    </x:xf>
    <x:xf numFmtId="4" fontId="5" fillId="7" borderId="20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15" xfId="0" applyNumberFormat="1" applyFont="1" applyFill="1" applyBorder="1" applyAlignment="1">
      <x:alignment vertical="center" wrapText="1"/>
    </x:xf>
    <x:xf numFmtId="0" fontId="5" fillId="7" borderId="18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4" fontId="5" fillId="8" borderId="5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4" fontId="5" fillId="8" borderId="8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4" fontId="5" fillId="8" borderId="11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4" fontId="5" fillId="8" borderId="14" xfId="0" applyNumberFormat="1" applyFont="1" applyFill="1" applyBorder="1" applyAlignment="1">
      <x:alignment vertical="center" wrapText="1"/>
    </x:xf>
    <x:xf numFmtId="0" fontId="5" fillId="8" borderId="14" xfId="0" applyNumberFormat="1" applyFont="1" applyFill="1" applyBorder="1" applyAlignment="1">
      <x:alignment vertical="center" wrapText="1"/>
    </x:xf>
    <x:xf numFmtId="4" fontId="5" fillId="8" borderId="17" xfId="0" applyNumberFormat="1" applyFont="1" applyFill="1" applyBorder="1" applyAlignment="1">
      <x:alignment vertical="center" wrapText="1"/>
    </x:xf>
    <x:xf numFmtId="0" fontId="5" fillId="8" borderId="17" xfId="0" applyNumberFormat="1" applyFont="1" applyFill="1" applyBorder="1" applyAlignment="1">
      <x:alignment vertical="center" wrapText="1"/>
    </x:xf>
    <x:xf numFmtId="4" fontId="5" fillId="8" borderId="20" xfId="0" applyNumberFormat="1" applyFont="1" applyFill="1" applyBorder="1" applyAlignment="1">
      <x:alignment vertical="center" wrapText="1"/>
    </x:xf>
    <x:xf numFmtId="0" fontId="5" fillId="8" borderId="20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10" xfId="0" applyNumberFormat="1" applyFont="1" applyFill="1" applyBorder="1" applyAlignment="1">
      <x:alignment horizontal="center"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6" xfId="0" applyNumberFormat="1" applyFont="1" applyFill="1" applyBorder="1" applyAlignment="1">
      <x:alignment vertical="center" wrapText="1"/>
    </x:xf>
    <x:xf numFmtId="0" fontId="8" fillId="6" borderId="19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horizontal="center" vertical="center" wrapText="1"/>
    </x:xf>
    <x:xf numFmtId="0" fontId="8" fillId="6" borderId="16" xfId="0" applyNumberFormat="1" applyFont="1" applyFill="1" applyBorder="1" applyAlignment="1">
      <x:alignment horizontal="center" vertical="center" wrapText="1"/>
    </x:xf>
    <x:xf numFmtId="0" fontId="8" fillId="6" borderId="19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4" fontId="5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4" fontId="5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4" fontId="5" fillId="6" borderId="1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4" fontId="5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4" fontId="5" fillId="6" borderId="18" xfId="0" applyNumberFormat="1" applyFont="1" applyFill="1" applyBorder="1" applyAlignment="1">
      <x:alignment vertical="center" wrapText="1"/>
    </x:xf>
    <x:xf numFmtId="0" fontId="4" fillId="6" borderId="19" xfId="0" applyNumberFormat="1" applyFont="1" applyFill="1" applyBorder="1" applyAlignment="1">
      <x:alignment vertical="center" wrapText="1"/>
    </x:xf>
    <x:xf numFmtId="4" fontId="5" fillId="6" borderId="21" xfId="0" applyNumberFormat="1" applyFont="1" applyFill="1" applyBorder="1" applyAlignment="1">
      <x:alignment vertical="center" wrapText="1"/>
    </x:xf>
    <x:xf numFmtId="0" fontId="4" fillId="9" borderId="7" xfId="0" applyNumberFormat="1" applyFont="1" applyFill="1" applyBorder="1" applyAlignment="1">
      <x:alignment vertical="center" wrapText="1"/>
    </x:xf>
    <x:xf numFmtId="4" fontId="5" fillId="9" borderId="9" xfId="0" applyNumberFormat="1" applyFont="1" applyFill="1" applyBorder="1" applyAlignment="1">
      <x:alignment vertical="center" wrapText="1"/>
    </x:xf>
    <x:xf numFmtId="4" fontId="4" fillId="9" borderId="9" xfId="0" applyNumberFormat="1" applyFont="1" applyFill="1" applyBorder="1" applyAlignment="1">
      <x:alignment vertical="center" wrapText="1"/>
    </x:xf>
    <x:xf numFmtId="0" fontId="4" fillId="9" borderId="16" xfId="0" applyNumberFormat="1" applyFont="1" applyFill="1" applyBorder="1" applyAlignment="1">
      <x:alignment vertical="center" wrapText="1"/>
    </x:xf>
    <x:xf numFmtId="4" fontId="5" fillId="9" borderId="18" xfId="0" applyNumberFormat="1" applyFont="1" applyFill="1" applyBorder="1" applyAlignment="1">
      <x:alignment vertical="center" wrapText="1"/>
    </x:xf>
    <x:xf numFmtId="4" fontId="4" fillId="9" borderId="18" xfId="0" applyNumberFormat="1" applyFont="1" applyFill="1" applyBorder="1" applyAlignment="1">
      <x:alignment vertical="center" wrapText="1"/>
    </x:xf>
    <x:xf numFmtId="4" fontId="5" fillId="6" borderId="6" xfId="0" applyNumberFormat="1" applyFont="1" applyFill="1" applyBorder="1" applyAlignment="1">
      <x:alignment horizontal="right" vertical="center" wrapText="1"/>
    </x:xf>
    <x:xf numFmtId="4" fontId="5" fillId="6" borderId="9" xfId="0" applyNumberFormat="1" applyFont="1" applyFill="1" applyBorder="1" applyAlignment="1">
      <x:alignment horizontal="right" vertical="center" wrapText="1"/>
    </x:xf>
    <x:xf numFmtId="4" fontId="4" fillId="9" borderId="9" xfId="0" applyNumberFormat="1" applyFont="1" applyFill="1" applyBorder="1" applyAlignment="1">
      <x:alignment horizontal="right" vertical="center" wrapText="1"/>
    </x:xf>
    <x:xf numFmtId="4" fontId="5" fillId="6" borderId="12" xfId="0" applyNumberFormat="1" applyFont="1" applyFill="1" applyBorder="1" applyAlignment="1">
      <x:alignment horizontal="right" vertical="center" wrapText="1"/>
    </x:xf>
    <x:xf numFmtId="4" fontId="5" fillId="6" borderId="15" xfId="0" applyNumberFormat="1" applyFont="1" applyFill="1" applyBorder="1" applyAlignment="1">
      <x:alignment horizontal="right" vertical="center" wrapText="1"/>
    </x:xf>
    <x:xf numFmtId="4" fontId="5" fillId="6" borderId="18" xfId="0" applyNumberFormat="1" applyFont="1" applyFill="1" applyBorder="1" applyAlignment="1">
      <x:alignment horizontal="right" vertical="center" wrapText="1"/>
    </x:xf>
    <x:xf numFmtId="4" fontId="4" fillId="9" borderId="18" xfId="0" applyNumberFormat="1" applyFont="1" applyFill="1" applyBorder="1" applyAlignment="1">
      <x:alignment horizontal="right" vertical="center" wrapText="1"/>
    </x:xf>
    <x:xf numFmtId="4" fontId="5" fillId="6" borderId="21" xfId="0" applyNumberFormat="1" applyFont="1" applyFill="1" applyBorder="1" applyAlignment="1">
      <x:alignment horizontal="right"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/>
    </x:xf>
    <x:xf numFmtId="0" fontId="9" fillId="10" borderId="2" xfId="0" applyNumberFormat="1" applyFont="1" applyFill="1" applyBorder="1" applyAlignment="1">
      <x:alignment vertical="center" wrapText="1"/>
    </x:xf>
    <x:xf numFmtId="0" fontId="10" fillId="10" borderId="2" xfId="0" applyNumberFormat="1" applyFont="1" applyFill="1" applyBorder="1" applyAlignment="1">
      <x:alignment vertical="center"/>
    </x:xf>
    <x:xf numFmtId="0" fontId="10" fillId="10" borderId="2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vertical="top" wrapText="1"/>
    </x:xf>
    <x:xf numFmtId="0" fontId="10" fillId="10" borderId="2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horizontal="right" vertical="center"/>
    </x:xf>
    <x:xf numFmtId="0" fontId="11" fillId="4" borderId="2" xfId="0" applyNumberFormat="1" applyFont="1" applyFill="1" applyBorder="1" applyAlignment="1">
      <x:alignment vertical="center"/>
    </x:xf>
    <x:xf numFmtId="0" fontId="11" fillId="4" borderId="2" xfId="0" applyNumberFormat="1" applyFont="1" applyFill="1" applyBorder="1" applyAlignment="1">
      <x:alignment horizontal="right" vertical="center"/>
    </x:xf>
    <x:xf numFmtId="0" fontId="5" fillId="8" borderId="1" xfId="0" applyNumberFormat="1" applyFont="1" applyFill="1" applyBorder="1" applyAlignment="1">
      <x:alignment vertical="center" wrapText="1"/>
    </x:xf>
    <x:xf numFmtId="164" fontId="5" fillId="8" borderId="1" xfId="0" applyNumberFormat="1" applyFont="1" applyFill="1" applyBorder="1" applyAlignment="1">
      <x:alignment vertical="center" wrapText="1"/>
    </x:xf>
    <x:xf numFmtId="4" fontId="5" fillId="8" borderId="1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164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164" fontId="5" fillId="8" borderId="8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164" fontId="5" fillId="8" borderId="11" xfId="0" applyNumberFormat="1" applyFont="1" applyFill="1" applyBorder="1" applyAlignment="1">
      <x:alignment vertical="center" wrapText="1"/>
    </x:xf>
    <x:xf numFmtId="0" fontId="5" fillId="8" borderId="12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164" fontId="5" fillId="8" borderId="3" xfId="0" applyNumberFormat="1" applyFont="1" applyFill="1" applyBorder="1" applyAlignment="1">
      <x:alignment vertical="center" wrapText="1"/>
    </x:xf>
    <x:xf numFmtId="4" fontId="5" fillId="8" borderId="3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164" fontId="5" fillId="8" borderId="14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164" fontId="5" fillId="8" borderId="17" xfId="0" applyNumberFormat="1" applyFont="1" applyFill="1" applyBorder="1" applyAlignment="1">
      <x:alignment vertical="center" wrapText="1"/>
    </x:xf>
    <x:xf numFmtId="0" fontId="5" fillId="8" borderId="18" xfId="0" applyNumberFormat="1" applyFont="1" applyFill="1" applyBorder="1" applyAlignment="1">
      <x:alignment vertical="center" wrapText="1"/>
    </x:xf>
    <x:xf numFmtId="0" fontId="5" fillId="8" borderId="19" xfId="0" applyNumberFormat="1" applyFont="1" applyFill="1" applyBorder="1" applyAlignment="1">
      <x:alignment vertical="center" wrapText="1"/>
    </x:xf>
    <x:xf numFmtId="164" fontId="5" fillId="8" borderId="20" xfId="0" applyNumberFormat="1" applyFont="1" applyFill="1" applyBorder="1" applyAlignment="1">
      <x:alignment vertical="center" wrapText="1"/>
    </x:xf>
    <x:xf numFmtId="0" fontId="5" fillId="8" borderId="21" xfId="0" applyNumberFormat="1" applyFont="1" applyFill="1" applyBorder="1" applyAlignment="1">
      <x:alignment vertical="center" wrapText="1"/>
    </x:xf>
    <x:xf numFmtId="4" fontId="5" fillId="11" borderId="5" xfId="0" applyNumberFormat="1" applyFont="1" applyFill="1" applyBorder="1" applyAlignment="1">
      <x:alignment vertical="center" wrapText="1"/>
    </x:xf>
    <x:xf numFmtId="4" fontId="5" fillId="11" borderId="8" xfId="0" applyNumberFormat="1" applyFont="1" applyFill="1" applyBorder="1" applyAlignment="1">
      <x:alignment vertical="center" wrapText="1"/>
    </x:xf>
    <x:xf numFmtId="4" fontId="5" fillId="11" borderId="11" xfId="0" applyNumberFormat="1" applyFont="1" applyFill="1" applyBorder="1" applyAlignment="1">
      <x:alignment vertical="center" wrapText="1"/>
    </x:xf>
    <x:xf numFmtId="4" fontId="12" fillId="11" borderId="5" xfId="0" applyNumberFormat="1" applyFont="1" applyFill="1" applyBorder="1" applyAlignment="1">
      <x:alignment vertical="center" wrapText="1"/>
    </x:xf>
    <x:xf numFmtId="4" fontId="12" fillId="11" borderId="8" xfId="0" applyNumberFormat="1" applyFont="1" applyFill="1" applyBorder="1" applyAlignment="1">
      <x:alignment vertical="center" wrapText="1"/>
    </x:xf>
    <x:xf numFmtId="4" fontId="12" fillId="11" borderId="11" xfId="0" applyNumberFormat="1" applyFont="1" applyFill="1" applyBorder="1" applyAlignment="1">
      <x:alignment vertical="center" wrapText="1"/>
    </x:xf>
    <x:xf numFmtId="4" fontId="5" fillId="11" borderId="14" xfId="0" applyNumberFormat="1" applyFont="1" applyFill="1" applyBorder="1" applyAlignment="1">
      <x:alignment vertical="center" wrapText="1"/>
    </x:xf>
    <x:xf numFmtId="4" fontId="5" fillId="11" borderId="17" xfId="0" applyNumberFormat="1" applyFont="1" applyFill="1" applyBorder="1" applyAlignment="1">
      <x:alignment vertical="center" wrapText="1"/>
    </x:xf>
    <x:xf numFmtId="4" fontId="5" fillId="11" borderId="20" xfId="0" applyNumberFormat="1" applyFont="1" applyFill="1" applyBorder="1" applyAlignment="1">
      <x:alignment vertical="center" wrapText="1"/>
    </x:xf>
    <x:xf numFmtId="4" fontId="12" fillId="11" borderId="14" xfId="0" applyNumberFormat="1" applyFont="1" applyFill="1" applyBorder="1" applyAlignment="1">
      <x:alignment vertical="center" wrapText="1"/>
    </x:xf>
    <x:xf numFmtId="4" fontId="12" fillId="11" borderId="17" xfId="0" applyNumberFormat="1" applyFont="1" applyFill="1" applyBorder="1" applyAlignment="1">
      <x:alignment vertical="center" wrapText="1"/>
    </x:xf>
    <x:xf numFmtId="4" fontId="12" fillId="11" borderId="20" xfId="0" applyNumberFormat="1" applyFont="1" applyFill="1" applyBorder="1" applyAlignment="1">
      <x:alignment vertical="center" wrapText="1"/>
    </x:xf>
    <x:xf numFmtId="0" fontId="4" fillId="9" borderId="10" xfId="0" applyNumberFormat="1" applyFont="1" applyFill="1" applyBorder="1" applyAlignment="1">
      <x:alignment vertical="center" wrapText="1"/>
    </x:xf>
    <x:xf numFmtId="4" fontId="5" fillId="9" borderId="12" xfId="0" applyNumberFormat="1" applyFont="1" applyFill="1" applyBorder="1" applyAlignment="1">
      <x:alignment vertical="center" wrapText="1"/>
    </x:xf>
    <x:xf numFmtId="4" fontId="4" fillId="9" borderId="12" xfId="0" applyNumberFormat="1" applyFont="1" applyFill="1" applyBorder="1" applyAlignment="1">
      <x:alignment vertical="center" wrapText="1"/>
    </x:xf>
    <x:xf numFmtId="0" fontId="4" fillId="9" borderId="19" xfId="0" applyNumberFormat="1" applyFont="1" applyFill="1" applyBorder="1" applyAlignment="1">
      <x:alignment vertical="center" wrapText="1"/>
    </x:xf>
    <x:xf numFmtId="4" fontId="5" fillId="9" borderId="21" xfId="0" applyNumberFormat="1" applyFont="1" applyFill="1" applyBorder="1" applyAlignment="1">
      <x:alignment vertical="center" wrapText="1"/>
    </x:xf>
    <x:xf numFmtId="4" fontId="4" fillId="9" borderId="2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/>
    </x:xf>
    <x:xf numFmtId="0" fontId="13" fillId="6" borderId="2" xfId="0" applyNumberFormat="1" applyFont="1" applyFill="1" applyBorder="1" applyAlignment="1">
      <x:alignment vertical="center" wrapText="1"/>
    </x:xf>
    <x:xf numFmtId="0" fontId="13" fillId="6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4" fillId="10" borderId="2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164" fontId="5" fillId="7" borderId="1" xfId="0" applyNumberFormat="1" applyFont="1" applyFill="1" applyBorder="1" applyAlignment="1">
      <x:alignment vertical="center"/>
    </x:xf>
    <x:xf numFmtId="0" fontId="10" fillId="7" borderId="1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164" fontId="10" fillId="7" borderId="1" xfId="0" applyNumberFormat="1" applyFont="1" applyFill="1" applyBorder="1" applyAlignment="1">
      <x:alignment vertical="center"/>
    </x:xf>
    <x:xf numFmtId="0" fontId="10" fillId="7" borderId="1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164" fontId="10" fillId="7" borderId="1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/>
    </x:xf>
    <x:xf numFmtId="164" fontId="5" fillId="7" borderId="3" xfId="0" applyNumberFormat="1" applyFont="1" applyFill="1" applyBorder="1" applyAlignment="1">
      <x:alignment vertical="center"/>
    </x:xf>
    <x:xf numFmtId="0" fontId="10" fillId="7" borderId="3" xfId="0" applyNumberFormat="1" applyFont="1" applyFill="1" applyBorder="1" applyAlignment="1">
      <x:alignment vertical="center"/>
    </x:xf>
    <x:xf numFmtId="0" fontId="10" fillId="7" borderId="2" xfId="0" applyNumberFormat="1" applyFont="1" applyFill="1" applyBorder="1" applyAlignment="1">
      <x:alignment vertical="center"/>
    </x:xf>
    <x:xf numFmtId="164" fontId="10" fillId="7" borderId="3" xfId="0" applyNumberFormat="1" applyFont="1" applyFill="1" applyBorder="1" applyAlignment="1">
      <x:alignment vertical="center"/>
    </x:xf>
    <x:xf numFmtId="0" fontId="10" fillId="7" borderId="3" xfId="0" applyNumberFormat="1" applyFont="1" applyFill="1" applyBorder="1" applyAlignment="1">
      <x:alignment vertical="center" wrapText="1"/>
    </x:xf>
    <x:xf numFmtId="0" fontId="10" fillId="7" borderId="2" xfId="0" applyNumberFormat="1" applyFont="1" applyFill="1" applyBorder="1" applyAlignment="1">
      <x:alignment vertical="center" wrapText="1"/>
    </x:xf>
    <x:xf numFmtId="164" fontId="10" fillId="7" borderId="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/>
    </x:xf>
    <x:xf numFmtId="0" fontId="4" fillId="12" borderId="1" xfId="0" applyNumberFormat="1" applyFont="1" applyFill="1" applyBorder="1" applyAlignment="1">
      <x:alignment vertical="center" wrapText="1"/>
    </x:xf>
    <x:xf numFmtId="0" fontId="4" fillId="12" borderId="3" xfId="0" applyNumberFormat="1" applyFont="1" applyFill="1" applyBorder="1" applyAlignment="1">
      <x:alignment vertical="center" wrapText="1"/>
    </x:xf>
    <x:xf numFmtId="4" fontId="5" fillId="13" borderId="5" xfId="0" applyNumberFormat="1" applyFont="1" applyFill="1" applyBorder="1" applyAlignment="1">
      <x:alignment vertical="center" wrapText="1"/>
    </x:xf>
    <x:xf numFmtId="0" fontId="5" fillId="13" borderId="6" xfId="0" applyNumberFormat="1" applyFont="1" applyFill="1" applyBorder="1" applyAlignment="1">
      <x:alignment vertical="center" wrapText="1"/>
    </x:xf>
    <x:xf numFmtId="4" fontId="5" fillId="13" borderId="8" xfId="0" applyNumberFormat="1" applyFont="1" applyFill="1" applyBorder="1" applyAlignment="1">
      <x:alignment vertical="center" wrapText="1"/>
    </x:xf>
    <x:xf numFmtId="0" fontId="5" fillId="13" borderId="9" xfId="0" applyNumberFormat="1" applyFont="1" applyFill="1" applyBorder="1" applyAlignment="1">
      <x:alignment vertical="center" wrapText="1"/>
    </x:xf>
    <x:xf numFmtId="4" fontId="5" fillId="13" borderId="11" xfId="0" applyNumberFormat="1" applyFont="1" applyFill="1" applyBorder="1" applyAlignment="1">
      <x:alignment vertical="center" wrapText="1"/>
    </x:xf>
    <x:xf numFmtId="0" fontId="5" fillId="13" borderId="12" xfId="0" applyNumberFormat="1" applyFont="1" applyFill="1" applyBorder="1" applyAlignment="1">
      <x:alignment vertical="center" wrapText="1"/>
    </x:xf>
    <x:xf numFmtId="4" fontId="5" fillId="13" borderId="14" xfId="0" applyNumberFormat="1" applyFont="1" applyFill="1" applyBorder="1" applyAlignment="1">
      <x:alignment vertical="center" wrapText="1"/>
    </x:xf>
    <x:xf numFmtId="0" fontId="5" fillId="13" borderId="15" xfId="0" applyNumberFormat="1" applyFont="1" applyFill="1" applyBorder="1" applyAlignment="1">
      <x:alignment vertical="center" wrapText="1"/>
    </x:xf>
    <x:xf numFmtId="4" fontId="5" fillId="13" borderId="17" xfId="0" applyNumberFormat="1" applyFont="1" applyFill="1" applyBorder="1" applyAlignment="1">
      <x:alignment vertical="center" wrapText="1"/>
    </x:xf>
    <x:xf numFmtId="0" fontId="5" fillId="13" borderId="18" xfId="0" applyNumberFormat="1" applyFont="1" applyFill="1" applyBorder="1" applyAlignment="1">
      <x:alignment vertical="center" wrapText="1"/>
    </x:xf>
    <x:xf numFmtId="4" fontId="5" fillId="13" borderId="20" xfId="0" applyNumberFormat="1" applyFont="1" applyFill="1" applyBorder="1" applyAlignment="1">
      <x:alignment vertical="center" wrapText="1"/>
    </x:xf>
    <x:xf numFmtId="0" fontId="5" fillId="13" borderId="2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4" fontId="4" fillId="12" borderId="1" xfId="0" applyNumberFormat="1" applyFont="1" applyFill="1" applyBorder="1" applyAlignment="1">
      <x:alignment vertical="center" wrapText="1"/>
    </x:xf>
    <x:xf numFmtId="4" fontId="5" fillId="12" borderId="1" xfId="0" applyNumberFormat="1" applyFont="1" applyFill="1" applyBorder="1" applyAlignment="1">
      <x:alignment vertical="center" wrapText="1"/>
    </x:xf>
    <x:xf numFmtId="0" fontId="9" fillId="12" borderId="1" xfId="0" applyNumberFormat="1" applyFont="1" applyFill="1" applyBorder="1" applyAlignment="1">
      <x:alignment vertical="center" wrapText="1"/>
    </x:xf>
    <x:xf numFmtId="4" fontId="9" fillId="12" borderId="1" xfId="0" applyNumberFormat="1" applyFont="1" applyFill="1" applyBorder="1" applyAlignment="1">
      <x:alignment vertical="center" wrapText="1"/>
    </x:xf>
    <x:xf numFmtId="0" fontId="5" fillId="12" borderId="3" xfId="0" applyNumberFormat="1" applyFont="1" applyFill="1" applyBorder="1" applyAlignment="1">
      <x:alignment vertical="center" wrapText="1"/>
    </x:xf>
    <x:xf numFmtId="4" fontId="4" fillId="12" borderId="3" xfId="0" applyNumberFormat="1" applyFont="1" applyFill="1" applyBorder="1" applyAlignment="1">
      <x:alignment vertical="center" wrapText="1"/>
    </x:xf>
    <x:xf numFmtId="4" fontId="5" fillId="12" borderId="3" xfId="0" applyNumberFormat="1" applyFont="1" applyFill="1" applyBorder="1" applyAlignment="1">
      <x:alignment vertical="center" wrapText="1"/>
    </x:xf>
    <x:xf numFmtId="0" fontId="9" fillId="12" borderId="3" xfId="0" applyNumberFormat="1" applyFont="1" applyFill="1" applyBorder="1" applyAlignment="1">
      <x:alignment vertical="center" wrapText="1"/>
    </x:xf>
    <x:xf numFmtId="4" fontId="9" fillId="12" borderId="3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vertical="center"/>
    </x:xf>
    <x:xf numFmtId="0" fontId="0" fillId="14" borderId="2" xfId="0" applyNumberFormat="1" applyFont="1" applyFill="1" applyBorder="1"/>
    <x:xf numFmtId="0" fontId="10" fillId="14" borderId="2" xfId="0" applyNumberFormat="1" applyFont="1" applyFill="1" applyBorder="1"/>
    <x:xf numFmtId="0" fontId="10" fillId="14" borderId="2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0" fillId="4" borderId="2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/>
    </x:xf>
    <x:xf numFmtId="0" fontId="14" fillId="4" borderId="2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horizontal="right" vertical="center"/>
    </x:xf>
    <x:xf numFmtId="0" fontId="15" fillId="4" borderId="2" xfId="0" applyNumberFormat="1" applyFont="1" applyFill="1" applyBorder="1" applyAlignment="1">
      <x:alignment vertical="center"/>
    </x:xf>
    <x:xf numFmtId="0" fontId="15" fillId="4" borderId="2" xfId="0" applyNumberFormat="1" applyFont="1" applyFill="1" applyBorder="1" applyAlignment="1">
      <x:alignment horizontal="right" vertical="center"/>
    </x:xf>
    <x:xf numFmtId="0" fontId="16" fillId="4" borderId="0" xfId="0" applyNumberFormat="1" applyFont="1" applyFill="1" applyBorder="1" applyAlignment="1">
      <x:alignment vertical="center"/>
    </x:xf>
    <x:xf numFmtId="0" fontId="16" fillId="4" borderId="2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vertical="center"/>
    </x:xf>
    <x:xf numFmtId="0" fontId="17" fillId="4" borderId="2" xfId="0" applyNumberFormat="1" applyFont="1" applyFill="1" applyBorder="1" applyAlignment="1">
      <x:alignment vertical="center"/>
    </x:xf>
    <x:xf numFmtId="0" fontId="10" fillId="15" borderId="0" xfId="0" applyNumberFormat="1" applyFont="1" applyFill="1" applyBorder="1" applyAlignment="1">
      <x:alignment vertical="center"/>
    </x:xf>
    <x:xf numFmtId="0" fontId="10" fillId="15" borderId="2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8" fillId="14" borderId="2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0" fillId="6" borderId="2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vertical="center"/>
    </x:xf>
    <x:xf numFmtId="0" fontId="18" fillId="6" borderId="2" xfId="0" applyNumberFormat="1" applyFont="1" applyFill="1" applyBorder="1" applyAlignment="1">
      <x:alignment vertical="center"/>
    </x:xf>
    <x:xf numFmtId="0" fontId="19" fillId="6" borderId="0" xfId="0" applyNumberFormat="1" applyFont="1" applyFill="1" applyBorder="1" applyAlignment="1">
      <x:alignment vertical="center"/>
    </x:xf>
    <x:xf numFmtId="200" fontId="19" fillId="6" borderId="0" xfId="0" applyNumberFormat="1" applyFont="1" applyFill="1" applyBorder="1" applyAlignment="1">
      <x:alignment vertical="center"/>
    </x:xf>
    <x:xf numFmtId="200" fontId="19" fillId="6" borderId="0" xfId="0" applyNumberFormat="1" applyFont="1" applyFill="1" applyBorder="1" applyAlignment="1">
      <x:alignment vertical="center" wrapText="1"/>
    </x:xf>
    <x:xf numFmtId="0" fontId="19" fillId="6" borderId="2" xfId="0" applyNumberFormat="1" applyFont="1" applyFill="1" applyBorder="1" applyAlignment="1">
      <x:alignment vertical="center"/>
    </x:xf>
    <x:xf numFmtId="200" fontId="19" fillId="6" borderId="2" xfId="0" applyNumberFormat="1" applyFont="1" applyFill="1" applyBorder="1" applyAlignment="1">
      <x:alignment vertical="center"/>
    </x:xf>
    <x:xf numFmtId="200" fontId="19" fillId="6" borderId="2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/>
    </x:xf>
    <x:xf numFmtId="0" fontId="9" fillId="14" borderId="2" xfId="0" applyNumberFormat="1" applyFont="1" applyFill="1" applyBorder="1" applyAlignment="1">
      <x:alignment vertical="center"/>
    </x:xf>
    <x:xf numFmtId="0" fontId="20" fillId="6" borderId="0" xfId="0" applyNumberFormat="1" applyFont="1" applyFill="1" applyBorder="1" applyAlignment="1">
      <x:alignment vertical="center"/>
    </x:xf>
    <x:xf numFmtId="0" fontId="20" fillId="6" borderId="0" xfId="0" applyNumberFormat="1" applyFont="1" applyFill="1" applyBorder="1" applyAlignment="1">
      <x:alignment vertical="center" wrapText="1"/>
    </x:xf>
    <x:xf numFmtId="0" fontId="20" fillId="6" borderId="2" xfId="0" applyNumberFormat="1" applyFont="1" applyFill="1" applyBorder="1" applyAlignment="1">
      <x:alignment vertical="center"/>
    </x:xf>
    <x:xf numFmtId="0" fontId="20" fillId="6" borderId="2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 wrapText="1"/>
    </x:xf>
    <x:xf numFmtId="0" fontId="8" fillId="14" borderId="2" xfId="0" applyNumberFormat="1" applyFont="1" applyFill="1" applyBorder="1" applyAlignment="1">
      <x:alignment vertical="center" wrapText="1"/>
    </x:xf>
    <x:xf numFmtId="0" fontId="21" fillId="4" borderId="0" xfId="0" applyNumberFormat="1" applyFont="1" applyFill="1" applyBorder="1" applyAlignment="1">
      <x:alignment vertical="center"/>
    </x:xf>
    <x:xf numFmtId="0" fontId="21" fillId="4" borderId="0" xfId="0" applyNumberFormat="1" applyFont="1" applyFill="1" applyBorder="1" applyAlignment="1">
      <x:alignment vertical="center" wrapText="1"/>
    </x:xf>
    <x:xf numFmtId="0" fontId="21" fillId="4" borderId="2" xfId="0" applyNumberFormat="1" applyFont="1" applyFill="1" applyBorder="1" applyAlignment="1">
      <x:alignment vertical="center"/>
    </x:xf>
    <x:xf numFmtId="0" fontId="21" fillId="4" borderId="2" xfId="0" applyNumberFormat="1" applyFont="1" applyFill="1" applyBorder="1" applyAlignment="1">
      <x:alignment vertical="center" wrapText="1"/>
    </x:xf>
    <x:xf numFmtId="0" fontId="22" fillId="14" borderId="0" xfId="0" applyNumberFormat="1" applyFont="1" applyFill="1" applyBorder="1" applyAlignment="1">
      <x:alignment vertical="center"/>
    </x:xf>
    <x:xf numFmtId="0" fontId="22" fillId="14" borderId="2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 wrapText="1"/>
    </x:xf>
    <x:xf numFmtId="0" fontId="10" fillId="8" borderId="2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 wrapText="1"/>
    </x:xf>
  </x:cellXfs>
  <x:cellStyles count="1">
    <x:cellStyle name="Обычный" xfId="0"/>
  </x:cellStyles>
  <x:dxfs count="5">
    <x:dxf>
      <x:font>
        <x:b/>
        <x:color rgb="FF923E38"/>
      </x:font>
      <x:fill>
        <x:patternFill patternType="solid">
          <x:bgColor rgb="FFFCEDEC"/>
        </x:patternFill>
      </x:fill>
    </x:dxf>
    <x:dxf>
      <x:font>
        <x:b/>
        <x:color rgb="FF923E38"/>
      </x:font>
      <x:fill>
        <x:patternFill patternType="solid">
          <x:bgColor rgb="FFFCEDEC"/>
        </x:patternFill>
      </x:fill>
    </x:dxf>
    <x:dxf>
      <x:font>
        <x:color rgb="FF345F53"/>
      </x:font>
      <x:fill>
        <x:patternFill patternType="solid">
          <x:bgColor rgb="FFEAF3EF"/>
        </x:patternFill>
      </x:fill>
    </x:dxf>
    <x:dxf>
      <x:font>
        <x:color rgb="FF846028"/>
      </x:font>
      <x:fill>
        <x:patternFill patternType="solid">
          <x:bgColor rgb="FFFFF1D7"/>
        </x:patternFill>
      </x:fill>
    </x:dxf>
    <x:dxf>
      <x:font>
        <x:color rgb="FF923E38"/>
      </x:font>
      <x:fill>
        <x:patternFill patternType="solid">
          <x:bgColor rgb="FFFC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d4481609d44e7" /><Relationship Type="http://schemas.openxmlformats.org/officeDocument/2006/relationships/theme" Target="/xl/theme/theme1.xml" Id="R057757683ad04014" /><Relationship Type="http://schemas.openxmlformats.org/officeDocument/2006/relationships/sharedStrings" Target="/xl/sharedStrings.xml" Id="R129fd73037584e4f" /><Relationship Type="http://schemas.openxmlformats.org/officeDocument/2006/relationships/worksheet" Target="/xl/worksheets/sheet1.xml" Id="Rb7636bae53894b30" /><Relationship Type="http://schemas.openxmlformats.org/officeDocument/2006/relationships/worksheet" Target="/xl/worksheets/sheet2.xml" Id="Rff71dcf6f72844dd" /><Relationship Type="http://schemas.openxmlformats.org/officeDocument/2006/relationships/worksheet" Target="/xl/worksheets/sheet3.xml" Id="Rf8f68b977eaa4a51" /><Relationship Type="http://schemas.openxmlformats.org/officeDocument/2006/relationships/worksheet" Target="/xl/worksheets/sheet4.xml" Id="R599f32918100404d" /><Relationship Type="http://schemas.openxmlformats.org/officeDocument/2006/relationships/worksheet" Target="/xl/worksheets/sheet5.xml" Id="Rf4dbd305c09842d6" /><Relationship Type="http://schemas.openxmlformats.org/officeDocument/2006/relationships/worksheet" Target="/xl/worksheets/sheet6.xml" Id="R8783c9a4d2ad4b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 tabSelected="0"/>
  </x:sheetViews>
  <x:sheetFormatPr defaultRowHeight="14.399999618530273"/>
  <x:cols>
    <x:col min="1" max="1" width="5" hidden="0" customWidth="1"/>
    <x:col min="2" max="2" width="13" hidden="0" customWidth="1"/>
    <x:col min="3" max="3" width="27" hidden="0" customWidth="1"/>
    <x:col min="4" max="4" width="26" hidden="0" customWidth="1"/>
    <x:col min="5" max="5" width="19" hidden="0" customWidth="1"/>
    <x:col min="6" max="6" width="23" hidden="0" customWidth="1"/>
    <x:col min="7" max="7" width="19" hidden="0" customWidth="1"/>
    <x:col min="8" max="8" width="19" hidden="0" customWidth="1"/>
    <x:col min="9" max="9" width="34" hidden="0" customWidth="1"/>
    <x:col min="10" max="10" width="22" hidden="0" customWidth="1"/>
    <x:col min="11" max="11" width="34" hidden="0" customWidth="1"/>
    <x:col min="12" max="12" width="49" hidden="0" customWidth="1"/>
    <x:col min="13" max="13" width="27" hidden="0" customWidth="1"/>
  </x:cols>
  <x:sheetData>
    <x:row r="1" ht="38" customHeight="1">
      <x:c r="A1" s="75" t="inlineStr">
        <x:is>
          <x:t>Реестр взаиморасчётов</x:t>
        </x:is>
      </x:c>
      <x:c r="B1" s="76"/>
      <x:c r="C1" s="76"/>
      <x:c r="D1" s="76"/>
      <x:c r="E1" s="76"/>
      <x:c r="F1" s="76"/>
      <x:c r="G1" s="76"/>
      <x:c r="H1" s="76"/>
      <x:c r="I1" s="76"/>
      <x:c r="J1" s="76"/>
      <x:c r="K1" s="250" t="str">
        <x:v>МАРЖА В БЕТОНЕ  /  УЧЁТ</x:v>
      </x:c>
      <x:c r="L1" s="250"/>
      <x:c r="M1" s="250"/>
    </x:row>
    <x:row r="2" ht="105" customHeight="1">
      <x:c r="A2" s="89" t="inlineStr">
        <x:is>
          <x:t>Одна строка — одна операция. Начисления вводите положительными суммами, оплаты и зачёты — тоже положительными: знак ставит тип операции. Каждая операция, влияющая на долг, относится к конкретному акту: идентификатор акта в колонке F должен совпадать со строкой листа «Долг по актам». Система не распределяет платежи между актами сама — очередность зачёта определяется назначением платежа и договором, и правовой вывод за вас никто не делает. Спорные операции — «Удержание», «Зачёт встречного требования», «Неустойка заявлена», «Допработы без соглашения (спорно)» — общий долг не уменьшают: их сумма показывается отдельно как спорная часть, у каждой обязателен акт. В расчёт процентов и претензию идёт только бесспорная часть. Строк 500; записи ниже таблицы блокируют итог, а не отбрасываются. Полученный аванс вносится один раз — «Зачётом аванса по договору»; сам авансовый платёж «Оплатой» не вносится. Если сумма «Оплаты» равна зачёту аванса, строка просит сверку: подтвердите в колонке K, что это отдельный платёж.</x:t>
        </x:is>
      </x:c>
      <x:c r="B2" s="89"/>
      <x:c r="C2" s="89"/>
      <x:c r="D2" s="89"/>
      <x:c r="E2" s="89"/>
      <x:c r="F2" s="89"/>
      <x:c r="G2" s="89"/>
      <x:c r="H2" s="89"/>
      <x:c r="I2" s="89"/>
      <x:c r="J2" s="89"/>
      <x:c r="K2" s="46"/>
      <x:c r="L2" s="46"/>
      <x:c r="M2" s="46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</x:row>
    <x:row r="4" ht="68" customHeight="1">
      <x:c r="A4" s="83" t="inlineStr">
        <x:is>
          <x:t>№</x:t>
        </x:is>
      </x:c>
      <x:c r="B4" s="83" t="inlineStr">
        <x:is>
          <x:t>Дата</x:t>
        </x:is>
      </x:c>
      <x:c r="C4" s="83" t="inlineStr">
        <x:is>
          <x:t>Тип операции</x:t>
        </x:is>
      </x:c>
      <x:c r="D4" s="83" t="inlineStr">
        <x:is>
          <x:t>Документ (№, дата)</x:t>
        </x:is>
      </x:c>
      <x:c r="E4" s="83" t="inlineStr">
        <x:is>
          <x:t>Сумма, руб.</x:t>
        </x:is>
      </x:c>
      <x:c r="F4" s="83" t="inlineStr">
        <x:is>
          <x:t>Акт (идентификатор, как в «Долг по актам»)</x:t>
        </x:is>
      </x:c>
      <x:c r="G4" s="83" t="inlineStr">
        <x:is>
          <x:t>Влияние на общий долг</x:t>
        </x:is>
      </x:c>
      <x:c r="H4" s="83" t="inlineStr">
        <x:is>
          <x:t>Спорная сумма (границы B2, B5)</x:t>
        </x:is>
      </x:c>
      <x:c r="I4" s="83" t="inlineStr">
        <x:is>
          <x:t>Проверка строки</x:t>
        </x:is>
      </x:c>
      <x:c r="J4" s="83" t="inlineStr">
        <x:is>
          <x:t>Общий долг нарастающим итогом</x:t>
        </x:is>
      </x:c>
      <x:c r="K4" s="83" t="inlineStr">
        <x:is>
          <x:t>Сверка с авансом (только если строка просит)</x:t>
        </x:is>
      </x:c>
      <x:c r="L4" s="208" t="inlineStr">
        <x:is>
          <x:t>Начислено по актам</x:t>
        </x:is>
      </x:c>
      <x:c r="M4" s="227">
        <x:f>SUMIF(C5:C504,"Начисление по акту",E5:E504)</x:f>
        <x:v>0</x:v>
      </x:c>
    </x:row>
    <x:row r="5" ht="29" customHeight="1">
      <x:c r="A5" s="198">
        <x:v>1</x:v>
      </x:c>
      <x:c r="B5" s="159"/>
      <x:c r="C5" s="160"/>
      <x:c r="D5" s="160"/>
      <x:c r="E5" s="161"/>
      <x:c r="F5" s="160"/>
      <x:c r="G5" s="183">
        <x:f t="shared" ref="G5:G68" si="0">IF(OR(C5="",E5=""),0,IF(C5="Начисление по акту",E5,IF(OR(C5="Оплата",C5="Зачёт аванса по договору"),-E5,IF(C5="Корректировка (подписана обеими сторонами)",E5,0))))</x:f>
        <x:v>0</x:v>
      </x:c>
      <x:c r="H5" s="183">
        <x:f t="shared" ref="H5:H68" si="1">IF(OR(C5="Удержание",C5="Зачёт встречного требования",C5="Неустойка заявлена",C5="Допработы без соглашения (спорно)"),N(E5),0)</x:f>
        <x:v>0</x:v>
      </x:c>
      <x:c r="I5" s="184">
        <x:f>IF(AND(B5="",C5="",D5="",E5="",F5=""),"",IF(OR(B5="",C5="",E5=""),"БЛОК: нужны дата, тип операции и сумма",IF(N(E5)&lt;=0,"БЛОК: сумма должна быть больше нуля",IF(AND(H5&lt;&gt;0,F5=""),"БЛОК: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отделить",IF(AND(G5&lt;&gt;0,F5=""),"БЛОК: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нельзя",IF(AND(F5&lt;&gt;"",COUNTIF('Долг по актам'!$B$5:$B$34,F5)=0),"БЛОК: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договору")&gt;0)*($C$5:$C$504&lt;&gt;C5)*($E$5:$E$504=E5)*(($D$5:$D$504=D5)*(D5&lt;&gt;"")+($B$5:$B$504=B5)*(B5&lt;&gt;"")&gt;0))&gt;0,"БЛОК: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операцию",IF(AND(C5="Оплата",K5&lt;&gt;"Отдельный платёж — не сам аванс (сверено с выпиской банка)",OR(COUNTIFS($C$5:$C$504,"Зачёт аванса по договору",$E$5:$E$504,E5)&gt;0,ROUND(E5-$M$6,2)=0)),"БЛОК: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" s="183" t="str">
        <x:f>IF(AND(B5="",C5="",E5=""),"",SUM($G$5:G5))</x:f>
        <x:v/>
      </x:c>
      <x:c r="K5" s="177"/>
      <x:c r="L5" s="210" t="inlineStr">
        <x:is>
          <x:t>Оплачено</x:t>
        </x:is>
      </x:c>
      <x:c r="M5" s="228">
        <x:f>SUMIF(C5:C504,"Оплата",E5:E504)</x:f>
        <x:v>0</x:v>
      </x:c>
    </x:row>
    <x:row r="6" ht="29" customHeight="1">
      <x:c r="A6" s="199">
        <x:v>2</x:v>
      </x:c>
      <x:c r="B6" s="162"/>
      <x:c r="C6" s="163"/>
      <x:c r="D6" s="163"/>
      <x:c r="E6" s="164"/>
      <x:c r="F6" s="163"/>
      <x:c r="G6" s="185">
        <x:f t="shared" si="0"/>
        <x:v>0</x:v>
      </x:c>
      <x:c r="H6" s="185">
        <x:f t="shared" si="1"/>
        <x:v>0</x:v>
      </x:c>
      <x:c r="I6" s="186">
        <x:f>IF(AND(B6="",C6="",D6="",E6="",F6=""),"",IF(OR(B6="",C6="",E6=""),"БЛОК: нужны дата, тип операции и сумма",IF(N(E6)&lt;=0,"БЛОК: сумма должна быть больше нуля",IF(AND(H6&lt;&gt;0,F6=""),"БЛОК: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отделить",IF(AND(G6&lt;&gt;0,F6=""),"БЛОК: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нельзя",IF(AND(F6&lt;&gt;"",COUNTIF('Долг по актам'!$B$5:$B$34,F6)=0),"БЛОК: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договору")&gt;0)*($C$5:$C$504&lt;&gt;C6)*($E$5:$E$504=E6)*(($D$5:$D$504=D6)*(D6&lt;&gt;"")+($B$5:$B$504=B6)*(B6&lt;&gt;"")&gt;0))&gt;0,"БЛОК: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операцию",IF(AND(C6="Оплата",K6&lt;&gt;"Отдельный платёж — не сам аванс (сверено с выпиской банка)",OR(COUNTIFS($C$5:$C$504,"Зачёт аванса по договору",$E$5:$E$504,E6)&gt;0,ROUND(E6-$M$6,2)=0)),"БЛОК: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" s="185" t="str">
        <x:f>IF(AND(B6="",C6="",E6=""),"",SUM($G$5:G6))</x:f>
        <x:v/>
      </x:c>
      <x:c r="K6" s="178"/>
      <x:c r="L6" s="210" t="inlineStr">
        <x:is>
          <x:t>Зачтён аванс</x:t>
        </x:is>
      </x:c>
      <x:c r="M6" s="228">
        <x:f>SUMIF(C5:C504,"Зачёт аванса по договору",E5:E504)</x:f>
        <x:v>0</x:v>
      </x:c>
    </x:row>
    <x:row r="7" ht="29" customHeight="1">
      <x:c r="A7" s="199">
        <x:v>3</x:v>
      </x:c>
      <x:c r="B7" s="162"/>
      <x:c r="C7" s="163"/>
      <x:c r="D7" s="163"/>
      <x:c r="E7" s="164"/>
      <x:c r="F7" s="163"/>
      <x:c r="G7" s="185">
        <x:f t="shared" si="0"/>
        <x:v>0</x:v>
      </x:c>
      <x:c r="H7" s="185">
        <x:f t="shared" si="1"/>
        <x:v>0</x:v>
      </x:c>
      <x:c r="I7" s="186">
        <x:f>IF(AND(B7="",C7="",D7="",E7="",F7=""),"",IF(OR(B7="",C7="",E7=""),"БЛОК: нужны дата, тип операции и сумма",IF(N(E7)&lt;=0,"БЛОК: сумма должна быть больше нуля",IF(AND(H7&lt;&gt;0,F7=""),"БЛОК: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отделить",IF(AND(G7&lt;&gt;0,F7=""),"БЛОК: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нельзя",IF(AND(F7&lt;&gt;"",COUNTIF('Долг по актам'!$B$5:$B$34,F7)=0),"БЛОК: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договору")&gt;0)*($C$5:$C$504&lt;&gt;C7)*($E$5:$E$504=E7)*(($D$5:$D$504=D7)*(D7&lt;&gt;"")+($B$5:$B$504=B7)*(B7&lt;&gt;"")&gt;0))&gt;0,"БЛОК: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операцию",IF(AND(C7="Оплата",K7&lt;&gt;"Отдельный платёж — не сам аванс (сверено с выпиской банка)",OR(COUNTIFS($C$5:$C$504,"Зачёт аванса по договору",$E$5:$E$504,E7)&gt;0,ROUND(E7-$M$6,2)=0)),"БЛОК: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" s="185" t="str">
        <x:f>IF(AND(B7="",C7="",E7=""),"",SUM($G$5:G7))</x:f>
        <x:v/>
      </x:c>
      <x:c r="K7" s="178"/>
      <x:c r="L7" s="210" t="inlineStr">
        <x:is>
          <x:t>Корректировки</x:t>
        </x:is>
      </x:c>
      <x:c r="M7" s="228">
        <x:f>SUMIF(C5:C504,"Корректировка (подписана обеими сторонами)",E5:E504)</x:f>
        <x:v>0</x:v>
      </x:c>
    </x:row>
    <x:row r="8" ht="29" customHeight="1">
      <x:c r="A8" s="199">
        <x:v>4</x:v>
      </x:c>
      <x:c r="B8" s="162"/>
      <x:c r="C8" s="163"/>
      <x:c r="D8" s="163"/>
      <x:c r="E8" s="164"/>
      <x:c r="F8" s="163"/>
      <x:c r="G8" s="185">
        <x:f t="shared" si="0"/>
        <x:v>0</x:v>
      </x:c>
      <x:c r="H8" s="185">
        <x:f t="shared" si="1"/>
        <x:v>0</x:v>
      </x:c>
      <x:c r="I8" s="186">
        <x:f>IF(AND(B8="",C8="",D8="",E8="",F8=""),"",IF(OR(B8="",C8="",E8=""),"БЛОК: нужны дата, тип операции и сумма",IF(N(E8)&lt;=0,"БЛОК: сумма должна быть больше нуля",IF(AND(H8&lt;&gt;0,F8=""),"БЛОК: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отделить",IF(AND(G8&lt;&gt;0,F8=""),"БЛОК: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нельзя",IF(AND(F8&lt;&gt;"",COUNTIF('Долг по актам'!$B$5:$B$34,F8)=0),"БЛОК: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договору")&gt;0)*($C$5:$C$504&lt;&gt;C8)*($E$5:$E$504=E8)*(($D$5:$D$504=D8)*(D8&lt;&gt;"")+($B$5:$B$504=B8)*(B8&lt;&gt;"")&gt;0))&gt;0,"БЛОК: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операцию",IF(AND(C8="Оплата",K8&lt;&gt;"Отдельный платёж — не сам аванс (сверено с выпиской банка)",OR(COUNTIFS($C$5:$C$504,"Зачёт аванса по договору",$E$5:$E$504,E8)&gt;0,ROUND(E8-$M$6,2)=0)),"БЛОК: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" s="185" t="str">
        <x:f>IF(AND(B8="",C8="",E8=""),"",SUM($G$5:G8))</x:f>
        <x:v/>
      </x:c>
      <x:c r="K8" s="178"/>
      <x:c r="L8" s="210" t="inlineStr">
        <x:is>
          <x:t>Спорные операции (удержание, зачёт встречного требования, неустойка, допработы без соглашения)</x:t>
        </x:is>
      </x:c>
      <x:c r="M8" s="228">
        <x:f>SUM(H5:H504)</x:f>
        <x:v>0</x:v>
      </x:c>
    </x:row>
    <x:row r="9" ht="29" customHeight="1">
      <x:c r="A9" s="199">
        <x:v>5</x:v>
      </x:c>
      <x:c r="B9" s="162"/>
      <x:c r="C9" s="163"/>
      <x:c r="D9" s="163"/>
      <x:c r="E9" s="164"/>
      <x:c r="F9" s="163"/>
      <x:c r="G9" s="185">
        <x:f t="shared" si="0"/>
        <x:v>0</x:v>
      </x:c>
      <x:c r="H9" s="185">
        <x:f t="shared" si="1"/>
        <x:v>0</x:v>
      </x:c>
      <x:c r="I9" s="186">
        <x:f>IF(AND(B9="",C9="",D9="",E9="",F9=""),"",IF(OR(B9="",C9="",E9=""),"БЛОК: нужны дата, тип операции и сумма",IF(N(E9)&lt;=0,"БЛОК: сумма должна быть больше нуля",IF(AND(H9&lt;&gt;0,F9=""),"БЛОК: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отделить",IF(AND(G9&lt;&gt;0,F9=""),"БЛОК: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нельзя",IF(AND(F9&lt;&gt;"",COUNTIF('Долг по актам'!$B$5:$B$34,F9)=0),"БЛОК: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договору")&gt;0)*($C$5:$C$504&lt;&gt;C9)*($E$5:$E$504=E9)*(($D$5:$D$504=D9)*(D9&lt;&gt;"")+($B$5:$B$504=B9)*(B9&lt;&gt;"")&gt;0))&gt;0,"БЛОК: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операцию",IF(AND(C9="Оплата",K9&lt;&gt;"Отдельный платёж — не сам аванс (сверено с выпиской банка)",OR(COUNTIFS($C$5:$C$504,"Зачёт аванса по договору",$E$5:$E$504,E9)&gt;0,ROUND(E9-$M$6,2)=0)),"БЛОК: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" s="185" t="str">
        <x:f>IF(AND(B9="",C9="",E9=""),"",SUM($G$5:G9))</x:f>
        <x:v/>
      </x:c>
      <x:c r="K9" s="178"/>
      <x:c r="L9" s="210" t="inlineStr">
        <x:is>
          <x:t>Операций ниже таблицы (не учтены)</x:t>
        </x:is>
      </x:c>
      <x:c r="M9" s="228">
        <x:f>COUNTA(A505:J3000)</x:f>
        <x:v>0</x:v>
      </x:c>
    </x:row>
    <x:row r="10" ht="29" customHeight="1">
      <x:c r="A10" s="199">
        <x:v>6</x:v>
      </x:c>
      <x:c r="B10" s="162"/>
      <x:c r="C10" s="163"/>
      <x:c r="D10" s="163"/>
      <x:c r="E10" s="164"/>
      <x:c r="F10" s="163"/>
      <x:c r="G10" s="185">
        <x:f t="shared" si="0"/>
        <x:v>0</x:v>
      </x:c>
      <x:c r="H10" s="185">
        <x:f t="shared" si="1"/>
        <x:v>0</x:v>
      </x:c>
      <x:c r="I10" s="186">
        <x:f>IF(AND(B10="",C10="",D10="",E10="",F10=""),"",IF(OR(B10="",C10="",E10=""),"БЛОК: нужны дата, тип операции и сумма",IF(N(E10)&lt;=0,"БЛОК: сумма должна быть больше нуля",IF(AND(H10&lt;&gt;0,F10=""),"БЛОК: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отделить",IF(AND(G10&lt;&gt;0,F10=""),"БЛОК: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нельзя",IF(AND(F10&lt;&gt;"",COUNTIF('Долг по актам'!$B$5:$B$34,F10)=0),"БЛОК: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договору")&gt;0)*($C$5:$C$504&lt;&gt;C10)*($E$5:$E$504=E10)*(($D$5:$D$504=D10)*(D10&lt;&gt;"")+($B$5:$B$504=B10)*(B10&lt;&gt;"")&gt;0))&gt;0,"БЛОК: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операцию",IF(AND(C10="Оплата",K10&lt;&gt;"Отдельный платёж — не сам аванс (сверено с выпиской банка)",OR(COUNTIFS($C$5:$C$504,"Зачёт аванса по договору",$E$5:$E$504,E10)&gt;0,ROUND(E10-$M$6,2)=0)),"БЛОК: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" s="185" t="str">
        <x:f>IF(AND(B10="",C10="",E10=""),"",SUM($G$5:G10))</x:f>
        <x:v/>
      </x:c>
      <x:c r="K10" s="178"/>
      <x:c r="L10" s="221" t="inlineStr">
        <x:is>
          <x:t>ОБЩИЙ ДОЛГ ПО ДАННЫМ СУБПОДРЯДЧИКА, руб.</x:t>
        </x:is>
      </x:c>
      <x:c r="M10" s="229">
        <x:f>IF(OR(M9&gt;0,M14&gt;0,M15&gt;0),"ИТОГ ЗАБЛОКИРОВАН: см. колонку «Проверка строки» и строки свода",M4-M5-M6+M7)</x:f>
        <x:v>0</x:v>
      </x:c>
    </x:row>
    <x:row r="11" ht="29" customHeight="1">
      <x:c r="A11" s="199">
        <x:v>7</x:v>
      </x:c>
      <x:c r="B11" s="162"/>
      <x:c r="C11" s="163"/>
      <x:c r="D11" s="163"/>
      <x:c r="E11" s="164"/>
      <x:c r="F11" s="163"/>
      <x:c r="G11" s="185">
        <x:f t="shared" si="0"/>
        <x:v>0</x:v>
      </x:c>
      <x:c r="H11" s="185">
        <x:f t="shared" si="1"/>
        <x:v>0</x:v>
      </x:c>
      <x:c r="I11" s="186">
        <x:f>IF(AND(B11="",C11="",D11="",E11="",F11=""),"",IF(OR(B11="",C11="",E11=""),"БЛОК: нужны дата, тип операции и сумма",IF(N(E11)&lt;=0,"БЛОК: сумма должна быть больше нуля",IF(AND(H11&lt;&gt;0,F11=""),"БЛОК: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отделить",IF(AND(G11&lt;&gt;0,F11=""),"БЛОК: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нельзя",IF(AND(F11&lt;&gt;"",COUNTIF('Долг по актам'!$B$5:$B$34,F11)=0),"БЛОК: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договору")&gt;0)*($C$5:$C$504&lt;&gt;C11)*($E$5:$E$504=E11)*(($D$5:$D$504=D11)*(D11&lt;&gt;"")+($B$5:$B$504=B11)*(B11&lt;&gt;"")&gt;0))&gt;0,"БЛОК: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операцию",IF(AND(C11="Оплата",K11&lt;&gt;"Отдельный платёж — не сам аванс (сверено с выпиской банка)",OR(COUNTIFS($C$5:$C$504,"Зачёт аванса по договору",$E$5:$E$504,E11)&gt;0,ROUND(E11-$M$6,2)=0)),"БЛОК: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" s="185" t="str">
        <x:f>IF(AND(B11="",C11="",E11=""),"",SUM($G$5:G11))</x:f>
        <x:v/>
      </x:c>
      <x:c r="K11" s="178"/>
      <x:c r="L11" s="221" t="inlineStr">
        <x:is>
          <x:t>СПОРНАЯ ЧАСТЬ, руб. (в том числе оспаривается Заказчиком)</x:t>
        </x:is>
      </x:c>
      <x:c r="M11" s="229">
        <x:f>IF(NOT(ISNUMBER(M10)),"ИТОГ ЗАБЛОКИРОВАН: см. строку общего долга",M8)</x:f>
        <x:v>0</x:v>
      </x:c>
    </x:row>
    <x:row r="12" ht="29" customHeight="1">
      <x:c r="A12" s="199">
        <x:v>8</x:v>
      </x:c>
      <x:c r="B12" s="162"/>
      <x:c r="C12" s="163"/>
      <x:c r="D12" s="163"/>
      <x:c r="E12" s="164"/>
      <x:c r="F12" s="163"/>
      <x:c r="G12" s="185">
        <x:f t="shared" si="0"/>
        <x:v>0</x:v>
      </x:c>
      <x:c r="H12" s="185">
        <x:f t="shared" si="1"/>
        <x:v>0</x:v>
      </x:c>
      <x:c r="I12" s="186">
        <x:f>IF(AND(B12="",C12="",D12="",E12="",F12=""),"",IF(OR(B12="",C12="",E12=""),"БЛОК: нужны дата, тип операции и сумма",IF(N(E12)&lt;=0,"БЛОК: сумма должна быть больше нуля",IF(AND(H12&lt;&gt;0,F12=""),"БЛОК: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отделить",IF(AND(G12&lt;&gt;0,F12=""),"БЛОК: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нельзя",IF(AND(F12&lt;&gt;"",COUNTIF('Долг по актам'!$B$5:$B$34,F12)=0),"БЛОК: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договору")&gt;0)*($C$5:$C$504&lt;&gt;C12)*($E$5:$E$504=E12)*(($D$5:$D$504=D12)*(D12&lt;&gt;"")+($B$5:$B$504=B12)*(B12&lt;&gt;"")&gt;0))&gt;0,"БЛОК: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операцию",IF(AND(C12="Оплата",K12&lt;&gt;"Отдельный платёж — не сам аванс (сверено с выпиской банка)",OR(COUNTIFS($C$5:$C$504,"Зачёт аванса по договору",$E$5:$E$504,E12)&gt;0,ROUND(E12-$M$6,2)=0)),"БЛОК: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" s="185" t="str">
        <x:f>IF(AND(B12="",C12="",E12=""),"",SUM($G$5:G12))</x:f>
        <x:v/>
      </x:c>
      <x:c r="K12" s="178"/>
      <x:c r="L12" s="221" t="inlineStr">
        <x:is>
          <x:t>БЕССПОРНАЯ ЧАСТЬ, руб. (общий долг − спорная часть; по актам — лист «Долг по актам»)</x:t>
        </x:is>
      </x:c>
      <x:c r="M12" s="229">
        <x:f>IF(NOT(ISNUMBER(M10)),"ИТОГ ЗАБЛОКИРОВАН: см. строку общего долга",IF(OR(M11&gt;M10,COUNTIF('Долг по актам'!$N$5:$N$34,"БЛОК: спорная*")&gt;0),"БЛОК: спорная часть больше общего долга (в целом или по акту) — проверьте суммы спорных операций и акты, к которым они отнесены: бесспорная часть не может быть отрицательной",M10-M11))</x:f>
        <x:v>0</x:v>
      </x:c>
    </x:row>
    <x:row r="13" ht="29" customHeight="1">
      <x:c r="A13" s="199">
        <x:v>9</x:v>
      </x:c>
      <x:c r="B13" s="162"/>
      <x:c r="C13" s="163"/>
      <x:c r="D13" s="163"/>
      <x:c r="E13" s="164"/>
      <x:c r="F13" s="163"/>
      <x:c r="G13" s="185">
        <x:f t="shared" si="0"/>
        <x:v>0</x:v>
      </x:c>
      <x:c r="H13" s="185">
        <x:f t="shared" si="1"/>
        <x:v>0</x:v>
      </x:c>
      <x:c r="I13" s="186">
        <x:f>IF(AND(B13="",C13="",D13="",E13="",F13=""),"",IF(OR(B13="",C13="",E13=""),"БЛОК: нужны дата, тип операции и сумма",IF(N(E13)&lt;=0,"БЛОК: сумма должна быть больше нуля",IF(AND(H13&lt;&gt;0,F13=""),"БЛОК: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отделить",IF(AND(G13&lt;&gt;0,F13=""),"БЛОК: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нельзя",IF(AND(F13&lt;&gt;"",COUNTIF('Долг по актам'!$B$5:$B$34,F13)=0),"БЛОК: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договору")&gt;0)*($C$5:$C$504&lt;&gt;C13)*($E$5:$E$504=E13)*(($D$5:$D$504=D13)*(D13&lt;&gt;"")+($B$5:$B$504=B13)*(B13&lt;&gt;"")&gt;0))&gt;0,"БЛОК: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операцию",IF(AND(C13="Оплата",K13&lt;&gt;"Отдельный платёж — не сам аванс (сверено с выпиской банка)",OR(COUNTIFS($C$5:$C$504,"Зачёт аванса по договору",$E$5:$E$504,E13)&gt;0,ROUND(E13-$M$6,2)=0)),"БЛОК: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" s="185" t="str">
        <x:f>IF(AND(B13="",C13="",E13=""),"",SUM($G$5:G13))</x:f>
        <x:v/>
      </x:c>
      <x:c r="K13" s="178"/>
      <x:c r="L13" s="210" t="inlineStr">
        <x:is>
          <x:t>Граница</x:t>
        </x:is>
      </x:c>
      <x:c r="M13" s="228" t="str">
        <x:f>IF(M8&gt;0,TRIM(IF(M8-SUMIF(C5:C504,"Допработы без соглашения (спорно)",E5:E504)&gt;0,"ГРАНИЦА B2: удержание, зачёт встречного требования, неустойка на сумму "&amp;FIXED(M8-SUMIF(C5:C504,"Допработы без соглашения (спорно)",E5:E504),2)&amp;" руб. — к специалисту. ","")&amp;IF(SUMIF(C5:C504,"Допработы без соглашения (спорно)",E5:E504)&gt;0,"ГРАНИЦА B5: допработы без соглашения на сумму "&amp;FIXED(SUMIF(C5:C504,"Допработы без соглашения (спорно)",E5:E504),2)&amp;" руб. — к специалисту.","")),"нет")</x:f>
        <x:v>нет</x:v>
      </x:c>
    </x:row>
    <x:row r="14" ht="29" customHeight="1">
      <x:c r="A14" s="199">
        <x:v>10</x:v>
      </x:c>
      <x:c r="B14" s="162"/>
      <x:c r="C14" s="163"/>
      <x:c r="D14" s="163"/>
      <x:c r="E14" s="164"/>
      <x:c r="F14" s="163"/>
      <x:c r="G14" s="185">
        <x:f t="shared" si="0"/>
        <x:v>0</x:v>
      </x:c>
      <x:c r="H14" s="185">
        <x:f t="shared" si="1"/>
        <x:v>0</x:v>
      </x:c>
      <x:c r="I14" s="186">
        <x:f>IF(AND(B14="",C14="",D14="",E14="",F14=""),"",IF(OR(B14="",C14="",E14=""),"БЛОК: нужны дата, тип операции и сумма",IF(N(E14)&lt;=0,"БЛОК: сумма должна быть больше нуля",IF(AND(H14&lt;&gt;0,F14=""),"БЛОК: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отделить",IF(AND(G14&lt;&gt;0,F14=""),"БЛОК: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нельзя",IF(AND(F14&lt;&gt;"",COUNTIF('Долг по актам'!$B$5:$B$34,F14)=0),"БЛОК: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договору")&gt;0)*($C$5:$C$504&lt;&gt;C14)*($E$5:$E$504=E14)*(($D$5:$D$504=D14)*(D14&lt;&gt;"")+($B$5:$B$504=B14)*(B14&lt;&gt;"")&gt;0))&gt;0,"БЛОК: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операцию",IF(AND(C14="Оплата",K14&lt;&gt;"Отдельный платёж — не сам аванс (сверено с выпиской банка)",OR(COUNTIFS($C$5:$C$504,"Зачёт аванса по договору",$E$5:$E$504,E14)&gt;0,ROUND(E14-$M$6,2)=0)),"БЛОК: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" s="185" t="str">
        <x:f>IF(AND(B14="",C14="",E14=""),"",SUM($G$5:G14))</x:f>
        <x:v/>
      </x:c>
      <x:c r="K14" s="178"/>
      <x:c r="L14" s="210" t="inlineStr">
        <x:is>
          <x:t>Операций без типа или суммы</x:t>
        </x:is>
      </x:c>
      <x:c r="M14" s="228">
        <x:f>SUMPRODUCT((B5:B504&lt;&gt;"")*(((C5:C504="")+(E5:E504=""))&gt;0))</x:f>
        <x:v>0</x:v>
      </x:c>
    </x:row>
    <x:row r="15" ht="29" customHeight="1">
      <x:c r="A15" s="199">
        <x:v>11</x:v>
      </x:c>
      <x:c r="B15" s="162"/>
      <x:c r="C15" s="163"/>
      <x:c r="D15" s="163"/>
      <x:c r="E15" s="164"/>
      <x:c r="F15" s="163"/>
      <x:c r="G15" s="185">
        <x:f t="shared" si="0"/>
        <x:v>0</x:v>
      </x:c>
      <x:c r="H15" s="185">
        <x:f t="shared" si="1"/>
        <x:v>0</x:v>
      </x:c>
      <x:c r="I15" s="186">
        <x:f>IF(AND(B15="",C15="",D15="",E15="",F15=""),"",IF(OR(B15="",C15="",E15=""),"БЛОК: нужны дата, тип операции и сумма",IF(N(E15)&lt;=0,"БЛОК: сумма должна быть больше нуля",IF(AND(H15&lt;&gt;0,F15=""),"БЛОК: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отделить",IF(AND(G15&lt;&gt;0,F15=""),"БЛОК: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нельзя",IF(AND(F15&lt;&gt;"",COUNTIF('Долг по актам'!$B$5:$B$34,F15)=0),"БЛОК: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договору")&gt;0)*($C$5:$C$504&lt;&gt;C15)*($E$5:$E$504=E15)*(($D$5:$D$504=D15)*(D15&lt;&gt;"")+($B$5:$B$504=B15)*(B15&lt;&gt;"")&gt;0))&gt;0,"БЛОК: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операцию",IF(AND(C15="Оплата",K15&lt;&gt;"Отдельный платёж — не сам аванс (сверено с выпиской банка)",OR(COUNTIFS($C$5:$C$504,"Зачёт аванса по договору",$E$5:$E$504,E15)&gt;0,ROUND(E15-$M$6,2)=0)),"БЛОК: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" s="185" t="str">
        <x:f>IF(AND(B15="",C15="",E15=""),"",SUM($G$5:G15))</x:f>
        <x:v/>
      </x:c>
      <x:c r="K15" s="178"/>
      <x:c r="L15" s="212" t="inlineStr">
        <x:is>
          <x:t>Строк с ошибкой в колонке «Проверка строки»</x:t>
        </x:is>
      </x:c>
      <x:c r="M15" s="230">
        <x:f>COUNTIF(I5:I504,"БЛОК*")</x:f>
        <x:v>0</x:v>
      </x:c>
    </x:row>
    <x:row r="16" ht="29" customHeight="1">
      <x:c r="A16" s="199">
        <x:v>12</x:v>
      </x:c>
      <x:c r="B16" s="162"/>
      <x:c r="C16" s="163"/>
      <x:c r="D16" s="163"/>
      <x:c r="E16" s="164"/>
      <x:c r="F16" s="163"/>
      <x:c r="G16" s="185">
        <x:f t="shared" si="0"/>
        <x:v>0</x:v>
      </x:c>
      <x:c r="H16" s="185">
        <x:f t="shared" si="1"/>
        <x:v>0</x:v>
      </x:c>
      <x:c r="I16" s="186">
        <x:f>IF(AND(B16="",C16="",D16="",E16="",F16=""),"",IF(OR(B16="",C16="",E16=""),"БЛОК: нужны дата, тип операции и сумма",IF(N(E16)&lt;=0,"БЛОК: сумма должна быть больше нуля",IF(AND(H16&lt;&gt;0,F16=""),"БЛОК: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отделить",IF(AND(G16&lt;&gt;0,F16=""),"БЛОК: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нельзя",IF(AND(F16&lt;&gt;"",COUNTIF('Долг по актам'!$B$5:$B$34,F16)=0),"БЛОК: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договору")&gt;0)*($C$5:$C$504&lt;&gt;C16)*($E$5:$E$504=E16)*(($D$5:$D$504=D16)*(D16&lt;&gt;"")+($B$5:$B$504=B16)*(B16&lt;&gt;"")&gt;0))&gt;0,"БЛОК: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операцию",IF(AND(C16="Оплата",K16&lt;&gt;"Отдельный платёж — не сам аванс (сверено с выпиской банка)",OR(COUNTIFS($C$5:$C$504,"Зачёт аванса по договору",$E$5:$E$504,E16)&gt;0,ROUND(E16-$M$6,2)=0)),"БЛОК: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" s="185" t="str">
        <x:f>IF(AND(B16="",C16="",E16=""),"",SUM($G$5:G16))</x:f>
        <x:v/>
      </x:c>
      <x:c r="K16" s="178"/>
      <x:c r="L16" s="46"/>
      <x:c r="M16" s="46"/>
    </x:row>
    <x:row r="17" ht="29" customHeight="1">
      <x:c r="A17" s="199">
        <x:v>13</x:v>
      </x:c>
      <x:c r="B17" s="162"/>
      <x:c r="C17" s="163"/>
      <x:c r="D17" s="163"/>
      <x:c r="E17" s="164"/>
      <x:c r="F17" s="163"/>
      <x:c r="G17" s="185">
        <x:f t="shared" si="0"/>
        <x:v>0</x:v>
      </x:c>
      <x:c r="H17" s="185">
        <x:f t="shared" si="1"/>
        <x:v>0</x:v>
      </x:c>
      <x:c r="I17" s="186">
        <x:f>IF(AND(B17="",C17="",D17="",E17="",F17=""),"",IF(OR(B17="",C17="",E17=""),"БЛОК: нужны дата, тип операции и сумма",IF(N(E17)&lt;=0,"БЛОК: сумма должна быть больше нуля",IF(AND(H17&lt;&gt;0,F17=""),"БЛОК: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отделить",IF(AND(G17&lt;&gt;0,F17=""),"БЛОК: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нельзя",IF(AND(F17&lt;&gt;"",COUNTIF('Долг по актам'!$B$5:$B$34,F17)=0),"БЛОК: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договору")&gt;0)*($C$5:$C$504&lt;&gt;C17)*($E$5:$E$504=E17)*(($D$5:$D$504=D17)*(D17&lt;&gt;"")+($B$5:$B$504=B17)*(B17&lt;&gt;"")&gt;0))&gt;0,"БЛОК: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операцию",IF(AND(C17="Оплата",K17&lt;&gt;"Отдельный платёж — не сам аванс (сверено с выпиской банка)",OR(COUNTIFS($C$5:$C$504,"Зачёт аванса по договору",$E$5:$E$504,E17)&gt;0,ROUND(E17-$M$6,2)=0)),"БЛОК: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" s="185" t="str">
        <x:f>IF(AND(B17="",C17="",E17=""),"",SUM($G$5:G17))</x:f>
        <x:v/>
      </x:c>
      <x:c r="K17" s="178"/>
      <x:c r="L17" s="46"/>
      <x:c r="M17" s="46"/>
    </x:row>
    <x:row r="18" ht="29" customHeight="1">
      <x:c r="A18" s="199">
        <x:v>14</x:v>
      </x:c>
      <x:c r="B18" s="162"/>
      <x:c r="C18" s="163"/>
      <x:c r="D18" s="163"/>
      <x:c r="E18" s="164"/>
      <x:c r="F18" s="163"/>
      <x:c r="G18" s="185">
        <x:f t="shared" si="0"/>
        <x:v>0</x:v>
      </x:c>
      <x:c r="H18" s="185">
        <x:f t="shared" si="1"/>
        <x:v>0</x:v>
      </x:c>
      <x:c r="I18" s="186">
        <x:f>IF(AND(B18="",C18="",D18="",E18="",F18=""),"",IF(OR(B18="",C18="",E18=""),"БЛОК: нужны дата, тип операции и сумма",IF(N(E18)&lt;=0,"БЛОК: сумма должна быть больше нуля",IF(AND(H18&lt;&gt;0,F18=""),"БЛОК: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отделить",IF(AND(G18&lt;&gt;0,F18=""),"БЛОК: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нельзя",IF(AND(F18&lt;&gt;"",COUNTIF('Долг по актам'!$B$5:$B$34,F18)=0),"БЛОК: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договору")&gt;0)*($C$5:$C$504&lt;&gt;C18)*($E$5:$E$504=E18)*(($D$5:$D$504=D18)*(D18&lt;&gt;"")+($B$5:$B$504=B18)*(B18&lt;&gt;"")&gt;0))&gt;0,"БЛОК: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операцию",IF(AND(C18="Оплата",K18&lt;&gt;"Отдельный платёж — не сам аванс (сверено с выпиской банка)",OR(COUNTIFS($C$5:$C$504,"Зачёт аванса по договору",$E$5:$E$504,E18)&gt;0,ROUND(E18-$M$6,2)=0)),"БЛОК: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" s="185" t="str">
        <x:f>IF(AND(B18="",C18="",E18=""),"",SUM($G$5:G18))</x:f>
        <x:v/>
      </x:c>
      <x:c r="K18" s="178"/>
      <x:c r="L18" s="240" t="inlineStr">
        <x:is>
          <x:t>Общий долг — ТЕКУЩИЙ остаток: из него уже вычтены все оплаты, в том числе поступившие после начала просрочки. В расчёт процентов (файл 08) его переносить нельзя — там нужен бесспорный долг на первый день просрочки по каждому акту. Спорная часть в расчёт процентов и претензию не идёт: её оценка — у специалиста. Числа по актам берите на листе «Долг по актам», для заказчика — лист «Акт сверки».</x:t>
        </x:is>
      </x:c>
      <x:c r="M18" s="241"/>
    </x:row>
    <x:row r="19" ht="29" customHeight="1">
      <x:c r="A19" s="199">
        <x:v>15</x:v>
      </x:c>
      <x:c r="B19" s="162"/>
      <x:c r="C19" s="163"/>
      <x:c r="D19" s="163"/>
      <x:c r="E19" s="164"/>
      <x:c r="F19" s="163"/>
      <x:c r="G19" s="185">
        <x:f t="shared" si="0"/>
        <x:v>0</x:v>
      </x:c>
      <x:c r="H19" s="185">
        <x:f t="shared" si="1"/>
        <x:v>0</x:v>
      </x:c>
      <x:c r="I19" s="186">
        <x:f>IF(AND(B19="",C19="",D19="",E19="",F19=""),"",IF(OR(B19="",C19="",E19=""),"БЛОК: нужны дата, тип операции и сумма",IF(N(E19)&lt;=0,"БЛОК: сумма должна быть больше нуля",IF(AND(H19&lt;&gt;0,F19=""),"БЛОК: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отделить",IF(AND(G19&lt;&gt;0,F19=""),"БЛОК: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нельзя",IF(AND(F19&lt;&gt;"",COUNTIF('Долг по актам'!$B$5:$B$34,F19)=0),"БЛОК: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договору")&gt;0)*($C$5:$C$504&lt;&gt;C19)*($E$5:$E$504=E19)*(($D$5:$D$504=D19)*(D19&lt;&gt;"")+($B$5:$B$504=B19)*(B19&lt;&gt;"")&gt;0))&gt;0,"БЛОК: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операцию",IF(AND(C19="Оплата",K19&lt;&gt;"Отдельный платёж — не сам аванс (сверено с выпиской банка)",OR(COUNTIFS($C$5:$C$504,"Зачёт аванса по договору",$E$5:$E$504,E19)&gt;0,ROUND(E19-$M$6,2)=0)),"БЛОК: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" s="185" t="str">
        <x:f>IF(AND(B19="",C19="",E19=""),"",SUM($G$5:G19))</x:f>
        <x:v/>
      </x:c>
      <x:c r="K19" s="178"/>
      <x:c r="L19" s="241"/>
      <x:c r="M19" s="241"/>
    </x:row>
    <x:row r="20" ht="29" customHeight="1">
      <x:c r="A20" s="199">
        <x:v>16</x:v>
      </x:c>
      <x:c r="B20" s="162"/>
      <x:c r="C20" s="163"/>
      <x:c r="D20" s="163"/>
      <x:c r="E20" s="164"/>
      <x:c r="F20" s="163"/>
      <x:c r="G20" s="185">
        <x:f t="shared" si="0"/>
        <x:v>0</x:v>
      </x:c>
      <x:c r="H20" s="185">
        <x:f t="shared" si="1"/>
        <x:v>0</x:v>
      </x:c>
      <x:c r="I20" s="186">
        <x:f>IF(AND(B20="",C20="",D20="",E20="",F20=""),"",IF(OR(B20="",C20="",E20=""),"БЛОК: нужны дата, тип операции и сумма",IF(N(E20)&lt;=0,"БЛОК: сумма должна быть больше нуля",IF(AND(H20&lt;&gt;0,F20=""),"БЛОК: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отделить",IF(AND(G20&lt;&gt;0,F20=""),"БЛОК: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нельзя",IF(AND(F20&lt;&gt;"",COUNTIF('Долг по актам'!$B$5:$B$34,F20)=0),"БЛОК: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договору")&gt;0)*($C$5:$C$504&lt;&gt;C20)*($E$5:$E$504=E20)*(($D$5:$D$504=D20)*(D20&lt;&gt;"")+($B$5:$B$504=B20)*(B20&lt;&gt;"")&gt;0))&gt;0,"БЛОК: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операцию",IF(AND(C20="Оплата",K20&lt;&gt;"Отдельный платёж — не сам аванс (сверено с выпиской банка)",OR(COUNTIFS($C$5:$C$504,"Зачёт аванса по договору",$E$5:$E$504,E20)&gt;0,ROUND(E20-$M$6,2)=0)),"БЛОК: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" s="185" t="str">
        <x:f>IF(AND(B20="",C20="",E20=""),"",SUM($G$5:G20))</x:f>
        <x:v/>
      </x:c>
      <x:c r="K20" s="178"/>
      <x:c r="L20" s="241"/>
      <x:c r="M20" s="241"/>
    </x:row>
    <x:row r="21" ht="29" customHeight="1">
      <x:c r="A21" s="199">
        <x:v>17</x:v>
      </x:c>
      <x:c r="B21" s="162"/>
      <x:c r="C21" s="163"/>
      <x:c r="D21" s="163"/>
      <x:c r="E21" s="164"/>
      <x:c r="F21" s="163"/>
      <x:c r="G21" s="185">
        <x:f t="shared" si="0"/>
        <x:v>0</x:v>
      </x:c>
      <x:c r="H21" s="185">
        <x:f t="shared" si="1"/>
        <x:v>0</x:v>
      </x:c>
      <x:c r="I21" s="186">
        <x:f>IF(AND(B21="",C21="",D21="",E21="",F21=""),"",IF(OR(B21="",C21="",E21=""),"БЛОК: нужны дата, тип операции и сумма",IF(N(E21)&lt;=0,"БЛОК: сумма должна быть больше нуля",IF(AND(H21&lt;&gt;0,F21=""),"БЛОК: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отделить",IF(AND(G21&lt;&gt;0,F21=""),"БЛОК: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нельзя",IF(AND(F21&lt;&gt;"",COUNTIF('Долг по актам'!$B$5:$B$34,F21)=0),"БЛОК: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договору")&gt;0)*($C$5:$C$504&lt;&gt;C21)*($E$5:$E$504=E21)*(($D$5:$D$504=D21)*(D21&lt;&gt;"")+($B$5:$B$504=B21)*(B21&lt;&gt;"")&gt;0))&gt;0,"БЛОК: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операцию",IF(AND(C21="Оплата",K21&lt;&gt;"Отдельный платёж — не сам аванс (сверено с выпиской банка)",OR(COUNTIFS($C$5:$C$504,"Зачёт аванса по договору",$E$5:$E$504,E21)&gt;0,ROUND(E21-$M$6,2)=0)),"БЛОК: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" s="185" t="str">
        <x:f>IF(AND(B21="",C21="",E21=""),"",SUM($G$5:G21))</x:f>
        <x:v/>
      </x:c>
      <x:c r="K21" s="178"/>
      <x:c r="L21" s="241"/>
      <x:c r="M21" s="241"/>
    </x:row>
    <x:row r="22" ht="29" customHeight="1">
      <x:c r="A22" s="199">
        <x:v>18</x:v>
      </x:c>
      <x:c r="B22" s="162"/>
      <x:c r="C22" s="163"/>
      <x:c r="D22" s="163"/>
      <x:c r="E22" s="164"/>
      <x:c r="F22" s="163"/>
      <x:c r="G22" s="185">
        <x:f t="shared" si="0"/>
        <x:v>0</x:v>
      </x:c>
      <x:c r="H22" s="185">
        <x:f t="shared" si="1"/>
        <x:v>0</x:v>
      </x:c>
      <x:c r="I22" s="186">
        <x:f>IF(AND(B22="",C22="",D22="",E22="",F22=""),"",IF(OR(B22="",C22="",E22=""),"БЛОК: нужны дата, тип операции и сумма",IF(N(E22)&lt;=0,"БЛОК: сумма должна быть больше нуля",IF(AND(H22&lt;&gt;0,F22=""),"БЛОК: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отделить",IF(AND(G22&lt;&gt;0,F22=""),"БЛОК: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нельзя",IF(AND(F22&lt;&gt;"",COUNTIF('Долг по актам'!$B$5:$B$34,F22)=0),"БЛОК: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договору")&gt;0)*($C$5:$C$504&lt;&gt;C22)*($E$5:$E$504=E22)*(($D$5:$D$504=D22)*(D22&lt;&gt;"")+($B$5:$B$504=B22)*(B22&lt;&gt;"")&gt;0))&gt;0,"БЛОК: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операцию",IF(AND(C22="Оплата",K22&lt;&gt;"Отдельный платёж — не сам аванс (сверено с выпиской банка)",OR(COUNTIFS($C$5:$C$504,"Зачёт аванса по договору",$E$5:$E$504,E22)&gt;0,ROUND(E22-$M$6,2)=0)),"БЛОК: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" s="185" t="str">
        <x:f>IF(AND(B22="",C22="",E22=""),"",SUM($G$5:G22))</x:f>
        <x:v/>
      </x:c>
      <x:c r="K22" s="178"/>
      <x:c r="L22" s="241"/>
      <x:c r="M22" s="241"/>
    </x:row>
    <x:row r="23" ht="29" customHeight="1">
      <x:c r="A23" s="199">
        <x:v>19</x:v>
      </x:c>
      <x:c r="B23" s="162"/>
      <x:c r="C23" s="163"/>
      <x:c r="D23" s="163"/>
      <x:c r="E23" s="164"/>
      <x:c r="F23" s="163"/>
      <x:c r="G23" s="185">
        <x:f t="shared" si="0"/>
        <x:v>0</x:v>
      </x:c>
      <x:c r="H23" s="185">
        <x:f t="shared" si="1"/>
        <x:v>0</x:v>
      </x:c>
      <x:c r="I23" s="186">
        <x:f>IF(AND(B23="",C23="",D23="",E23="",F23=""),"",IF(OR(B23="",C23="",E23=""),"БЛОК: нужны дата, тип операции и сумма",IF(N(E23)&lt;=0,"БЛОК: сумма должна быть больше нуля",IF(AND(H23&lt;&gt;0,F23=""),"БЛОК: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отделить",IF(AND(G23&lt;&gt;0,F23=""),"БЛОК: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нельзя",IF(AND(F23&lt;&gt;"",COUNTIF('Долг по актам'!$B$5:$B$34,F23)=0),"БЛОК: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договору")&gt;0)*($C$5:$C$504&lt;&gt;C23)*($E$5:$E$504=E23)*(($D$5:$D$504=D23)*(D23&lt;&gt;"")+($B$5:$B$504=B23)*(B23&lt;&gt;"")&gt;0))&gt;0,"БЛОК: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операцию",IF(AND(C23="Оплата",K23&lt;&gt;"Отдельный платёж — не сам аванс (сверено с выпиской банка)",OR(COUNTIFS($C$5:$C$504,"Зачёт аванса по договору",$E$5:$E$504,E23)&gt;0,ROUND(E23-$M$6,2)=0)),"БЛОК: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" s="185" t="str">
        <x:f>IF(AND(B23="",C23="",E23=""),"",SUM($G$5:G23))</x:f>
        <x:v/>
      </x:c>
      <x:c r="K23" s="178"/>
      <x:c r="L23" s="241"/>
      <x:c r="M23" s="241"/>
    </x:row>
    <x:row r="24" ht="29" customHeight="1">
      <x:c r="A24" s="199">
        <x:v>20</x:v>
      </x:c>
      <x:c r="B24" s="162"/>
      <x:c r="C24" s="163"/>
      <x:c r="D24" s="163"/>
      <x:c r="E24" s="164"/>
      <x:c r="F24" s="163"/>
      <x:c r="G24" s="185">
        <x:f t="shared" si="0"/>
        <x:v>0</x:v>
      </x:c>
      <x:c r="H24" s="185">
        <x:f t="shared" si="1"/>
        <x:v>0</x:v>
      </x:c>
      <x:c r="I24" s="186">
        <x:f>IF(AND(B24="",C24="",D24="",E24="",F24=""),"",IF(OR(B24="",C24="",E24=""),"БЛОК: нужны дата, тип операции и сумма",IF(N(E24)&lt;=0,"БЛОК: сумма должна быть больше нуля",IF(AND(H24&lt;&gt;0,F24=""),"БЛОК: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отделить",IF(AND(G24&lt;&gt;0,F24=""),"БЛОК: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нельзя",IF(AND(F24&lt;&gt;"",COUNTIF('Долг по актам'!$B$5:$B$34,F24)=0),"БЛОК: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договору")&gt;0)*($C$5:$C$504&lt;&gt;C24)*($E$5:$E$504=E24)*(($D$5:$D$504=D24)*(D24&lt;&gt;"")+($B$5:$B$504=B24)*(B24&lt;&gt;"")&gt;0))&gt;0,"БЛОК: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операцию",IF(AND(C24="Оплата",K24&lt;&gt;"Отдельный платёж — не сам аванс (сверено с выпиской банка)",OR(COUNTIFS($C$5:$C$504,"Зачёт аванса по договору",$E$5:$E$504,E24)&gt;0,ROUND(E24-$M$6,2)=0)),"БЛОК: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" s="185" t="str">
        <x:f>IF(AND(B24="",C24="",E24=""),"",SUM($G$5:G24))</x:f>
        <x:v/>
      </x:c>
      <x:c r="K24" s="178"/>
      <x:c r="L24" s="241"/>
      <x:c r="M24" s="241"/>
    </x:row>
    <x:row r="25" ht="29" customHeight="1">
      <x:c r="A25" s="199">
        <x:v>21</x:v>
      </x:c>
      <x:c r="B25" s="162"/>
      <x:c r="C25" s="163"/>
      <x:c r="D25" s="163"/>
      <x:c r="E25" s="164"/>
      <x:c r="F25" s="163"/>
      <x:c r="G25" s="185">
        <x:f t="shared" si="0"/>
        <x:v>0</x:v>
      </x:c>
      <x:c r="H25" s="185">
        <x:f t="shared" si="1"/>
        <x:v>0</x:v>
      </x:c>
      <x:c r="I25" s="186">
        <x:f>IF(AND(B25="",C25="",D25="",E25="",F25=""),"",IF(OR(B25="",C25="",E25=""),"БЛОК: нужны дата, тип операции и сумма",IF(N(E25)&lt;=0,"БЛОК: сумма должна быть больше нуля",IF(AND(H25&lt;&gt;0,F25=""),"БЛОК: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отделить",IF(AND(G25&lt;&gt;0,F25=""),"БЛОК: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нельзя",IF(AND(F25&lt;&gt;"",COUNTIF('Долг по актам'!$B$5:$B$34,F25)=0),"БЛОК: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договору")&gt;0)*($C$5:$C$504&lt;&gt;C25)*($E$5:$E$504=E25)*(($D$5:$D$504=D25)*(D25&lt;&gt;"")+($B$5:$B$504=B25)*(B25&lt;&gt;"")&gt;0))&gt;0,"БЛОК: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операцию",IF(AND(C25="Оплата",K25&lt;&gt;"Отдельный платёж — не сам аванс (сверено с выпиской банка)",OR(COUNTIFS($C$5:$C$504,"Зачёт аванса по договору",$E$5:$E$504,E25)&gt;0,ROUND(E25-$M$6,2)=0)),"БЛОК: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" s="185" t="str">
        <x:f>IF(AND(B25="",C25="",E25=""),"",SUM($G$5:G25))</x:f>
        <x:v/>
      </x:c>
      <x:c r="K25" s="178"/>
      <x:c r="L25" s="46"/>
      <x:c r="M25" s="46"/>
    </x:row>
    <x:row r="26" ht="29" customHeight="1">
      <x:c r="A26" s="199">
        <x:v>22</x:v>
      </x:c>
      <x:c r="B26" s="162"/>
      <x:c r="C26" s="163"/>
      <x:c r="D26" s="163"/>
      <x:c r="E26" s="164"/>
      <x:c r="F26" s="163"/>
      <x:c r="G26" s="185">
        <x:f t="shared" si="0"/>
        <x:v>0</x:v>
      </x:c>
      <x:c r="H26" s="185">
        <x:f t="shared" si="1"/>
        <x:v>0</x:v>
      </x:c>
      <x:c r="I26" s="186">
        <x:f>IF(AND(B26="",C26="",D26="",E26="",F26=""),"",IF(OR(B26="",C26="",E26=""),"БЛОК: нужны дата, тип операции и сумма",IF(N(E26)&lt;=0,"БЛОК: сумма должна быть больше нуля",IF(AND(H26&lt;&gt;0,F26=""),"БЛОК: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отделить",IF(AND(G26&lt;&gt;0,F26=""),"БЛОК: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нельзя",IF(AND(F26&lt;&gt;"",COUNTIF('Долг по актам'!$B$5:$B$34,F26)=0),"БЛОК: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договору")&gt;0)*($C$5:$C$504&lt;&gt;C26)*($E$5:$E$504=E26)*(($D$5:$D$504=D26)*(D26&lt;&gt;"")+($B$5:$B$504=B26)*(B26&lt;&gt;"")&gt;0))&gt;0,"БЛОК: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операцию",IF(AND(C26="Оплата",K26&lt;&gt;"Отдельный платёж — не сам аванс (сверено с выпиской банка)",OR(COUNTIFS($C$5:$C$504,"Зачёт аванса по договору",$E$5:$E$504,E26)&gt;0,ROUND(E26-$M$6,2)=0)),"БЛОК: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" s="185" t="str">
        <x:f>IF(AND(B26="",C26="",E26=""),"",SUM($G$5:G26))</x:f>
        <x:v/>
      </x:c>
      <x:c r="K26" s="178"/>
      <x:c r="L26" s="46"/>
      <x:c r="M26" s="46"/>
    </x:row>
    <x:row r="27" ht="29" customHeight="1">
      <x:c r="A27" s="199">
        <x:v>23</x:v>
      </x:c>
      <x:c r="B27" s="162"/>
      <x:c r="C27" s="163"/>
      <x:c r="D27" s="163"/>
      <x:c r="E27" s="164"/>
      <x:c r="F27" s="163"/>
      <x:c r="G27" s="185">
        <x:f t="shared" si="0"/>
        <x:v>0</x:v>
      </x:c>
      <x:c r="H27" s="185">
        <x:f t="shared" si="1"/>
        <x:v>0</x:v>
      </x:c>
      <x:c r="I27" s="186">
        <x:f>IF(AND(B27="",C27="",D27="",E27="",F27=""),"",IF(OR(B27="",C27="",E27=""),"БЛОК: нужны дата, тип операции и сумма",IF(N(E27)&lt;=0,"БЛОК: сумма должна быть больше нуля",IF(AND(H27&lt;&gt;0,F27=""),"БЛОК: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отделить",IF(AND(G27&lt;&gt;0,F27=""),"БЛОК: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нельзя",IF(AND(F27&lt;&gt;"",COUNTIF('Долг по актам'!$B$5:$B$34,F27)=0),"БЛОК: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договору")&gt;0)*($C$5:$C$504&lt;&gt;C27)*($E$5:$E$504=E27)*(($D$5:$D$504=D27)*(D27&lt;&gt;"")+($B$5:$B$504=B27)*(B27&lt;&gt;"")&gt;0))&gt;0,"БЛОК: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операцию",IF(AND(C27="Оплата",K27&lt;&gt;"Отдельный платёж — не сам аванс (сверено с выпиской банка)",OR(COUNTIFS($C$5:$C$504,"Зачёт аванса по договору",$E$5:$E$504,E27)&gt;0,ROUND(E27-$M$6,2)=0)),"БЛОК: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" s="185" t="str">
        <x:f>IF(AND(B27="",C27="",E27=""),"",SUM($G$5:G27))</x:f>
        <x:v/>
      </x:c>
      <x:c r="K27" s="178"/>
      <x:c r="L27" s="46"/>
      <x:c r="M27" s="46"/>
    </x:row>
    <x:row r="28" ht="29" customHeight="1">
      <x:c r="A28" s="199">
        <x:v>24</x:v>
      </x:c>
      <x:c r="B28" s="162"/>
      <x:c r="C28" s="163"/>
      <x:c r="D28" s="163"/>
      <x:c r="E28" s="164"/>
      <x:c r="F28" s="163"/>
      <x:c r="G28" s="185">
        <x:f t="shared" si="0"/>
        <x:v>0</x:v>
      </x:c>
      <x:c r="H28" s="185">
        <x:f t="shared" si="1"/>
        <x:v>0</x:v>
      </x:c>
      <x:c r="I28" s="186">
        <x:f>IF(AND(B28="",C28="",D28="",E28="",F28=""),"",IF(OR(B28="",C28="",E28=""),"БЛОК: нужны дата, тип операции и сумма",IF(N(E28)&lt;=0,"БЛОК: сумма должна быть больше нуля",IF(AND(H28&lt;&gt;0,F28=""),"БЛОК: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отделить",IF(AND(G28&lt;&gt;0,F28=""),"БЛОК: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нельзя",IF(AND(F28&lt;&gt;"",COUNTIF('Долг по актам'!$B$5:$B$34,F28)=0),"БЛОК: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договору")&gt;0)*($C$5:$C$504&lt;&gt;C28)*($E$5:$E$504=E28)*(($D$5:$D$504=D28)*(D28&lt;&gt;"")+($B$5:$B$504=B28)*(B28&lt;&gt;"")&gt;0))&gt;0,"БЛОК: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операцию",IF(AND(C28="Оплата",K28&lt;&gt;"Отдельный платёж — не сам аванс (сверено с выпиской банка)",OR(COUNTIFS($C$5:$C$504,"Зачёт аванса по договору",$E$5:$E$504,E28)&gt;0,ROUND(E28-$M$6,2)=0)),"БЛОК: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" s="185" t="str">
        <x:f>IF(AND(B28="",C28="",E28=""),"",SUM($G$5:G28))</x:f>
        <x:v/>
      </x:c>
      <x:c r="K28" s="178"/>
      <x:c r="L28" s="46"/>
      <x:c r="M28" s="46"/>
    </x:row>
    <x:row r="29" ht="29" customHeight="1">
      <x:c r="A29" s="199">
        <x:v>25</x:v>
      </x:c>
      <x:c r="B29" s="162"/>
      <x:c r="C29" s="163"/>
      <x:c r="D29" s="163"/>
      <x:c r="E29" s="164"/>
      <x:c r="F29" s="163"/>
      <x:c r="G29" s="185">
        <x:f t="shared" si="0"/>
        <x:v>0</x:v>
      </x:c>
      <x:c r="H29" s="185">
        <x:f t="shared" si="1"/>
        <x:v>0</x:v>
      </x:c>
      <x:c r="I29" s="186">
        <x:f>IF(AND(B29="",C29="",D29="",E29="",F29=""),"",IF(OR(B29="",C29="",E29=""),"БЛОК: нужны дата, тип операции и сумма",IF(N(E29)&lt;=0,"БЛОК: сумма должна быть больше нуля",IF(AND(H29&lt;&gt;0,F29=""),"БЛОК: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отделить",IF(AND(G29&lt;&gt;0,F29=""),"БЛОК: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нельзя",IF(AND(F29&lt;&gt;"",COUNTIF('Долг по актам'!$B$5:$B$34,F29)=0),"БЛОК: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договору")&gt;0)*($C$5:$C$504&lt;&gt;C29)*($E$5:$E$504=E29)*(($D$5:$D$504=D29)*(D29&lt;&gt;"")+($B$5:$B$504=B29)*(B29&lt;&gt;"")&gt;0))&gt;0,"БЛОК: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операцию",IF(AND(C29="Оплата",K29&lt;&gt;"Отдельный платёж — не сам аванс (сверено с выпиской банка)",OR(COUNTIFS($C$5:$C$504,"Зачёт аванса по договору",$E$5:$E$504,E29)&gt;0,ROUND(E29-$M$6,2)=0)),"БЛОК: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" s="185" t="str">
        <x:f>IF(AND(B29="",C29="",E29=""),"",SUM($G$5:G29))</x:f>
        <x:v/>
      </x:c>
      <x:c r="K29" s="178"/>
      <x:c r="L29" s="46"/>
      <x:c r="M29" s="46"/>
    </x:row>
    <x:row r="30" ht="29" customHeight="1">
      <x:c r="A30" s="199">
        <x:v>26</x:v>
      </x:c>
      <x:c r="B30" s="162"/>
      <x:c r="C30" s="163"/>
      <x:c r="D30" s="163"/>
      <x:c r="E30" s="164"/>
      <x:c r="F30" s="163"/>
      <x:c r="G30" s="185">
        <x:f t="shared" si="0"/>
        <x:v>0</x:v>
      </x:c>
      <x:c r="H30" s="185">
        <x:f t="shared" si="1"/>
        <x:v>0</x:v>
      </x:c>
      <x:c r="I30" s="186">
        <x:f>IF(AND(B30="",C30="",D30="",E30="",F30=""),"",IF(OR(B30="",C30="",E30=""),"БЛОК: нужны дата, тип операции и сумма",IF(N(E30)&lt;=0,"БЛОК: сумма должна быть больше нуля",IF(AND(H30&lt;&gt;0,F30=""),"БЛОК: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отделить",IF(AND(G30&lt;&gt;0,F30=""),"БЛОК: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нельзя",IF(AND(F30&lt;&gt;"",COUNTIF('Долг по актам'!$B$5:$B$34,F30)=0),"БЛОК: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договору")&gt;0)*($C$5:$C$504&lt;&gt;C30)*($E$5:$E$504=E30)*(($D$5:$D$504=D30)*(D30&lt;&gt;"")+($B$5:$B$504=B30)*(B30&lt;&gt;"")&gt;0))&gt;0,"БЛОК: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операцию",IF(AND(C30="Оплата",K30&lt;&gt;"Отдельный платёж — не сам аванс (сверено с выпиской банка)",OR(COUNTIFS($C$5:$C$504,"Зачёт аванса по договору",$E$5:$E$504,E30)&gt;0,ROUND(E30-$M$6,2)=0)),"БЛОК: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" s="185" t="str">
        <x:f>IF(AND(B30="",C30="",E30=""),"",SUM($G$5:G30))</x:f>
        <x:v/>
      </x:c>
      <x:c r="K30" s="178"/>
      <x:c r="L30" s="46"/>
      <x:c r="M30" s="46"/>
    </x:row>
    <x:row r="31" ht="29" customHeight="1">
      <x:c r="A31" s="199">
        <x:v>27</x:v>
      </x:c>
      <x:c r="B31" s="162"/>
      <x:c r="C31" s="163"/>
      <x:c r="D31" s="163"/>
      <x:c r="E31" s="164"/>
      <x:c r="F31" s="163"/>
      <x:c r="G31" s="185">
        <x:f t="shared" si="0"/>
        <x:v>0</x:v>
      </x:c>
      <x:c r="H31" s="185">
        <x:f t="shared" si="1"/>
        <x:v>0</x:v>
      </x:c>
      <x:c r="I31" s="186">
        <x:f>IF(AND(B31="",C31="",D31="",E31="",F31=""),"",IF(OR(B31="",C31="",E31=""),"БЛОК: нужны дата, тип операции и сумма",IF(N(E31)&lt;=0,"БЛОК: сумма должна быть больше нуля",IF(AND(H31&lt;&gt;0,F31=""),"БЛОК: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отделить",IF(AND(G31&lt;&gt;0,F31=""),"БЛОК: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нельзя",IF(AND(F31&lt;&gt;"",COUNTIF('Долг по актам'!$B$5:$B$34,F31)=0),"БЛОК: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договору")&gt;0)*($C$5:$C$504&lt;&gt;C31)*($E$5:$E$504=E31)*(($D$5:$D$504=D31)*(D31&lt;&gt;"")+($B$5:$B$504=B31)*(B31&lt;&gt;"")&gt;0))&gt;0,"БЛОК: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операцию",IF(AND(C31="Оплата",K31&lt;&gt;"Отдельный платёж — не сам аванс (сверено с выпиской банка)",OR(COUNTIFS($C$5:$C$504,"Зачёт аванса по договору",$E$5:$E$504,E31)&gt;0,ROUND(E31-$M$6,2)=0)),"БЛОК: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" s="185" t="str">
        <x:f>IF(AND(B31="",C31="",E31=""),"",SUM($G$5:G31))</x:f>
        <x:v/>
      </x:c>
      <x:c r="K31" s="178"/>
      <x:c r="L31" s="46"/>
      <x:c r="M31" s="46"/>
    </x:row>
    <x:row r="32" ht="29" customHeight="1">
      <x:c r="A32" s="199">
        <x:v>28</x:v>
      </x:c>
      <x:c r="B32" s="162"/>
      <x:c r="C32" s="163"/>
      <x:c r="D32" s="163"/>
      <x:c r="E32" s="164"/>
      <x:c r="F32" s="163"/>
      <x:c r="G32" s="185">
        <x:f t="shared" si="0"/>
        <x:v>0</x:v>
      </x:c>
      <x:c r="H32" s="185">
        <x:f t="shared" si="1"/>
        <x:v>0</x:v>
      </x:c>
      <x:c r="I32" s="186">
        <x:f>IF(AND(B32="",C32="",D32="",E32="",F32=""),"",IF(OR(B32="",C32="",E32=""),"БЛОК: нужны дата, тип операции и сумма",IF(N(E32)&lt;=0,"БЛОК: сумма должна быть больше нуля",IF(AND(H32&lt;&gt;0,F32=""),"БЛОК: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отделить",IF(AND(G32&lt;&gt;0,F32=""),"БЛОК: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нельзя",IF(AND(F32&lt;&gt;"",COUNTIF('Долг по актам'!$B$5:$B$34,F32)=0),"БЛОК: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договору")&gt;0)*($C$5:$C$504&lt;&gt;C32)*($E$5:$E$504=E32)*(($D$5:$D$504=D32)*(D32&lt;&gt;"")+($B$5:$B$504=B32)*(B32&lt;&gt;"")&gt;0))&gt;0,"БЛОК: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операцию",IF(AND(C32="Оплата",K32&lt;&gt;"Отдельный платёж — не сам аванс (сверено с выпиской банка)",OR(COUNTIFS($C$5:$C$504,"Зачёт аванса по договору",$E$5:$E$504,E32)&gt;0,ROUND(E32-$M$6,2)=0)),"БЛОК: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" s="185" t="str">
        <x:f>IF(AND(B32="",C32="",E32=""),"",SUM($G$5:G32))</x:f>
        <x:v/>
      </x:c>
      <x:c r="K32" s="178"/>
      <x:c r="L32" s="46"/>
      <x:c r="M32" s="46"/>
    </x:row>
    <x:row r="33" ht="29" customHeight="1">
      <x:c r="A33" s="199">
        <x:v>29</x:v>
      </x:c>
      <x:c r="B33" s="162"/>
      <x:c r="C33" s="163"/>
      <x:c r="D33" s="163"/>
      <x:c r="E33" s="164"/>
      <x:c r="F33" s="163"/>
      <x:c r="G33" s="185">
        <x:f t="shared" si="0"/>
        <x:v>0</x:v>
      </x:c>
      <x:c r="H33" s="185">
        <x:f t="shared" si="1"/>
        <x:v>0</x:v>
      </x:c>
      <x:c r="I33" s="186">
        <x:f>IF(AND(B33="",C33="",D33="",E33="",F33=""),"",IF(OR(B33="",C33="",E33=""),"БЛОК: нужны дата, тип операции и сумма",IF(N(E33)&lt;=0,"БЛОК: сумма должна быть больше нуля",IF(AND(H33&lt;&gt;0,F33=""),"БЛОК: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отделить",IF(AND(G33&lt;&gt;0,F33=""),"БЛОК: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нельзя",IF(AND(F33&lt;&gt;"",COUNTIF('Долг по актам'!$B$5:$B$34,F33)=0),"БЛОК: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договору")&gt;0)*($C$5:$C$504&lt;&gt;C33)*($E$5:$E$504=E33)*(($D$5:$D$504=D33)*(D33&lt;&gt;"")+($B$5:$B$504=B33)*(B33&lt;&gt;"")&gt;0))&gt;0,"БЛОК: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операцию",IF(AND(C33="Оплата",K33&lt;&gt;"Отдельный платёж — не сам аванс (сверено с выпиской банка)",OR(COUNTIFS($C$5:$C$504,"Зачёт аванса по договору",$E$5:$E$504,E33)&gt;0,ROUND(E33-$M$6,2)=0)),"БЛОК: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" s="185" t="str">
        <x:f>IF(AND(B33="",C33="",E33=""),"",SUM($G$5:G33))</x:f>
        <x:v/>
      </x:c>
      <x:c r="K33" s="178"/>
      <x:c r="L33" s="46"/>
      <x:c r="M33" s="46"/>
    </x:row>
    <x:row r="34" ht="29" customHeight="1">
      <x:c r="A34" s="199">
        <x:v>30</x:v>
      </x:c>
      <x:c r="B34" s="162"/>
      <x:c r="C34" s="163"/>
      <x:c r="D34" s="163"/>
      <x:c r="E34" s="164"/>
      <x:c r="F34" s="163"/>
      <x:c r="G34" s="185">
        <x:f t="shared" si="0"/>
        <x:v>0</x:v>
      </x:c>
      <x:c r="H34" s="185">
        <x:f t="shared" si="1"/>
        <x:v>0</x:v>
      </x:c>
      <x:c r="I34" s="186">
        <x:f>IF(AND(B34="",C34="",D34="",E34="",F34=""),"",IF(OR(B34="",C34="",E34=""),"БЛОК: нужны дата, тип операции и сумма",IF(N(E34)&lt;=0,"БЛОК: сумма должна быть больше нуля",IF(AND(H34&lt;&gt;0,F34=""),"БЛОК: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отделить",IF(AND(G34&lt;&gt;0,F34=""),"БЛОК: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нельзя",IF(AND(F34&lt;&gt;"",COUNTIF('Долг по актам'!$B$5:$B$34,F34)=0),"БЛОК: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договору")&gt;0)*($C$5:$C$504&lt;&gt;C34)*($E$5:$E$504=E34)*(($D$5:$D$504=D34)*(D34&lt;&gt;"")+($B$5:$B$504=B34)*(B34&lt;&gt;"")&gt;0))&gt;0,"БЛОК: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операцию",IF(AND(C34="Оплата",K34&lt;&gt;"Отдельный платёж — не сам аванс (сверено с выпиской банка)",OR(COUNTIFS($C$5:$C$504,"Зачёт аванса по договору",$E$5:$E$504,E34)&gt;0,ROUND(E34-$M$6,2)=0)),"БЛОК: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" s="185" t="str">
        <x:f>IF(AND(B34="",C34="",E34=""),"",SUM($G$5:G34))</x:f>
        <x:v/>
      </x:c>
      <x:c r="K34" s="178"/>
      <x:c r="L34" s="46"/>
      <x:c r="M34" s="46"/>
    </x:row>
    <x:row r="35" ht="29" customHeight="1">
      <x:c r="A35" s="199">
        <x:v>31</x:v>
      </x:c>
      <x:c r="B35" s="162"/>
      <x:c r="C35" s="163"/>
      <x:c r="D35" s="163"/>
      <x:c r="E35" s="164"/>
      <x:c r="F35" s="163"/>
      <x:c r="G35" s="185">
        <x:f t="shared" si="0"/>
        <x:v>0</x:v>
      </x:c>
      <x:c r="H35" s="185">
        <x:f t="shared" si="1"/>
        <x:v>0</x:v>
      </x:c>
      <x:c r="I35" s="186">
        <x:f>IF(AND(B35="",C35="",D35="",E35="",F35=""),"",IF(OR(B35="",C35="",E35=""),"БЛОК: нужны дата, тип операции и сумма",IF(N(E35)&lt;=0,"БЛОК: сумма должна быть больше нуля",IF(AND(H35&lt;&gt;0,F35=""),"БЛОК: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отделить",IF(AND(G35&lt;&gt;0,F35=""),"БЛОК: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нельзя",IF(AND(F35&lt;&gt;"",COUNTIF('Долг по актам'!$B$5:$B$34,F35)=0),"БЛОК: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договору")&gt;0)*($C$5:$C$504&lt;&gt;C35)*($E$5:$E$504=E35)*(($D$5:$D$504=D35)*(D35&lt;&gt;"")+($B$5:$B$504=B35)*(B35&lt;&gt;"")&gt;0))&gt;0,"БЛОК: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операцию",IF(AND(C35="Оплата",K35&lt;&gt;"Отдельный платёж — не сам аванс (сверено с выпиской банка)",OR(COUNTIFS($C$5:$C$504,"Зачёт аванса по договору",$E$5:$E$504,E35)&gt;0,ROUND(E35-$M$6,2)=0)),"БЛОК: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" s="185" t="str">
        <x:f>IF(AND(B35="",C35="",E35=""),"",SUM($G$5:G35))</x:f>
        <x:v/>
      </x:c>
      <x:c r="K35" s="178"/>
      <x:c r="L35" s="46"/>
      <x:c r="M35" s="46"/>
    </x:row>
    <x:row r="36" ht="29" customHeight="1">
      <x:c r="A36" s="199">
        <x:v>32</x:v>
      </x:c>
      <x:c r="B36" s="162"/>
      <x:c r="C36" s="163"/>
      <x:c r="D36" s="163"/>
      <x:c r="E36" s="164"/>
      <x:c r="F36" s="163"/>
      <x:c r="G36" s="185">
        <x:f t="shared" si="0"/>
        <x:v>0</x:v>
      </x:c>
      <x:c r="H36" s="185">
        <x:f t="shared" si="1"/>
        <x:v>0</x:v>
      </x:c>
      <x:c r="I36" s="186">
        <x:f>IF(AND(B36="",C36="",D36="",E36="",F36=""),"",IF(OR(B36="",C36="",E36=""),"БЛОК: нужны дата, тип операции и сумма",IF(N(E36)&lt;=0,"БЛОК: сумма должна быть больше нуля",IF(AND(H36&lt;&gt;0,F36=""),"БЛОК: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отделить",IF(AND(G36&lt;&gt;0,F36=""),"БЛОК: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нельзя",IF(AND(F36&lt;&gt;"",COUNTIF('Долг по актам'!$B$5:$B$34,F36)=0),"БЛОК: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договору")&gt;0)*($C$5:$C$504&lt;&gt;C36)*($E$5:$E$504=E36)*(($D$5:$D$504=D36)*(D36&lt;&gt;"")+($B$5:$B$504=B36)*(B36&lt;&gt;"")&gt;0))&gt;0,"БЛОК: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операцию",IF(AND(C36="Оплата",K36&lt;&gt;"Отдельный платёж — не сам аванс (сверено с выпиской банка)",OR(COUNTIFS($C$5:$C$504,"Зачёт аванса по договору",$E$5:$E$504,E36)&gt;0,ROUND(E36-$M$6,2)=0)),"БЛОК: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" s="185" t="str">
        <x:f>IF(AND(B36="",C36="",E36=""),"",SUM($G$5:G36))</x:f>
        <x:v/>
      </x:c>
      <x:c r="K36" s="178"/>
      <x:c r="L36" s="46"/>
      <x:c r="M36" s="46"/>
    </x:row>
    <x:row r="37" ht="29" customHeight="1">
      <x:c r="A37" s="199">
        <x:v>33</x:v>
      </x:c>
      <x:c r="B37" s="162"/>
      <x:c r="C37" s="163"/>
      <x:c r="D37" s="163"/>
      <x:c r="E37" s="164"/>
      <x:c r="F37" s="163"/>
      <x:c r="G37" s="185">
        <x:f t="shared" si="0"/>
        <x:v>0</x:v>
      </x:c>
      <x:c r="H37" s="185">
        <x:f t="shared" si="1"/>
        <x:v>0</x:v>
      </x:c>
      <x:c r="I37" s="186">
        <x:f>IF(AND(B37="",C37="",D37="",E37="",F37=""),"",IF(OR(B37="",C37="",E37=""),"БЛОК: нужны дата, тип операции и сумма",IF(N(E37)&lt;=0,"БЛОК: сумма должна быть больше нуля",IF(AND(H37&lt;&gt;0,F37=""),"БЛОК: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отделить",IF(AND(G37&lt;&gt;0,F37=""),"БЛОК: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нельзя",IF(AND(F37&lt;&gt;"",COUNTIF('Долг по актам'!$B$5:$B$34,F37)=0),"БЛОК: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договору")&gt;0)*($C$5:$C$504&lt;&gt;C37)*($E$5:$E$504=E37)*(($D$5:$D$504=D37)*(D37&lt;&gt;"")+($B$5:$B$504=B37)*(B37&lt;&gt;"")&gt;0))&gt;0,"БЛОК: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операцию",IF(AND(C37="Оплата",K37&lt;&gt;"Отдельный платёж — не сам аванс (сверено с выпиской банка)",OR(COUNTIFS($C$5:$C$504,"Зачёт аванса по договору",$E$5:$E$504,E37)&gt;0,ROUND(E37-$M$6,2)=0)),"БЛОК: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" s="185" t="str">
        <x:f>IF(AND(B37="",C37="",E37=""),"",SUM($G$5:G37))</x:f>
        <x:v/>
      </x:c>
      <x:c r="K37" s="178"/>
      <x:c r="L37" s="46"/>
      <x:c r="M37" s="46"/>
    </x:row>
    <x:row r="38" ht="29" customHeight="1">
      <x:c r="A38" s="199">
        <x:v>34</x:v>
      </x:c>
      <x:c r="B38" s="162"/>
      <x:c r="C38" s="163"/>
      <x:c r="D38" s="163"/>
      <x:c r="E38" s="164"/>
      <x:c r="F38" s="163"/>
      <x:c r="G38" s="185">
        <x:f t="shared" si="0"/>
        <x:v>0</x:v>
      </x:c>
      <x:c r="H38" s="185">
        <x:f t="shared" si="1"/>
        <x:v>0</x:v>
      </x:c>
      <x:c r="I38" s="186">
        <x:f>IF(AND(B38="",C38="",D38="",E38="",F38=""),"",IF(OR(B38="",C38="",E38=""),"БЛОК: нужны дата, тип операции и сумма",IF(N(E38)&lt;=0,"БЛОК: сумма должна быть больше нуля",IF(AND(H38&lt;&gt;0,F38=""),"БЛОК: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отделить",IF(AND(G38&lt;&gt;0,F38=""),"БЛОК: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нельзя",IF(AND(F38&lt;&gt;"",COUNTIF('Долг по актам'!$B$5:$B$34,F38)=0),"БЛОК: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договору")&gt;0)*($C$5:$C$504&lt;&gt;C38)*($E$5:$E$504=E38)*(($D$5:$D$504=D38)*(D38&lt;&gt;"")+($B$5:$B$504=B38)*(B38&lt;&gt;"")&gt;0))&gt;0,"БЛОК: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операцию",IF(AND(C38="Оплата",K38&lt;&gt;"Отдельный платёж — не сам аванс (сверено с выпиской банка)",OR(COUNTIFS($C$5:$C$504,"Зачёт аванса по договору",$E$5:$E$504,E38)&gt;0,ROUND(E38-$M$6,2)=0)),"БЛОК: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" s="185" t="str">
        <x:f>IF(AND(B38="",C38="",E38=""),"",SUM($G$5:G38))</x:f>
        <x:v/>
      </x:c>
      <x:c r="K38" s="178"/>
      <x:c r="L38" s="46"/>
      <x:c r="M38" s="46"/>
    </x:row>
    <x:row r="39" ht="29" customHeight="1">
      <x:c r="A39" s="199">
        <x:v>35</x:v>
      </x:c>
      <x:c r="B39" s="162"/>
      <x:c r="C39" s="163"/>
      <x:c r="D39" s="163"/>
      <x:c r="E39" s="164"/>
      <x:c r="F39" s="163"/>
      <x:c r="G39" s="185">
        <x:f t="shared" si="0"/>
        <x:v>0</x:v>
      </x:c>
      <x:c r="H39" s="185">
        <x:f t="shared" si="1"/>
        <x:v>0</x:v>
      </x:c>
      <x:c r="I39" s="186">
        <x:f>IF(AND(B39="",C39="",D39="",E39="",F39=""),"",IF(OR(B39="",C39="",E39=""),"БЛОК: нужны дата, тип операции и сумма",IF(N(E39)&lt;=0,"БЛОК: сумма должна быть больше нуля",IF(AND(H39&lt;&gt;0,F39=""),"БЛОК: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отделить",IF(AND(G39&lt;&gt;0,F39=""),"БЛОК: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нельзя",IF(AND(F39&lt;&gt;"",COUNTIF('Долг по актам'!$B$5:$B$34,F39)=0),"БЛОК: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договору")&gt;0)*($C$5:$C$504&lt;&gt;C39)*($E$5:$E$504=E39)*(($D$5:$D$504=D39)*(D39&lt;&gt;"")+($B$5:$B$504=B39)*(B39&lt;&gt;"")&gt;0))&gt;0,"БЛОК: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операцию",IF(AND(C39="Оплата",K39&lt;&gt;"Отдельный платёж — не сам аванс (сверено с выпиской банка)",OR(COUNTIFS($C$5:$C$504,"Зачёт аванса по договору",$E$5:$E$504,E39)&gt;0,ROUND(E39-$M$6,2)=0)),"БЛОК: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" s="185" t="str">
        <x:f>IF(AND(B39="",C39="",E39=""),"",SUM($G$5:G39))</x:f>
        <x:v/>
      </x:c>
      <x:c r="K39" s="178"/>
      <x:c r="L39" s="46"/>
      <x:c r="M39" s="46"/>
    </x:row>
    <x:row r="40" ht="29" customHeight="1">
      <x:c r="A40" s="199">
        <x:v>36</x:v>
      </x:c>
      <x:c r="B40" s="162"/>
      <x:c r="C40" s="163"/>
      <x:c r="D40" s="163"/>
      <x:c r="E40" s="164"/>
      <x:c r="F40" s="163"/>
      <x:c r="G40" s="185">
        <x:f t="shared" si="0"/>
        <x:v>0</x:v>
      </x:c>
      <x:c r="H40" s="185">
        <x:f t="shared" si="1"/>
        <x:v>0</x:v>
      </x:c>
      <x:c r="I40" s="186">
        <x:f>IF(AND(B40="",C40="",D40="",E40="",F40=""),"",IF(OR(B40="",C40="",E40=""),"БЛОК: нужны дата, тип операции и сумма",IF(N(E40)&lt;=0,"БЛОК: сумма должна быть больше нуля",IF(AND(H40&lt;&gt;0,F40=""),"БЛОК: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отделить",IF(AND(G40&lt;&gt;0,F40=""),"БЛОК: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нельзя",IF(AND(F40&lt;&gt;"",COUNTIF('Долг по актам'!$B$5:$B$34,F40)=0),"БЛОК: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договору")&gt;0)*($C$5:$C$504&lt;&gt;C40)*($E$5:$E$504=E40)*(($D$5:$D$504=D40)*(D40&lt;&gt;"")+($B$5:$B$504=B40)*(B40&lt;&gt;"")&gt;0))&gt;0,"БЛОК: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операцию",IF(AND(C40="Оплата",K40&lt;&gt;"Отдельный платёж — не сам аванс (сверено с выпиской банка)",OR(COUNTIFS($C$5:$C$504,"Зачёт аванса по договору",$E$5:$E$504,E40)&gt;0,ROUND(E40-$M$6,2)=0)),"БЛОК: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" s="185" t="str">
        <x:f>IF(AND(B40="",C40="",E40=""),"",SUM($G$5:G40))</x:f>
        <x:v/>
      </x:c>
      <x:c r="K40" s="178"/>
      <x:c r="L40" s="46"/>
      <x:c r="M40" s="46"/>
    </x:row>
    <x:row r="41" ht="29" customHeight="1">
      <x:c r="A41" s="199">
        <x:v>37</x:v>
      </x:c>
      <x:c r="B41" s="162"/>
      <x:c r="C41" s="163"/>
      <x:c r="D41" s="163"/>
      <x:c r="E41" s="164"/>
      <x:c r="F41" s="163"/>
      <x:c r="G41" s="185">
        <x:f t="shared" si="0"/>
        <x:v>0</x:v>
      </x:c>
      <x:c r="H41" s="185">
        <x:f t="shared" si="1"/>
        <x:v>0</x:v>
      </x:c>
      <x:c r="I41" s="186">
        <x:f>IF(AND(B41="",C41="",D41="",E41="",F41=""),"",IF(OR(B41="",C41="",E41=""),"БЛОК: нужны дата, тип операции и сумма",IF(N(E41)&lt;=0,"БЛОК: сумма должна быть больше нуля",IF(AND(H41&lt;&gt;0,F41=""),"БЛОК: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отделить",IF(AND(G41&lt;&gt;0,F41=""),"БЛОК: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нельзя",IF(AND(F41&lt;&gt;"",COUNTIF('Долг по актам'!$B$5:$B$34,F41)=0),"БЛОК: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договору")&gt;0)*($C$5:$C$504&lt;&gt;C41)*($E$5:$E$504=E41)*(($D$5:$D$504=D41)*(D41&lt;&gt;"")+($B$5:$B$504=B41)*(B41&lt;&gt;"")&gt;0))&gt;0,"БЛОК: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операцию",IF(AND(C41="Оплата",K41&lt;&gt;"Отдельный платёж — не сам аванс (сверено с выпиской банка)",OR(COUNTIFS($C$5:$C$504,"Зачёт аванса по договору",$E$5:$E$504,E41)&gt;0,ROUND(E41-$M$6,2)=0)),"БЛОК: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" s="185" t="str">
        <x:f>IF(AND(B41="",C41="",E41=""),"",SUM($G$5:G41))</x:f>
        <x:v/>
      </x:c>
      <x:c r="K41" s="178"/>
      <x:c r="L41" s="46"/>
      <x:c r="M41" s="46"/>
    </x:row>
    <x:row r="42" ht="29" customHeight="1">
      <x:c r="A42" s="199">
        <x:v>38</x:v>
      </x:c>
      <x:c r="B42" s="162"/>
      <x:c r="C42" s="163"/>
      <x:c r="D42" s="163"/>
      <x:c r="E42" s="164"/>
      <x:c r="F42" s="163"/>
      <x:c r="G42" s="185">
        <x:f t="shared" si="0"/>
        <x:v>0</x:v>
      </x:c>
      <x:c r="H42" s="185">
        <x:f t="shared" si="1"/>
        <x:v>0</x:v>
      </x:c>
      <x:c r="I42" s="186">
        <x:f>IF(AND(B42="",C42="",D42="",E42="",F42=""),"",IF(OR(B42="",C42="",E42=""),"БЛОК: нужны дата, тип операции и сумма",IF(N(E42)&lt;=0,"БЛОК: сумма должна быть больше нуля",IF(AND(H42&lt;&gt;0,F42=""),"БЛОК: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отделить",IF(AND(G42&lt;&gt;0,F42=""),"БЛОК: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нельзя",IF(AND(F42&lt;&gt;"",COUNTIF('Долг по актам'!$B$5:$B$34,F42)=0),"БЛОК: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договору")&gt;0)*($C$5:$C$504&lt;&gt;C42)*($E$5:$E$504=E42)*(($D$5:$D$504=D42)*(D42&lt;&gt;"")+($B$5:$B$504=B42)*(B42&lt;&gt;"")&gt;0))&gt;0,"БЛОК: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операцию",IF(AND(C42="Оплата",K42&lt;&gt;"Отдельный платёж — не сам аванс (сверено с выпиской банка)",OR(COUNTIFS($C$5:$C$504,"Зачёт аванса по договору",$E$5:$E$504,E42)&gt;0,ROUND(E42-$M$6,2)=0)),"БЛОК: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" s="185" t="str">
        <x:f>IF(AND(B42="",C42="",E42=""),"",SUM($G$5:G42))</x:f>
        <x:v/>
      </x:c>
      <x:c r="K42" s="178"/>
      <x:c r="L42" s="46"/>
      <x:c r="M42" s="46"/>
    </x:row>
    <x:row r="43" ht="29" customHeight="1">
      <x:c r="A43" s="199">
        <x:v>39</x:v>
      </x:c>
      <x:c r="B43" s="162"/>
      <x:c r="C43" s="163"/>
      <x:c r="D43" s="163"/>
      <x:c r="E43" s="164"/>
      <x:c r="F43" s="163"/>
      <x:c r="G43" s="185">
        <x:f t="shared" si="0"/>
        <x:v>0</x:v>
      </x:c>
      <x:c r="H43" s="185">
        <x:f t="shared" si="1"/>
        <x:v>0</x:v>
      </x:c>
      <x:c r="I43" s="186">
        <x:f>IF(AND(B43="",C43="",D43="",E43="",F43=""),"",IF(OR(B43="",C43="",E43=""),"БЛОК: нужны дата, тип операции и сумма",IF(N(E43)&lt;=0,"БЛОК: сумма должна быть больше нуля",IF(AND(H43&lt;&gt;0,F43=""),"БЛОК: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отделить",IF(AND(G43&lt;&gt;0,F43=""),"БЛОК: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нельзя",IF(AND(F43&lt;&gt;"",COUNTIF('Долг по актам'!$B$5:$B$34,F43)=0),"БЛОК: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договору")&gt;0)*($C$5:$C$504&lt;&gt;C43)*($E$5:$E$504=E43)*(($D$5:$D$504=D43)*(D43&lt;&gt;"")+($B$5:$B$504=B43)*(B43&lt;&gt;"")&gt;0))&gt;0,"БЛОК: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операцию",IF(AND(C43="Оплата",K43&lt;&gt;"Отдельный платёж — не сам аванс (сверено с выпиской банка)",OR(COUNTIFS($C$5:$C$504,"Зачёт аванса по договору",$E$5:$E$504,E43)&gt;0,ROUND(E43-$M$6,2)=0)),"БЛОК: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" s="185" t="str">
        <x:f>IF(AND(B43="",C43="",E43=""),"",SUM($G$5:G43))</x:f>
        <x:v/>
      </x:c>
      <x:c r="K43" s="178"/>
      <x:c r="L43" s="46"/>
      <x:c r="M43" s="46"/>
    </x:row>
    <x:row r="44" ht="29" customHeight="1">
      <x:c r="A44" s="199">
        <x:v>40</x:v>
      </x:c>
      <x:c r="B44" s="162"/>
      <x:c r="C44" s="163"/>
      <x:c r="D44" s="163"/>
      <x:c r="E44" s="164"/>
      <x:c r="F44" s="163"/>
      <x:c r="G44" s="185">
        <x:f t="shared" si="0"/>
        <x:v>0</x:v>
      </x:c>
      <x:c r="H44" s="185">
        <x:f t="shared" si="1"/>
        <x:v>0</x:v>
      </x:c>
      <x:c r="I44" s="186">
        <x:f>IF(AND(B44="",C44="",D44="",E44="",F44=""),"",IF(OR(B44="",C44="",E44=""),"БЛОК: нужны дата, тип операции и сумма",IF(N(E44)&lt;=0,"БЛОК: сумма должна быть больше нуля",IF(AND(H44&lt;&gt;0,F44=""),"БЛОК: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отделить",IF(AND(G44&lt;&gt;0,F44=""),"БЛОК: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нельзя",IF(AND(F44&lt;&gt;"",COUNTIF('Долг по актам'!$B$5:$B$34,F44)=0),"БЛОК: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договору")&gt;0)*($C$5:$C$504&lt;&gt;C44)*($E$5:$E$504=E44)*(($D$5:$D$504=D44)*(D44&lt;&gt;"")+($B$5:$B$504=B44)*(B44&lt;&gt;"")&gt;0))&gt;0,"БЛОК: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операцию",IF(AND(C44="Оплата",K44&lt;&gt;"Отдельный платёж — не сам аванс (сверено с выпиской банка)",OR(COUNTIFS($C$5:$C$504,"Зачёт аванса по договору",$E$5:$E$504,E44)&gt;0,ROUND(E44-$M$6,2)=0)),"БЛОК: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" s="185" t="str">
        <x:f>IF(AND(B44="",C44="",E44=""),"",SUM($G$5:G44))</x:f>
        <x:v/>
      </x:c>
      <x:c r="K44" s="178"/>
      <x:c r="L44" s="46"/>
      <x:c r="M44" s="46"/>
    </x:row>
    <x:row r="45" ht="29" customHeight="1">
      <x:c r="A45" s="199">
        <x:v>41</x:v>
      </x:c>
      <x:c r="B45" s="162"/>
      <x:c r="C45" s="163"/>
      <x:c r="D45" s="163"/>
      <x:c r="E45" s="164"/>
      <x:c r="F45" s="163"/>
      <x:c r="G45" s="185">
        <x:f t="shared" si="0"/>
        <x:v>0</x:v>
      </x:c>
      <x:c r="H45" s="185">
        <x:f t="shared" si="1"/>
        <x:v>0</x:v>
      </x:c>
      <x:c r="I45" s="186">
        <x:f>IF(AND(B45="",C45="",D45="",E45="",F45=""),"",IF(OR(B45="",C45="",E45=""),"БЛОК: нужны дата, тип операции и сумма",IF(N(E45)&lt;=0,"БЛОК: сумма должна быть больше нуля",IF(AND(H45&lt;&gt;0,F45=""),"БЛОК: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отделить",IF(AND(G45&lt;&gt;0,F45=""),"БЛОК: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нельзя",IF(AND(F45&lt;&gt;"",COUNTIF('Долг по актам'!$B$5:$B$34,F45)=0),"БЛОК: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договору")&gt;0)*($C$5:$C$504&lt;&gt;C45)*($E$5:$E$504=E45)*(($D$5:$D$504=D45)*(D45&lt;&gt;"")+($B$5:$B$504=B45)*(B45&lt;&gt;"")&gt;0))&gt;0,"БЛОК: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операцию",IF(AND(C45="Оплата",K45&lt;&gt;"Отдельный платёж — не сам аванс (сверено с выпиской банка)",OR(COUNTIFS($C$5:$C$504,"Зачёт аванса по договору",$E$5:$E$504,E45)&gt;0,ROUND(E45-$M$6,2)=0)),"БЛОК: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" s="185" t="str">
        <x:f>IF(AND(B45="",C45="",E45=""),"",SUM($G$5:G45))</x:f>
        <x:v/>
      </x:c>
      <x:c r="K45" s="178"/>
      <x:c r="L45" s="46"/>
      <x:c r="M45" s="46"/>
    </x:row>
    <x:row r="46" ht="29" customHeight="1">
      <x:c r="A46" s="199">
        <x:v>42</x:v>
      </x:c>
      <x:c r="B46" s="162"/>
      <x:c r="C46" s="163"/>
      <x:c r="D46" s="163"/>
      <x:c r="E46" s="164"/>
      <x:c r="F46" s="163"/>
      <x:c r="G46" s="185">
        <x:f t="shared" si="0"/>
        <x:v>0</x:v>
      </x:c>
      <x:c r="H46" s="185">
        <x:f t="shared" si="1"/>
        <x:v>0</x:v>
      </x:c>
      <x:c r="I46" s="186">
        <x:f>IF(AND(B46="",C46="",D46="",E46="",F46=""),"",IF(OR(B46="",C46="",E46=""),"БЛОК: нужны дата, тип операции и сумма",IF(N(E46)&lt;=0,"БЛОК: сумма должна быть больше нуля",IF(AND(H46&lt;&gt;0,F46=""),"БЛОК: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отделить",IF(AND(G46&lt;&gt;0,F46=""),"БЛОК: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нельзя",IF(AND(F46&lt;&gt;"",COUNTIF('Долг по актам'!$B$5:$B$34,F46)=0),"БЛОК: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договору")&gt;0)*($C$5:$C$504&lt;&gt;C46)*($E$5:$E$504=E46)*(($D$5:$D$504=D46)*(D46&lt;&gt;"")+($B$5:$B$504=B46)*(B46&lt;&gt;"")&gt;0))&gt;0,"БЛОК: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операцию",IF(AND(C46="Оплата",K46&lt;&gt;"Отдельный платёж — не сам аванс (сверено с выпиской банка)",OR(COUNTIFS($C$5:$C$504,"Зачёт аванса по договору",$E$5:$E$504,E46)&gt;0,ROUND(E46-$M$6,2)=0)),"БЛОК: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" s="185" t="str">
        <x:f>IF(AND(B46="",C46="",E46=""),"",SUM($G$5:G46))</x:f>
        <x:v/>
      </x:c>
      <x:c r="K46" s="178"/>
      <x:c r="L46" s="46"/>
      <x:c r="M46" s="46"/>
    </x:row>
    <x:row r="47" ht="29" customHeight="1">
      <x:c r="A47" s="199">
        <x:v>43</x:v>
      </x:c>
      <x:c r="B47" s="162"/>
      <x:c r="C47" s="163"/>
      <x:c r="D47" s="163"/>
      <x:c r="E47" s="164"/>
      <x:c r="F47" s="163"/>
      <x:c r="G47" s="185">
        <x:f t="shared" si="0"/>
        <x:v>0</x:v>
      </x:c>
      <x:c r="H47" s="185">
        <x:f t="shared" si="1"/>
        <x:v>0</x:v>
      </x:c>
      <x:c r="I47" s="186">
        <x:f>IF(AND(B47="",C47="",D47="",E47="",F47=""),"",IF(OR(B47="",C47="",E47=""),"БЛОК: нужны дата, тип операции и сумма",IF(N(E47)&lt;=0,"БЛОК: сумма должна быть больше нуля",IF(AND(H47&lt;&gt;0,F47=""),"БЛОК: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отделить",IF(AND(G47&lt;&gt;0,F47=""),"БЛОК: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нельзя",IF(AND(F47&lt;&gt;"",COUNTIF('Долг по актам'!$B$5:$B$34,F47)=0),"БЛОК: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договору")&gt;0)*($C$5:$C$504&lt;&gt;C47)*($E$5:$E$504=E47)*(($D$5:$D$504=D47)*(D47&lt;&gt;"")+($B$5:$B$504=B47)*(B47&lt;&gt;"")&gt;0))&gt;0,"БЛОК: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операцию",IF(AND(C47="Оплата",K47&lt;&gt;"Отдельный платёж — не сам аванс (сверено с выпиской банка)",OR(COUNTIFS($C$5:$C$504,"Зачёт аванса по договору",$E$5:$E$504,E47)&gt;0,ROUND(E47-$M$6,2)=0)),"БЛОК: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" s="185" t="str">
        <x:f>IF(AND(B47="",C47="",E47=""),"",SUM($G$5:G47))</x:f>
        <x:v/>
      </x:c>
      <x:c r="K47" s="178"/>
      <x:c r="L47" s="46"/>
      <x:c r="M47" s="46"/>
    </x:row>
    <x:row r="48" ht="29" customHeight="1">
      <x:c r="A48" s="199">
        <x:v>44</x:v>
      </x:c>
      <x:c r="B48" s="162"/>
      <x:c r="C48" s="163"/>
      <x:c r="D48" s="163"/>
      <x:c r="E48" s="164"/>
      <x:c r="F48" s="163"/>
      <x:c r="G48" s="185">
        <x:f t="shared" si="0"/>
        <x:v>0</x:v>
      </x:c>
      <x:c r="H48" s="185">
        <x:f t="shared" si="1"/>
        <x:v>0</x:v>
      </x:c>
      <x:c r="I48" s="186">
        <x:f>IF(AND(B48="",C48="",D48="",E48="",F48=""),"",IF(OR(B48="",C48="",E48=""),"БЛОК: нужны дата, тип операции и сумма",IF(N(E48)&lt;=0,"БЛОК: сумма должна быть больше нуля",IF(AND(H48&lt;&gt;0,F48=""),"БЛОК: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отделить",IF(AND(G48&lt;&gt;0,F48=""),"БЛОК: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нельзя",IF(AND(F48&lt;&gt;"",COUNTIF('Долг по актам'!$B$5:$B$34,F48)=0),"БЛОК: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договору")&gt;0)*($C$5:$C$504&lt;&gt;C48)*($E$5:$E$504=E48)*(($D$5:$D$504=D48)*(D48&lt;&gt;"")+($B$5:$B$504=B48)*(B48&lt;&gt;"")&gt;0))&gt;0,"БЛОК: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операцию",IF(AND(C48="Оплата",K48&lt;&gt;"Отдельный платёж — не сам аванс (сверено с выпиской банка)",OR(COUNTIFS($C$5:$C$504,"Зачёт аванса по договору",$E$5:$E$504,E48)&gt;0,ROUND(E48-$M$6,2)=0)),"БЛОК: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" s="185" t="str">
        <x:f>IF(AND(B48="",C48="",E48=""),"",SUM($G$5:G48))</x:f>
        <x:v/>
      </x:c>
      <x:c r="K48" s="178"/>
      <x:c r="L48" s="46"/>
      <x:c r="M48" s="46"/>
    </x:row>
    <x:row r="49" ht="29" customHeight="1">
      <x:c r="A49" s="199">
        <x:v>45</x:v>
      </x:c>
      <x:c r="B49" s="162"/>
      <x:c r="C49" s="163"/>
      <x:c r="D49" s="163"/>
      <x:c r="E49" s="164"/>
      <x:c r="F49" s="163"/>
      <x:c r="G49" s="185">
        <x:f t="shared" si="0"/>
        <x:v>0</x:v>
      </x:c>
      <x:c r="H49" s="185">
        <x:f t="shared" si="1"/>
        <x:v>0</x:v>
      </x:c>
      <x:c r="I49" s="186">
        <x:f>IF(AND(B49="",C49="",D49="",E49="",F49=""),"",IF(OR(B49="",C49="",E49=""),"БЛОК: нужны дата, тип операции и сумма",IF(N(E49)&lt;=0,"БЛОК: сумма должна быть больше нуля",IF(AND(H49&lt;&gt;0,F49=""),"БЛОК: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отделить",IF(AND(G49&lt;&gt;0,F49=""),"БЛОК: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нельзя",IF(AND(F49&lt;&gt;"",COUNTIF('Долг по актам'!$B$5:$B$34,F49)=0),"БЛОК: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договору")&gt;0)*($C$5:$C$504&lt;&gt;C49)*($E$5:$E$504=E49)*(($D$5:$D$504=D49)*(D49&lt;&gt;"")+($B$5:$B$504=B49)*(B49&lt;&gt;"")&gt;0))&gt;0,"БЛОК: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операцию",IF(AND(C49="Оплата",K49&lt;&gt;"Отдельный платёж — не сам аванс (сверено с выпиской банка)",OR(COUNTIFS($C$5:$C$504,"Зачёт аванса по договору",$E$5:$E$504,E49)&gt;0,ROUND(E49-$M$6,2)=0)),"БЛОК: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" s="185" t="str">
        <x:f>IF(AND(B49="",C49="",E49=""),"",SUM($G$5:G49))</x:f>
        <x:v/>
      </x:c>
      <x:c r="K49" s="178"/>
      <x:c r="L49" s="46"/>
      <x:c r="M49" s="46"/>
    </x:row>
    <x:row r="50" ht="29" customHeight="1">
      <x:c r="A50" s="199">
        <x:v>46</x:v>
      </x:c>
      <x:c r="B50" s="162"/>
      <x:c r="C50" s="163"/>
      <x:c r="D50" s="163"/>
      <x:c r="E50" s="164"/>
      <x:c r="F50" s="163"/>
      <x:c r="G50" s="185">
        <x:f t="shared" si="0"/>
        <x:v>0</x:v>
      </x:c>
      <x:c r="H50" s="185">
        <x:f t="shared" si="1"/>
        <x:v>0</x:v>
      </x:c>
      <x:c r="I50" s="186">
        <x:f>IF(AND(B50="",C50="",D50="",E50="",F50=""),"",IF(OR(B50="",C50="",E50=""),"БЛОК: нужны дата, тип операции и сумма",IF(N(E50)&lt;=0,"БЛОК: сумма должна быть больше нуля",IF(AND(H50&lt;&gt;0,F50=""),"БЛОК: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отделить",IF(AND(G50&lt;&gt;0,F50=""),"БЛОК: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нельзя",IF(AND(F50&lt;&gt;"",COUNTIF('Долг по актам'!$B$5:$B$34,F50)=0),"БЛОК: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договору")&gt;0)*($C$5:$C$504&lt;&gt;C50)*($E$5:$E$504=E50)*(($D$5:$D$504=D50)*(D50&lt;&gt;"")+($B$5:$B$504=B50)*(B50&lt;&gt;"")&gt;0))&gt;0,"БЛОК: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операцию",IF(AND(C50="Оплата",K50&lt;&gt;"Отдельный платёж — не сам аванс (сверено с выпиской банка)",OR(COUNTIFS($C$5:$C$504,"Зачёт аванса по договору",$E$5:$E$504,E50)&gt;0,ROUND(E50-$M$6,2)=0)),"БЛОК: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0" s="185" t="str">
        <x:f>IF(AND(B50="",C50="",E50=""),"",SUM($G$5:G50))</x:f>
        <x:v/>
      </x:c>
      <x:c r="K50" s="178"/>
      <x:c r="L50" s="46"/>
      <x:c r="M50" s="46"/>
    </x:row>
    <x:row r="51" ht="29" customHeight="1">
      <x:c r="A51" s="199">
        <x:v>47</x:v>
      </x:c>
      <x:c r="B51" s="162"/>
      <x:c r="C51" s="163"/>
      <x:c r="D51" s="163"/>
      <x:c r="E51" s="164"/>
      <x:c r="F51" s="163"/>
      <x:c r="G51" s="185">
        <x:f t="shared" si="0"/>
        <x:v>0</x:v>
      </x:c>
      <x:c r="H51" s="185">
        <x:f t="shared" si="1"/>
        <x:v>0</x:v>
      </x:c>
      <x:c r="I51" s="186">
        <x:f>IF(AND(B51="",C51="",D51="",E51="",F51=""),"",IF(OR(B51="",C51="",E51=""),"БЛОК: нужны дата, тип операции и сумма",IF(N(E51)&lt;=0,"БЛОК: сумма должна быть больше нуля",IF(AND(H51&lt;&gt;0,F51=""),"БЛОК: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отделить",IF(AND(G51&lt;&gt;0,F51=""),"БЛОК: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нельзя",IF(AND(F51&lt;&gt;"",COUNTIF('Долг по актам'!$B$5:$B$34,F51)=0),"БЛОК: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договору")&gt;0)*($C$5:$C$504&lt;&gt;C51)*($E$5:$E$504=E51)*(($D$5:$D$504=D51)*(D51&lt;&gt;"")+($B$5:$B$504=B51)*(B51&lt;&gt;"")&gt;0))&gt;0,"БЛОК: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операцию",IF(AND(C51="Оплата",K51&lt;&gt;"Отдельный платёж — не сам аванс (сверено с выпиской банка)",OR(COUNTIFS($C$5:$C$504,"Зачёт аванса по договору",$E$5:$E$504,E51)&gt;0,ROUND(E51-$M$6,2)=0)),"БЛОК: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1" s="185" t="str">
        <x:f>IF(AND(B51="",C51="",E51=""),"",SUM($G$5:G51))</x:f>
        <x:v/>
      </x:c>
      <x:c r="K51" s="178"/>
      <x:c r="L51" s="46"/>
      <x:c r="M51" s="46"/>
    </x:row>
    <x:row r="52" ht="29" customHeight="1">
      <x:c r="A52" s="199">
        <x:v>48</x:v>
      </x:c>
      <x:c r="B52" s="162"/>
      <x:c r="C52" s="163"/>
      <x:c r="D52" s="163"/>
      <x:c r="E52" s="164"/>
      <x:c r="F52" s="163"/>
      <x:c r="G52" s="185">
        <x:f t="shared" si="0"/>
        <x:v>0</x:v>
      </x:c>
      <x:c r="H52" s="185">
        <x:f t="shared" si="1"/>
        <x:v>0</x:v>
      </x:c>
      <x:c r="I52" s="186">
        <x:f>IF(AND(B52="",C52="",D52="",E52="",F52=""),"",IF(OR(B52="",C52="",E52=""),"БЛОК: нужны дата, тип операции и сумма",IF(N(E52)&lt;=0,"БЛОК: сумма должна быть больше нуля",IF(AND(H52&lt;&gt;0,F52=""),"БЛОК: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отделить",IF(AND(G52&lt;&gt;0,F52=""),"БЛОК: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нельзя",IF(AND(F52&lt;&gt;"",COUNTIF('Долг по актам'!$B$5:$B$34,F52)=0),"БЛОК: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договору")&gt;0)*($C$5:$C$504&lt;&gt;C52)*($E$5:$E$504=E52)*(($D$5:$D$504=D52)*(D52&lt;&gt;"")+($B$5:$B$504=B52)*(B52&lt;&gt;"")&gt;0))&gt;0,"БЛОК: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операцию",IF(AND(C52="Оплата",K52&lt;&gt;"Отдельный платёж — не сам аванс (сверено с выпиской банка)",OR(COUNTIFS($C$5:$C$504,"Зачёт аванса по договору",$E$5:$E$504,E52)&gt;0,ROUND(E52-$M$6,2)=0)),"БЛОК: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2" s="185" t="str">
        <x:f>IF(AND(B52="",C52="",E52=""),"",SUM($G$5:G52))</x:f>
        <x:v/>
      </x:c>
      <x:c r="K52" s="178"/>
      <x:c r="L52" s="46"/>
      <x:c r="M52" s="46"/>
    </x:row>
    <x:row r="53" ht="29" customHeight="1">
      <x:c r="A53" s="199">
        <x:v>49</x:v>
      </x:c>
      <x:c r="B53" s="162"/>
      <x:c r="C53" s="163"/>
      <x:c r="D53" s="163"/>
      <x:c r="E53" s="164"/>
      <x:c r="F53" s="163"/>
      <x:c r="G53" s="185">
        <x:f t="shared" si="0"/>
        <x:v>0</x:v>
      </x:c>
      <x:c r="H53" s="185">
        <x:f t="shared" si="1"/>
        <x:v>0</x:v>
      </x:c>
      <x:c r="I53" s="186">
        <x:f>IF(AND(B53="",C53="",D53="",E53="",F53=""),"",IF(OR(B53="",C53="",E53=""),"БЛОК: нужны дата, тип операции и сумма",IF(N(E53)&lt;=0,"БЛОК: сумма должна быть больше нуля",IF(AND(H53&lt;&gt;0,F53=""),"БЛОК: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отделить",IF(AND(G53&lt;&gt;0,F53=""),"БЛОК: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нельзя",IF(AND(F53&lt;&gt;"",COUNTIF('Долг по актам'!$B$5:$B$34,F53)=0),"БЛОК: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договору")&gt;0)*($C$5:$C$504&lt;&gt;C53)*($E$5:$E$504=E53)*(($D$5:$D$504=D53)*(D53&lt;&gt;"")+($B$5:$B$504=B53)*(B53&lt;&gt;"")&gt;0))&gt;0,"БЛОК: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операцию",IF(AND(C53="Оплата",K53&lt;&gt;"Отдельный платёж — не сам аванс (сверено с выпиской банка)",OR(COUNTIFS($C$5:$C$504,"Зачёт аванса по договору",$E$5:$E$504,E53)&gt;0,ROUND(E53-$M$6,2)=0)),"БЛОК: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3" s="185" t="str">
        <x:f>IF(AND(B53="",C53="",E53=""),"",SUM($G$5:G53))</x:f>
        <x:v/>
      </x:c>
      <x:c r="K53" s="178"/>
      <x:c r="L53" s="46"/>
      <x:c r="M53" s="46"/>
    </x:row>
    <x:row r="54" ht="29" customHeight="1">
      <x:c r="A54" s="199">
        <x:v>50</x:v>
      </x:c>
      <x:c r="B54" s="162"/>
      <x:c r="C54" s="163"/>
      <x:c r="D54" s="163"/>
      <x:c r="E54" s="164"/>
      <x:c r="F54" s="163"/>
      <x:c r="G54" s="185">
        <x:f t="shared" si="0"/>
        <x:v>0</x:v>
      </x:c>
      <x:c r="H54" s="185">
        <x:f t="shared" si="1"/>
        <x:v>0</x:v>
      </x:c>
      <x:c r="I54" s="186">
        <x:f>IF(AND(B54="",C54="",D54="",E54="",F54=""),"",IF(OR(B54="",C54="",E54=""),"БЛОК: нужны дата, тип операции и сумма",IF(N(E54)&lt;=0,"БЛОК: сумма должна быть больше нуля",IF(AND(H54&lt;&gt;0,F54=""),"БЛОК: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отделить",IF(AND(G54&lt;&gt;0,F54=""),"БЛОК: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нельзя",IF(AND(F54&lt;&gt;"",COUNTIF('Долг по актам'!$B$5:$B$34,F54)=0),"БЛОК: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договору")&gt;0)*($C$5:$C$504&lt;&gt;C54)*($E$5:$E$504=E54)*(($D$5:$D$504=D54)*(D54&lt;&gt;"")+($B$5:$B$504=B54)*(B54&lt;&gt;"")&gt;0))&gt;0,"БЛОК: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операцию",IF(AND(C54="Оплата",K54&lt;&gt;"Отдельный платёж — не сам аванс (сверено с выпиской банка)",OR(COUNTIFS($C$5:$C$504,"Зачёт аванса по договору",$E$5:$E$504,E54)&gt;0,ROUND(E54-$M$6,2)=0)),"БЛОК: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4" s="185" t="str">
        <x:f>IF(AND(B54="",C54="",E54=""),"",SUM($G$5:G54))</x:f>
        <x:v/>
      </x:c>
      <x:c r="K54" s="178"/>
      <x:c r="L54" s="46"/>
      <x:c r="M54" s="46"/>
    </x:row>
    <x:row r="55" ht="29" customHeight="1">
      <x:c r="A55" s="199">
        <x:v>51</x:v>
      </x:c>
      <x:c r="B55" s="162"/>
      <x:c r="C55" s="163"/>
      <x:c r="D55" s="163"/>
      <x:c r="E55" s="164"/>
      <x:c r="F55" s="163"/>
      <x:c r="G55" s="185">
        <x:f t="shared" si="0"/>
        <x:v>0</x:v>
      </x:c>
      <x:c r="H55" s="185">
        <x:f t="shared" si="1"/>
        <x:v>0</x:v>
      </x:c>
      <x:c r="I55" s="186">
        <x:f>IF(AND(B55="",C55="",D55="",E55="",F55=""),"",IF(OR(B55="",C55="",E55=""),"БЛОК: нужны дата, тип операции и сумма",IF(N(E55)&lt;=0,"БЛОК: сумма должна быть больше нуля",IF(AND(H55&lt;&gt;0,F55=""),"БЛОК: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отделить",IF(AND(G55&lt;&gt;0,F55=""),"БЛОК: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нельзя",IF(AND(F55&lt;&gt;"",COUNTIF('Долг по актам'!$B$5:$B$34,F55)=0),"БЛОК: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договору")&gt;0)*($C$5:$C$504&lt;&gt;C55)*($E$5:$E$504=E55)*(($D$5:$D$504=D55)*(D55&lt;&gt;"")+($B$5:$B$504=B55)*(B55&lt;&gt;"")&gt;0))&gt;0,"БЛОК: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операцию",IF(AND(C55="Оплата",K55&lt;&gt;"Отдельный платёж — не сам аванс (сверено с выпиской банка)",OR(COUNTIFS($C$5:$C$504,"Зачёт аванса по договору",$E$5:$E$504,E55)&gt;0,ROUND(E55-$M$6,2)=0)),"БЛОК: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5" s="185" t="str">
        <x:f>IF(AND(B55="",C55="",E55=""),"",SUM($G$5:G55))</x:f>
        <x:v/>
      </x:c>
      <x:c r="K55" s="178"/>
      <x:c r="L55" s="46"/>
      <x:c r="M55" s="46"/>
    </x:row>
    <x:row r="56" ht="29" customHeight="1">
      <x:c r="A56" s="199">
        <x:v>52</x:v>
      </x:c>
      <x:c r="B56" s="162"/>
      <x:c r="C56" s="163"/>
      <x:c r="D56" s="163"/>
      <x:c r="E56" s="164"/>
      <x:c r="F56" s="163"/>
      <x:c r="G56" s="185">
        <x:f t="shared" si="0"/>
        <x:v>0</x:v>
      </x:c>
      <x:c r="H56" s="185">
        <x:f t="shared" si="1"/>
        <x:v>0</x:v>
      </x:c>
      <x:c r="I56" s="186">
        <x:f>IF(AND(B56="",C56="",D56="",E56="",F56=""),"",IF(OR(B56="",C56="",E56=""),"БЛОК: нужны дата, тип операции и сумма",IF(N(E56)&lt;=0,"БЛОК: сумма должна быть больше нуля",IF(AND(H56&lt;&gt;0,F56=""),"БЛОК: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отделить",IF(AND(G56&lt;&gt;0,F56=""),"БЛОК: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нельзя",IF(AND(F56&lt;&gt;"",COUNTIF('Долг по актам'!$B$5:$B$34,F56)=0),"БЛОК: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договору")&gt;0)*($C$5:$C$504&lt;&gt;C56)*($E$5:$E$504=E56)*(($D$5:$D$504=D56)*(D56&lt;&gt;"")+($B$5:$B$504=B56)*(B56&lt;&gt;"")&gt;0))&gt;0,"БЛОК: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операцию",IF(AND(C56="Оплата",K56&lt;&gt;"Отдельный платёж — не сам аванс (сверено с выпиской банка)",OR(COUNTIFS($C$5:$C$504,"Зачёт аванса по договору",$E$5:$E$504,E56)&gt;0,ROUND(E56-$M$6,2)=0)),"БЛОК: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6" s="185" t="str">
        <x:f>IF(AND(B56="",C56="",E56=""),"",SUM($G$5:G56))</x:f>
        <x:v/>
      </x:c>
      <x:c r="K56" s="178"/>
      <x:c r="L56" s="46"/>
      <x:c r="M56" s="46"/>
    </x:row>
    <x:row r="57" ht="29" customHeight="1">
      <x:c r="A57" s="199">
        <x:v>53</x:v>
      </x:c>
      <x:c r="B57" s="162"/>
      <x:c r="C57" s="163"/>
      <x:c r="D57" s="163"/>
      <x:c r="E57" s="164"/>
      <x:c r="F57" s="163"/>
      <x:c r="G57" s="185">
        <x:f t="shared" si="0"/>
        <x:v>0</x:v>
      </x:c>
      <x:c r="H57" s="185">
        <x:f t="shared" si="1"/>
        <x:v>0</x:v>
      </x:c>
      <x:c r="I57" s="186">
        <x:f>IF(AND(B57="",C57="",D57="",E57="",F57=""),"",IF(OR(B57="",C57="",E57=""),"БЛОК: нужны дата, тип операции и сумма",IF(N(E57)&lt;=0,"БЛОК: сумма должна быть больше нуля",IF(AND(H57&lt;&gt;0,F57=""),"БЛОК: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отделить",IF(AND(G57&lt;&gt;0,F57=""),"БЛОК: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нельзя",IF(AND(F57&lt;&gt;"",COUNTIF('Долг по актам'!$B$5:$B$34,F57)=0),"БЛОК: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договору")&gt;0)*($C$5:$C$504&lt;&gt;C57)*($E$5:$E$504=E57)*(($D$5:$D$504=D57)*(D57&lt;&gt;"")+($B$5:$B$504=B57)*(B57&lt;&gt;"")&gt;0))&gt;0,"БЛОК: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операцию",IF(AND(C57="Оплата",K57&lt;&gt;"Отдельный платёж — не сам аванс (сверено с выпиской банка)",OR(COUNTIFS($C$5:$C$504,"Зачёт аванса по договору",$E$5:$E$504,E57)&gt;0,ROUND(E57-$M$6,2)=0)),"БЛОК: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7" s="185" t="str">
        <x:f>IF(AND(B57="",C57="",E57=""),"",SUM($G$5:G57))</x:f>
        <x:v/>
      </x:c>
      <x:c r="K57" s="178"/>
      <x:c r="L57" s="46"/>
      <x:c r="M57" s="46"/>
    </x:row>
    <x:row r="58" ht="29" customHeight="1">
      <x:c r="A58" s="199">
        <x:v>54</x:v>
      </x:c>
      <x:c r="B58" s="162"/>
      <x:c r="C58" s="163"/>
      <x:c r="D58" s="163"/>
      <x:c r="E58" s="164"/>
      <x:c r="F58" s="163"/>
      <x:c r="G58" s="185">
        <x:f t="shared" si="0"/>
        <x:v>0</x:v>
      </x:c>
      <x:c r="H58" s="185">
        <x:f t="shared" si="1"/>
        <x:v>0</x:v>
      </x:c>
      <x:c r="I58" s="186">
        <x:f>IF(AND(B58="",C58="",D58="",E58="",F58=""),"",IF(OR(B58="",C58="",E58=""),"БЛОК: нужны дата, тип операции и сумма",IF(N(E58)&lt;=0,"БЛОК: сумма должна быть больше нуля",IF(AND(H58&lt;&gt;0,F58=""),"БЛОК: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отделить",IF(AND(G58&lt;&gt;0,F58=""),"БЛОК: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нельзя",IF(AND(F58&lt;&gt;"",COUNTIF('Долг по актам'!$B$5:$B$34,F58)=0),"БЛОК: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договору")&gt;0)*($C$5:$C$504&lt;&gt;C58)*($E$5:$E$504=E58)*(($D$5:$D$504=D58)*(D58&lt;&gt;"")+($B$5:$B$504=B58)*(B58&lt;&gt;"")&gt;0))&gt;0,"БЛОК: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операцию",IF(AND(C58="Оплата",K58&lt;&gt;"Отдельный платёж — не сам аванс (сверено с выпиской банка)",OR(COUNTIFS($C$5:$C$504,"Зачёт аванса по договору",$E$5:$E$504,E58)&gt;0,ROUND(E58-$M$6,2)=0)),"БЛОК: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8" s="185" t="str">
        <x:f>IF(AND(B58="",C58="",E58=""),"",SUM($G$5:G58))</x:f>
        <x:v/>
      </x:c>
      <x:c r="K58" s="178"/>
      <x:c r="L58" s="46"/>
      <x:c r="M58" s="46"/>
    </x:row>
    <x:row r="59" ht="29" customHeight="1">
      <x:c r="A59" s="199">
        <x:v>55</x:v>
      </x:c>
      <x:c r="B59" s="162"/>
      <x:c r="C59" s="163"/>
      <x:c r="D59" s="163"/>
      <x:c r="E59" s="164"/>
      <x:c r="F59" s="163"/>
      <x:c r="G59" s="185">
        <x:f t="shared" si="0"/>
        <x:v>0</x:v>
      </x:c>
      <x:c r="H59" s="185">
        <x:f t="shared" si="1"/>
        <x:v>0</x:v>
      </x:c>
      <x:c r="I59" s="186">
        <x:f>IF(AND(B59="",C59="",D59="",E59="",F59=""),"",IF(OR(B59="",C59="",E59=""),"БЛОК: нужны дата, тип операции и сумма",IF(N(E59)&lt;=0,"БЛОК: сумма должна быть больше нуля",IF(AND(H59&lt;&gt;0,F59=""),"БЛОК: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отделить",IF(AND(G59&lt;&gt;0,F59=""),"БЛОК: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нельзя",IF(AND(F59&lt;&gt;"",COUNTIF('Долг по актам'!$B$5:$B$34,F59)=0),"БЛОК: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договору")&gt;0)*($C$5:$C$504&lt;&gt;C59)*($E$5:$E$504=E59)*(($D$5:$D$504=D59)*(D59&lt;&gt;"")+($B$5:$B$504=B59)*(B59&lt;&gt;"")&gt;0))&gt;0,"БЛОК: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операцию",IF(AND(C59="Оплата",K59&lt;&gt;"Отдельный платёж — не сам аванс (сверено с выпиской банка)",OR(COUNTIFS($C$5:$C$504,"Зачёт аванса по договору",$E$5:$E$504,E59)&gt;0,ROUND(E59-$M$6,2)=0)),"БЛОК: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9" s="185" t="str">
        <x:f>IF(AND(B59="",C59="",E59=""),"",SUM($G$5:G59))</x:f>
        <x:v/>
      </x:c>
      <x:c r="K59" s="178"/>
      <x:c r="L59" s="46"/>
      <x:c r="M59" s="46"/>
    </x:row>
    <x:row r="60" ht="29" customHeight="1">
      <x:c r="A60" s="199">
        <x:v>56</x:v>
      </x:c>
      <x:c r="B60" s="162"/>
      <x:c r="C60" s="163"/>
      <x:c r="D60" s="163"/>
      <x:c r="E60" s="164"/>
      <x:c r="F60" s="163"/>
      <x:c r="G60" s="185">
        <x:f t="shared" si="0"/>
        <x:v>0</x:v>
      </x:c>
      <x:c r="H60" s="185">
        <x:f t="shared" si="1"/>
        <x:v>0</x:v>
      </x:c>
      <x:c r="I60" s="186">
        <x:f>IF(AND(B60="",C60="",D60="",E60="",F60=""),"",IF(OR(B60="",C60="",E60=""),"БЛОК: нужны дата, тип операции и сумма",IF(N(E60)&lt;=0,"БЛОК: сумма должна быть больше нуля",IF(AND(H60&lt;&gt;0,F60=""),"БЛОК: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отделить",IF(AND(G60&lt;&gt;0,F60=""),"БЛОК: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нельзя",IF(AND(F60&lt;&gt;"",COUNTIF('Долг по актам'!$B$5:$B$34,F60)=0),"БЛОК: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договору")&gt;0)*($C$5:$C$504&lt;&gt;C60)*($E$5:$E$504=E60)*(($D$5:$D$504=D60)*(D60&lt;&gt;"")+($B$5:$B$504=B60)*(B60&lt;&gt;"")&gt;0))&gt;0,"БЛОК: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операцию",IF(AND(C60="Оплата",K60&lt;&gt;"Отдельный платёж — не сам аванс (сверено с выпиской банка)",OR(COUNTIFS($C$5:$C$504,"Зачёт аванса по договору",$E$5:$E$504,E60)&gt;0,ROUND(E60-$M$6,2)=0)),"БЛОК: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0" s="185" t="str">
        <x:f>IF(AND(B60="",C60="",E60=""),"",SUM($G$5:G60))</x:f>
        <x:v/>
      </x:c>
      <x:c r="K60" s="178"/>
      <x:c r="L60" s="46"/>
      <x:c r="M60" s="46"/>
    </x:row>
    <x:row r="61" ht="29" customHeight="1">
      <x:c r="A61" s="199">
        <x:v>57</x:v>
      </x:c>
      <x:c r="B61" s="162"/>
      <x:c r="C61" s="163"/>
      <x:c r="D61" s="163"/>
      <x:c r="E61" s="164"/>
      <x:c r="F61" s="163"/>
      <x:c r="G61" s="185">
        <x:f t="shared" si="0"/>
        <x:v>0</x:v>
      </x:c>
      <x:c r="H61" s="185">
        <x:f t="shared" si="1"/>
        <x:v>0</x:v>
      </x:c>
      <x:c r="I61" s="186">
        <x:f>IF(AND(B61="",C61="",D61="",E61="",F61=""),"",IF(OR(B61="",C61="",E61=""),"БЛОК: нужны дата, тип операции и сумма",IF(N(E61)&lt;=0,"БЛОК: сумма должна быть больше нуля",IF(AND(H61&lt;&gt;0,F61=""),"БЛОК: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отделить",IF(AND(G61&lt;&gt;0,F61=""),"БЛОК: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нельзя",IF(AND(F61&lt;&gt;"",COUNTIF('Долг по актам'!$B$5:$B$34,F61)=0),"БЛОК: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договору")&gt;0)*($C$5:$C$504&lt;&gt;C61)*($E$5:$E$504=E61)*(($D$5:$D$504=D61)*(D61&lt;&gt;"")+($B$5:$B$504=B61)*(B61&lt;&gt;"")&gt;0))&gt;0,"БЛОК: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операцию",IF(AND(C61="Оплата",K61&lt;&gt;"Отдельный платёж — не сам аванс (сверено с выпиской банка)",OR(COUNTIFS($C$5:$C$504,"Зачёт аванса по договору",$E$5:$E$504,E61)&gt;0,ROUND(E61-$M$6,2)=0)),"БЛОК: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1" s="185" t="str">
        <x:f>IF(AND(B61="",C61="",E61=""),"",SUM($G$5:G61))</x:f>
        <x:v/>
      </x:c>
      <x:c r="K61" s="178"/>
      <x:c r="L61" s="46"/>
      <x:c r="M61" s="46"/>
    </x:row>
    <x:row r="62" ht="29" customHeight="1">
      <x:c r="A62" s="199">
        <x:v>58</x:v>
      </x:c>
      <x:c r="B62" s="162"/>
      <x:c r="C62" s="163"/>
      <x:c r="D62" s="163"/>
      <x:c r="E62" s="164"/>
      <x:c r="F62" s="163"/>
      <x:c r="G62" s="185">
        <x:f t="shared" si="0"/>
        <x:v>0</x:v>
      </x:c>
      <x:c r="H62" s="185">
        <x:f t="shared" si="1"/>
        <x:v>0</x:v>
      </x:c>
      <x:c r="I62" s="186">
        <x:f>IF(AND(B62="",C62="",D62="",E62="",F62=""),"",IF(OR(B62="",C62="",E62=""),"БЛОК: нужны дата, тип операции и сумма",IF(N(E62)&lt;=0,"БЛОК: сумма должна быть больше нуля",IF(AND(H62&lt;&gt;0,F62=""),"БЛОК: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отделить",IF(AND(G62&lt;&gt;0,F62=""),"БЛОК: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нельзя",IF(AND(F62&lt;&gt;"",COUNTIF('Долг по актам'!$B$5:$B$34,F62)=0),"БЛОК: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договору")&gt;0)*($C$5:$C$504&lt;&gt;C62)*($E$5:$E$504=E62)*(($D$5:$D$504=D62)*(D62&lt;&gt;"")+($B$5:$B$504=B62)*(B62&lt;&gt;"")&gt;0))&gt;0,"БЛОК: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операцию",IF(AND(C62="Оплата",K62&lt;&gt;"Отдельный платёж — не сам аванс (сверено с выпиской банка)",OR(COUNTIFS($C$5:$C$504,"Зачёт аванса по договору",$E$5:$E$504,E62)&gt;0,ROUND(E62-$M$6,2)=0)),"БЛОК: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2" s="185" t="str">
        <x:f>IF(AND(B62="",C62="",E62=""),"",SUM($G$5:G62))</x:f>
        <x:v/>
      </x:c>
      <x:c r="K62" s="178"/>
      <x:c r="L62" s="46"/>
      <x:c r="M62" s="46"/>
    </x:row>
    <x:row r="63" ht="29" customHeight="1">
      <x:c r="A63" s="199">
        <x:v>59</x:v>
      </x:c>
      <x:c r="B63" s="162"/>
      <x:c r="C63" s="163"/>
      <x:c r="D63" s="163"/>
      <x:c r="E63" s="164"/>
      <x:c r="F63" s="163"/>
      <x:c r="G63" s="185">
        <x:f t="shared" si="0"/>
        <x:v>0</x:v>
      </x:c>
      <x:c r="H63" s="185">
        <x:f t="shared" si="1"/>
        <x:v>0</x:v>
      </x:c>
      <x:c r="I63" s="186">
        <x:f>IF(AND(B63="",C63="",D63="",E63="",F63=""),"",IF(OR(B63="",C63="",E63=""),"БЛОК: нужны дата, тип операции и сумма",IF(N(E63)&lt;=0,"БЛОК: сумма должна быть больше нуля",IF(AND(H63&lt;&gt;0,F63=""),"БЛОК: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отделить",IF(AND(G63&lt;&gt;0,F63=""),"БЛОК: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нельзя",IF(AND(F63&lt;&gt;"",COUNTIF('Долг по актам'!$B$5:$B$34,F63)=0),"БЛОК: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договору")&gt;0)*($C$5:$C$504&lt;&gt;C63)*($E$5:$E$504=E63)*(($D$5:$D$504=D63)*(D63&lt;&gt;"")+($B$5:$B$504=B63)*(B63&lt;&gt;"")&gt;0))&gt;0,"БЛОК: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операцию",IF(AND(C63="Оплата",K63&lt;&gt;"Отдельный платёж — не сам аванс (сверено с выпиской банка)",OR(COUNTIFS($C$5:$C$504,"Зачёт аванса по договору",$E$5:$E$504,E63)&gt;0,ROUND(E63-$M$6,2)=0)),"БЛОК: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3" s="185" t="str">
        <x:f>IF(AND(B63="",C63="",E63=""),"",SUM($G$5:G63))</x:f>
        <x:v/>
      </x:c>
      <x:c r="K63" s="178"/>
      <x:c r="L63" s="46"/>
      <x:c r="M63" s="46"/>
    </x:row>
    <x:row r="64" ht="29" customHeight="1">
      <x:c r="A64" s="199">
        <x:v>60</x:v>
      </x:c>
      <x:c r="B64" s="162"/>
      <x:c r="C64" s="163"/>
      <x:c r="D64" s="163"/>
      <x:c r="E64" s="164"/>
      <x:c r="F64" s="163"/>
      <x:c r="G64" s="185">
        <x:f t="shared" si="0"/>
        <x:v>0</x:v>
      </x:c>
      <x:c r="H64" s="185">
        <x:f t="shared" si="1"/>
        <x:v>0</x:v>
      </x:c>
      <x:c r="I64" s="186">
        <x:f>IF(AND(B64="",C64="",D64="",E64="",F64=""),"",IF(OR(B64="",C64="",E64=""),"БЛОК: нужны дата, тип операции и сумма",IF(N(E64)&lt;=0,"БЛОК: сумма должна быть больше нуля",IF(AND(H64&lt;&gt;0,F64=""),"БЛОК: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отделить",IF(AND(G64&lt;&gt;0,F64=""),"БЛОК: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нельзя",IF(AND(F64&lt;&gt;"",COUNTIF('Долг по актам'!$B$5:$B$34,F64)=0),"БЛОК: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договору")&gt;0)*($C$5:$C$504&lt;&gt;C64)*($E$5:$E$504=E64)*(($D$5:$D$504=D64)*(D64&lt;&gt;"")+($B$5:$B$504=B64)*(B64&lt;&gt;"")&gt;0))&gt;0,"БЛОК: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операцию",IF(AND(C64="Оплата",K64&lt;&gt;"Отдельный платёж — не сам аванс (сверено с выпиской банка)",OR(COUNTIFS($C$5:$C$504,"Зачёт аванса по договору",$E$5:$E$504,E64)&gt;0,ROUND(E64-$M$6,2)=0)),"БЛОК: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4" s="185" t="str">
        <x:f>IF(AND(B64="",C64="",E64=""),"",SUM($G$5:G64))</x:f>
        <x:v/>
      </x:c>
      <x:c r="K64" s="178"/>
      <x:c r="L64" s="46"/>
      <x:c r="M64" s="46"/>
    </x:row>
    <x:row r="65" ht="29" customHeight="1">
      <x:c r="A65" s="199">
        <x:v>61</x:v>
      </x:c>
      <x:c r="B65" s="162"/>
      <x:c r="C65" s="163"/>
      <x:c r="D65" s="163"/>
      <x:c r="E65" s="164"/>
      <x:c r="F65" s="163"/>
      <x:c r="G65" s="185">
        <x:f t="shared" si="0"/>
        <x:v>0</x:v>
      </x:c>
      <x:c r="H65" s="185">
        <x:f t="shared" si="1"/>
        <x:v>0</x:v>
      </x:c>
      <x:c r="I65" s="186">
        <x:f>IF(AND(B65="",C65="",D65="",E65="",F65=""),"",IF(OR(B65="",C65="",E65=""),"БЛОК: нужны дата, тип операции и сумма",IF(N(E65)&lt;=0,"БЛОК: сумма должна быть больше нуля",IF(AND(H65&lt;&gt;0,F65=""),"БЛОК: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отделить",IF(AND(G65&lt;&gt;0,F65=""),"БЛОК: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нельзя",IF(AND(F65&lt;&gt;"",COUNTIF('Долг по актам'!$B$5:$B$34,F65)=0),"БЛОК: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договору")&gt;0)*($C$5:$C$504&lt;&gt;C65)*($E$5:$E$504=E65)*(($D$5:$D$504=D65)*(D65&lt;&gt;"")+($B$5:$B$504=B65)*(B65&lt;&gt;"")&gt;0))&gt;0,"БЛОК: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операцию",IF(AND(C65="Оплата",K65&lt;&gt;"Отдельный платёж — не сам аванс (сверено с выпиской банка)",OR(COUNTIFS($C$5:$C$504,"Зачёт аванса по договору",$E$5:$E$504,E65)&gt;0,ROUND(E65-$M$6,2)=0)),"БЛОК: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5" s="185" t="str">
        <x:f>IF(AND(B65="",C65="",E65=""),"",SUM($G$5:G65))</x:f>
        <x:v/>
      </x:c>
      <x:c r="K65" s="178"/>
      <x:c r="L65" s="46"/>
      <x:c r="M65" s="46"/>
    </x:row>
    <x:row r="66" ht="29" customHeight="1">
      <x:c r="A66" s="199">
        <x:v>62</x:v>
      </x:c>
      <x:c r="B66" s="162"/>
      <x:c r="C66" s="163"/>
      <x:c r="D66" s="163"/>
      <x:c r="E66" s="164"/>
      <x:c r="F66" s="163"/>
      <x:c r="G66" s="185">
        <x:f t="shared" si="0"/>
        <x:v>0</x:v>
      </x:c>
      <x:c r="H66" s="185">
        <x:f t="shared" si="1"/>
        <x:v>0</x:v>
      </x:c>
      <x:c r="I66" s="186">
        <x:f>IF(AND(B66="",C66="",D66="",E66="",F66=""),"",IF(OR(B66="",C66="",E66=""),"БЛОК: нужны дата, тип операции и сумма",IF(N(E66)&lt;=0,"БЛОК: сумма должна быть больше нуля",IF(AND(H66&lt;&gt;0,F66=""),"БЛОК: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отделить",IF(AND(G66&lt;&gt;0,F66=""),"БЛОК: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нельзя",IF(AND(F66&lt;&gt;"",COUNTIF('Долг по актам'!$B$5:$B$34,F66)=0),"БЛОК: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договору")&gt;0)*($C$5:$C$504&lt;&gt;C66)*($E$5:$E$504=E66)*(($D$5:$D$504=D66)*(D66&lt;&gt;"")+($B$5:$B$504=B66)*(B66&lt;&gt;"")&gt;0))&gt;0,"БЛОК: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операцию",IF(AND(C66="Оплата",K66&lt;&gt;"Отдельный платёж — не сам аванс (сверено с выпиской банка)",OR(COUNTIFS($C$5:$C$504,"Зачёт аванса по договору",$E$5:$E$504,E66)&gt;0,ROUND(E66-$M$6,2)=0)),"БЛОК: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6" s="185" t="str">
        <x:f>IF(AND(B66="",C66="",E66=""),"",SUM($G$5:G66))</x:f>
        <x:v/>
      </x:c>
      <x:c r="K66" s="178"/>
      <x:c r="L66" s="46"/>
      <x:c r="M66" s="46"/>
    </x:row>
    <x:row r="67" ht="29" customHeight="1">
      <x:c r="A67" s="199">
        <x:v>63</x:v>
      </x:c>
      <x:c r="B67" s="162"/>
      <x:c r="C67" s="163"/>
      <x:c r="D67" s="163"/>
      <x:c r="E67" s="164"/>
      <x:c r="F67" s="163"/>
      <x:c r="G67" s="185">
        <x:f t="shared" si="0"/>
        <x:v>0</x:v>
      </x:c>
      <x:c r="H67" s="185">
        <x:f t="shared" si="1"/>
        <x:v>0</x:v>
      </x:c>
      <x:c r="I67" s="186">
        <x:f>IF(AND(B67="",C67="",D67="",E67="",F67=""),"",IF(OR(B67="",C67="",E67=""),"БЛОК: нужны дата, тип операции и сумма",IF(N(E67)&lt;=0,"БЛОК: сумма должна быть больше нуля",IF(AND(H67&lt;&gt;0,F67=""),"БЛОК: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отделить",IF(AND(G67&lt;&gt;0,F67=""),"БЛОК: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нельзя",IF(AND(F67&lt;&gt;"",COUNTIF('Долг по актам'!$B$5:$B$34,F67)=0),"БЛОК: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договору")&gt;0)*($C$5:$C$504&lt;&gt;C67)*($E$5:$E$504=E67)*(($D$5:$D$504=D67)*(D67&lt;&gt;"")+($B$5:$B$504=B67)*(B67&lt;&gt;"")&gt;0))&gt;0,"БЛОК: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операцию",IF(AND(C67="Оплата",K67&lt;&gt;"Отдельный платёж — не сам аванс (сверено с выпиской банка)",OR(COUNTIFS($C$5:$C$504,"Зачёт аванса по договору",$E$5:$E$504,E67)&gt;0,ROUND(E67-$M$6,2)=0)),"БЛОК: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7" s="185" t="str">
        <x:f>IF(AND(B67="",C67="",E67=""),"",SUM($G$5:G67))</x:f>
        <x:v/>
      </x:c>
      <x:c r="K67" s="178"/>
      <x:c r="L67" s="46"/>
      <x:c r="M67" s="46"/>
    </x:row>
    <x:row r="68" ht="29" customHeight="1">
      <x:c r="A68" s="199">
        <x:v>64</x:v>
      </x:c>
      <x:c r="B68" s="162"/>
      <x:c r="C68" s="163"/>
      <x:c r="D68" s="163"/>
      <x:c r="E68" s="164"/>
      <x:c r="F68" s="163"/>
      <x:c r="G68" s="185">
        <x:f t="shared" si="0"/>
        <x:v>0</x:v>
      </x:c>
      <x:c r="H68" s="185">
        <x:f t="shared" si="1"/>
        <x:v>0</x:v>
      </x:c>
      <x:c r="I68" s="186">
        <x:f>IF(AND(B68="",C68="",D68="",E68="",F68=""),"",IF(OR(B68="",C68="",E68=""),"БЛОК: нужны дата, тип операции и сумма",IF(N(E68)&lt;=0,"БЛОК: сумма должна быть больше нуля",IF(AND(H68&lt;&gt;0,F68=""),"БЛОК: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отделить",IF(AND(G68&lt;&gt;0,F68=""),"БЛОК: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нельзя",IF(AND(F68&lt;&gt;"",COUNTIF('Долг по актам'!$B$5:$B$34,F68)=0),"БЛОК: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договору")&gt;0)*($C$5:$C$504&lt;&gt;C68)*($E$5:$E$504=E68)*(($D$5:$D$504=D68)*(D68&lt;&gt;"")+($B$5:$B$504=B68)*(B68&lt;&gt;"")&gt;0))&gt;0,"БЛОК: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операцию",IF(AND(C68="Оплата",K68&lt;&gt;"Отдельный платёж — не сам аванс (сверено с выпиской банка)",OR(COUNTIFS($C$5:$C$504,"Зачёт аванса по договору",$E$5:$E$504,E68)&gt;0,ROUND(E68-$M$6,2)=0)),"БЛОК: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8" s="185" t="str">
        <x:f>IF(AND(B68="",C68="",E68=""),"",SUM($G$5:G68))</x:f>
        <x:v/>
      </x:c>
      <x:c r="K68" s="178"/>
      <x:c r="L68" s="46"/>
      <x:c r="M68" s="46"/>
    </x:row>
    <x:row r="69" ht="29" customHeight="1">
      <x:c r="A69" s="199">
        <x:v>65</x:v>
      </x:c>
      <x:c r="B69" s="162"/>
      <x:c r="C69" s="163"/>
      <x:c r="D69" s="163"/>
      <x:c r="E69" s="164"/>
      <x:c r="F69" s="163"/>
      <x:c r="G69" s="185">
        <x:f t="shared" ref="G69:G132" si="2">IF(OR(C69="",E69=""),0,IF(C69="Начисление по акту",E69,IF(OR(C69="Оплата",C69="Зачёт аванса по договору"),-E69,IF(C69="Корректировка (подписана обеими сторонами)",E69,0))))</x:f>
        <x:v>0</x:v>
      </x:c>
      <x:c r="H69" s="185">
        <x:f t="shared" ref="H69:H132" si="3">IF(OR(C69="Удержание",C69="Зачёт встречного требования",C69="Неустойка заявлена",C69="Допработы без соглашения (спорно)"),N(E69),0)</x:f>
        <x:v>0</x:v>
      </x:c>
      <x:c r="I69" s="186">
        <x:f>IF(AND(B69="",C69="",D69="",E69="",F69=""),"",IF(OR(B69="",C69="",E69=""),"БЛОК: нужны дата, тип операции и сумма",IF(N(E69)&lt;=0,"БЛОК: сумма должна быть больше нуля",IF(AND(H69&lt;&gt;0,F69=""),"БЛОК: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отделить",IF(AND(G69&lt;&gt;0,F69=""),"БЛОК: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нельзя",IF(AND(F69&lt;&gt;"",COUNTIF('Долг по актам'!$B$5:$B$34,F69)=0),"БЛОК: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договору")&gt;0)*($C$5:$C$504&lt;&gt;C69)*($E$5:$E$504=E69)*(($D$5:$D$504=D69)*(D69&lt;&gt;"")+($B$5:$B$504=B69)*(B69&lt;&gt;"")&gt;0))&gt;0,"БЛОК: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операцию",IF(AND(C69="Оплата",K69&lt;&gt;"Отдельный платёж — не сам аванс (сверено с выпиской банка)",OR(COUNTIFS($C$5:$C$504,"Зачёт аванса по договору",$E$5:$E$504,E69)&gt;0,ROUND(E69-$M$6,2)=0)),"БЛОК: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69" s="185" t="str">
        <x:f>IF(AND(B69="",C69="",E69=""),"",SUM($G$5:G69))</x:f>
        <x:v/>
      </x:c>
      <x:c r="K69" s="178"/>
      <x:c r="L69" s="46"/>
      <x:c r="M69" s="46"/>
    </x:row>
    <x:row r="70" ht="29" customHeight="1">
      <x:c r="A70" s="199">
        <x:v>66</x:v>
      </x:c>
      <x:c r="B70" s="162"/>
      <x:c r="C70" s="163"/>
      <x:c r="D70" s="163"/>
      <x:c r="E70" s="164"/>
      <x:c r="F70" s="163"/>
      <x:c r="G70" s="185">
        <x:f t="shared" si="2"/>
        <x:v>0</x:v>
      </x:c>
      <x:c r="H70" s="185">
        <x:f t="shared" si="3"/>
        <x:v>0</x:v>
      </x:c>
      <x:c r="I70" s="186">
        <x:f>IF(AND(B70="",C70="",D70="",E70="",F70=""),"",IF(OR(B70="",C70="",E70=""),"БЛОК: нужны дата, тип операции и сумма",IF(N(E70)&lt;=0,"БЛОК: сумма должна быть больше нуля",IF(AND(H70&lt;&gt;0,F70=""),"БЛОК: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отделить",IF(AND(G70&lt;&gt;0,F70=""),"БЛОК: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нельзя",IF(AND(F70&lt;&gt;"",COUNTIF('Долг по актам'!$B$5:$B$34,F70)=0),"БЛОК: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договору")&gt;0)*($C$5:$C$504&lt;&gt;C70)*($E$5:$E$504=E70)*(($D$5:$D$504=D70)*(D70&lt;&gt;"")+($B$5:$B$504=B70)*(B70&lt;&gt;"")&gt;0))&gt;0,"БЛОК: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операцию",IF(AND(C70="Оплата",K70&lt;&gt;"Отдельный платёж — не сам аванс (сверено с выпиской банка)",OR(COUNTIFS($C$5:$C$504,"Зачёт аванса по договору",$E$5:$E$504,E70)&gt;0,ROUND(E70-$M$6,2)=0)),"БЛОК: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0" s="185" t="str">
        <x:f>IF(AND(B70="",C70="",E70=""),"",SUM($G$5:G70))</x:f>
        <x:v/>
      </x:c>
      <x:c r="K70" s="178"/>
      <x:c r="L70" s="46"/>
      <x:c r="M70" s="46"/>
    </x:row>
    <x:row r="71" ht="29" customHeight="1">
      <x:c r="A71" s="199">
        <x:v>67</x:v>
      </x:c>
      <x:c r="B71" s="162"/>
      <x:c r="C71" s="163"/>
      <x:c r="D71" s="163"/>
      <x:c r="E71" s="164"/>
      <x:c r="F71" s="163"/>
      <x:c r="G71" s="185">
        <x:f t="shared" si="2"/>
        <x:v>0</x:v>
      </x:c>
      <x:c r="H71" s="185">
        <x:f t="shared" si="3"/>
        <x:v>0</x:v>
      </x:c>
      <x:c r="I71" s="186">
        <x:f>IF(AND(B71="",C71="",D71="",E71="",F71=""),"",IF(OR(B71="",C71="",E71=""),"БЛОК: нужны дата, тип операции и сумма",IF(N(E71)&lt;=0,"БЛОК: сумма должна быть больше нуля",IF(AND(H71&lt;&gt;0,F71=""),"БЛОК: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отделить",IF(AND(G71&lt;&gt;0,F71=""),"БЛОК: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нельзя",IF(AND(F71&lt;&gt;"",COUNTIF('Долг по актам'!$B$5:$B$34,F71)=0),"БЛОК: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договору")&gt;0)*($C$5:$C$504&lt;&gt;C71)*($E$5:$E$504=E71)*(($D$5:$D$504=D71)*(D71&lt;&gt;"")+($B$5:$B$504=B71)*(B71&lt;&gt;"")&gt;0))&gt;0,"БЛОК: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операцию",IF(AND(C71="Оплата",K71&lt;&gt;"Отдельный платёж — не сам аванс (сверено с выпиской банка)",OR(COUNTIFS($C$5:$C$504,"Зачёт аванса по договору",$E$5:$E$504,E71)&gt;0,ROUND(E71-$M$6,2)=0)),"БЛОК: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1" s="185" t="str">
        <x:f>IF(AND(B71="",C71="",E71=""),"",SUM($G$5:G71))</x:f>
        <x:v/>
      </x:c>
      <x:c r="K71" s="178"/>
      <x:c r="L71" s="46"/>
      <x:c r="M71" s="46"/>
    </x:row>
    <x:row r="72" ht="29" customHeight="1">
      <x:c r="A72" s="199">
        <x:v>68</x:v>
      </x:c>
      <x:c r="B72" s="162"/>
      <x:c r="C72" s="163"/>
      <x:c r="D72" s="163"/>
      <x:c r="E72" s="164"/>
      <x:c r="F72" s="163"/>
      <x:c r="G72" s="185">
        <x:f t="shared" si="2"/>
        <x:v>0</x:v>
      </x:c>
      <x:c r="H72" s="185">
        <x:f t="shared" si="3"/>
        <x:v>0</x:v>
      </x:c>
      <x:c r="I72" s="186">
        <x:f>IF(AND(B72="",C72="",D72="",E72="",F72=""),"",IF(OR(B72="",C72="",E72=""),"БЛОК: нужны дата, тип операции и сумма",IF(N(E72)&lt;=0,"БЛОК: сумма должна быть больше нуля",IF(AND(H72&lt;&gt;0,F72=""),"БЛОК: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отделить",IF(AND(G72&lt;&gt;0,F72=""),"БЛОК: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нельзя",IF(AND(F72&lt;&gt;"",COUNTIF('Долг по актам'!$B$5:$B$34,F72)=0),"БЛОК: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договору")&gt;0)*($C$5:$C$504&lt;&gt;C72)*($E$5:$E$504=E72)*(($D$5:$D$504=D72)*(D72&lt;&gt;"")+($B$5:$B$504=B72)*(B72&lt;&gt;"")&gt;0))&gt;0,"БЛОК: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операцию",IF(AND(C72="Оплата",K72&lt;&gt;"Отдельный платёж — не сам аванс (сверено с выпиской банка)",OR(COUNTIFS($C$5:$C$504,"Зачёт аванса по договору",$E$5:$E$504,E72)&gt;0,ROUND(E72-$M$6,2)=0)),"БЛОК: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2" s="185" t="str">
        <x:f>IF(AND(B72="",C72="",E72=""),"",SUM($G$5:G72))</x:f>
        <x:v/>
      </x:c>
      <x:c r="K72" s="178"/>
      <x:c r="L72" s="46"/>
      <x:c r="M72" s="46"/>
    </x:row>
    <x:row r="73" ht="29" customHeight="1">
      <x:c r="A73" s="199">
        <x:v>69</x:v>
      </x:c>
      <x:c r="B73" s="162"/>
      <x:c r="C73" s="163"/>
      <x:c r="D73" s="163"/>
      <x:c r="E73" s="164"/>
      <x:c r="F73" s="163"/>
      <x:c r="G73" s="185">
        <x:f t="shared" si="2"/>
        <x:v>0</x:v>
      </x:c>
      <x:c r="H73" s="185">
        <x:f t="shared" si="3"/>
        <x:v>0</x:v>
      </x:c>
      <x:c r="I73" s="186">
        <x:f>IF(AND(B73="",C73="",D73="",E73="",F73=""),"",IF(OR(B73="",C73="",E73=""),"БЛОК: нужны дата, тип операции и сумма",IF(N(E73)&lt;=0,"БЛОК: сумма должна быть больше нуля",IF(AND(H73&lt;&gt;0,F73=""),"БЛОК: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отделить",IF(AND(G73&lt;&gt;0,F73=""),"БЛОК: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нельзя",IF(AND(F73&lt;&gt;"",COUNTIF('Долг по актам'!$B$5:$B$34,F73)=0),"БЛОК: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договору")&gt;0)*($C$5:$C$504&lt;&gt;C73)*($E$5:$E$504=E73)*(($D$5:$D$504=D73)*(D73&lt;&gt;"")+($B$5:$B$504=B73)*(B73&lt;&gt;"")&gt;0))&gt;0,"БЛОК: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операцию",IF(AND(C73="Оплата",K73&lt;&gt;"Отдельный платёж — не сам аванс (сверено с выпиской банка)",OR(COUNTIFS($C$5:$C$504,"Зачёт аванса по договору",$E$5:$E$504,E73)&gt;0,ROUND(E73-$M$6,2)=0)),"БЛОК: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3" s="185" t="str">
        <x:f>IF(AND(B73="",C73="",E73=""),"",SUM($G$5:G73))</x:f>
        <x:v/>
      </x:c>
      <x:c r="K73" s="178"/>
      <x:c r="L73" s="46"/>
      <x:c r="M73" s="46"/>
    </x:row>
    <x:row r="74" ht="29" customHeight="1">
      <x:c r="A74" s="199">
        <x:v>70</x:v>
      </x:c>
      <x:c r="B74" s="162"/>
      <x:c r="C74" s="163"/>
      <x:c r="D74" s="163"/>
      <x:c r="E74" s="164"/>
      <x:c r="F74" s="163"/>
      <x:c r="G74" s="185">
        <x:f t="shared" si="2"/>
        <x:v>0</x:v>
      </x:c>
      <x:c r="H74" s="185">
        <x:f t="shared" si="3"/>
        <x:v>0</x:v>
      </x:c>
      <x:c r="I74" s="186">
        <x:f>IF(AND(B74="",C74="",D74="",E74="",F74=""),"",IF(OR(B74="",C74="",E74=""),"БЛОК: нужны дата, тип операции и сумма",IF(N(E74)&lt;=0,"БЛОК: сумма должна быть больше нуля",IF(AND(H74&lt;&gt;0,F74=""),"БЛОК: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отделить",IF(AND(G74&lt;&gt;0,F74=""),"БЛОК: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нельзя",IF(AND(F74&lt;&gt;"",COUNTIF('Долг по актам'!$B$5:$B$34,F74)=0),"БЛОК: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договору")&gt;0)*($C$5:$C$504&lt;&gt;C74)*($E$5:$E$504=E74)*(($D$5:$D$504=D74)*(D74&lt;&gt;"")+($B$5:$B$504=B74)*(B74&lt;&gt;"")&gt;0))&gt;0,"БЛОК: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операцию",IF(AND(C74="Оплата",K74&lt;&gt;"Отдельный платёж — не сам аванс (сверено с выпиской банка)",OR(COUNTIFS($C$5:$C$504,"Зачёт аванса по договору",$E$5:$E$504,E74)&gt;0,ROUND(E74-$M$6,2)=0)),"БЛОК: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4" s="185" t="str">
        <x:f>IF(AND(B74="",C74="",E74=""),"",SUM($G$5:G74))</x:f>
        <x:v/>
      </x:c>
      <x:c r="K74" s="178"/>
      <x:c r="L74" s="46"/>
      <x:c r="M74" s="46"/>
    </x:row>
    <x:row r="75" ht="29" customHeight="1">
      <x:c r="A75" s="199">
        <x:v>71</x:v>
      </x:c>
      <x:c r="B75" s="162"/>
      <x:c r="C75" s="163"/>
      <x:c r="D75" s="163"/>
      <x:c r="E75" s="164"/>
      <x:c r="F75" s="163"/>
      <x:c r="G75" s="185">
        <x:f t="shared" si="2"/>
        <x:v>0</x:v>
      </x:c>
      <x:c r="H75" s="185">
        <x:f t="shared" si="3"/>
        <x:v>0</x:v>
      </x:c>
      <x:c r="I75" s="186">
        <x:f>IF(AND(B75="",C75="",D75="",E75="",F75=""),"",IF(OR(B75="",C75="",E75=""),"БЛОК: нужны дата, тип операции и сумма",IF(N(E75)&lt;=0,"БЛОК: сумма должна быть больше нуля",IF(AND(H75&lt;&gt;0,F75=""),"БЛОК: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отделить",IF(AND(G75&lt;&gt;0,F75=""),"БЛОК: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нельзя",IF(AND(F75&lt;&gt;"",COUNTIF('Долг по актам'!$B$5:$B$34,F75)=0),"БЛОК: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договору")&gt;0)*($C$5:$C$504&lt;&gt;C75)*($E$5:$E$504=E75)*(($D$5:$D$504=D75)*(D75&lt;&gt;"")+($B$5:$B$504=B75)*(B75&lt;&gt;"")&gt;0))&gt;0,"БЛОК: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операцию",IF(AND(C75="Оплата",K75&lt;&gt;"Отдельный платёж — не сам аванс (сверено с выпиской банка)",OR(COUNTIFS($C$5:$C$504,"Зачёт аванса по договору",$E$5:$E$504,E75)&gt;0,ROUND(E75-$M$6,2)=0)),"БЛОК: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5" s="185" t="str">
        <x:f>IF(AND(B75="",C75="",E75=""),"",SUM($G$5:G75))</x:f>
        <x:v/>
      </x:c>
      <x:c r="K75" s="178"/>
      <x:c r="L75" s="46"/>
      <x:c r="M75" s="46"/>
    </x:row>
    <x:row r="76" ht="29" customHeight="1">
      <x:c r="A76" s="199">
        <x:v>72</x:v>
      </x:c>
      <x:c r="B76" s="162"/>
      <x:c r="C76" s="163"/>
      <x:c r="D76" s="163"/>
      <x:c r="E76" s="164"/>
      <x:c r="F76" s="163"/>
      <x:c r="G76" s="185">
        <x:f t="shared" si="2"/>
        <x:v>0</x:v>
      </x:c>
      <x:c r="H76" s="185">
        <x:f t="shared" si="3"/>
        <x:v>0</x:v>
      </x:c>
      <x:c r="I76" s="186">
        <x:f>IF(AND(B76="",C76="",D76="",E76="",F76=""),"",IF(OR(B76="",C76="",E76=""),"БЛОК: нужны дата, тип операции и сумма",IF(N(E76)&lt;=0,"БЛОК: сумма должна быть больше нуля",IF(AND(H76&lt;&gt;0,F76=""),"БЛОК: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отделить",IF(AND(G76&lt;&gt;0,F76=""),"БЛОК: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нельзя",IF(AND(F76&lt;&gt;"",COUNTIF('Долг по актам'!$B$5:$B$34,F76)=0),"БЛОК: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договору")&gt;0)*($C$5:$C$504&lt;&gt;C76)*($E$5:$E$504=E76)*(($D$5:$D$504=D76)*(D76&lt;&gt;"")+($B$5:$B$504=B76)*(B76&lt;&gt;"")&gt;0))&gt;0,"БЛОК: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операцию",IF(AND(C76="Оплата",K76&lt;&gt;"Отдельный платёж — не сам аванс (сверено с выпиской банка)",OR(COUNTIFS($C$5:$C$504,"Зачёт аванса по договору",$E$5:$E$504,E76)&gt;0,ROUND(E76-$M$6,2)=0)),"БЛОК: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6" s="185" t="str">
        <x:f>IF(AND(B76="",C76="",E76=""),"",SUM($G$5:G76))</x:f>
        <x:v/>
      </x:c>
      <x:c r="K76" s="178"/>
      <x:c r="L76" s="46"/>
      <x:c r="M76" s="46"/>
    </x:row>
    <x:row r="77" ht="29" customHeight="1">
      <x:c r="A77" s="199">
        <x:v>73</x:v>
      </x:c>
      <x:c r="B77" s="162"/>
      <x:c r="C77" s="163"/>
      <x:c r="D77" s="163"/>
      <x:c r="E77" s="164"/>
      <x:c r="F77" s="163"/>
      <x:c r="G77" s="185">
        <x:f t="shared" si="2"/>
        <x:v>0</x:v>
      </x:c>
      <x:c r="H77" s="185">
        <x:f t="shared" si="3"/>
        <x:v>0</x:v>
      </x:c>
      <x:c r="I77" s="186">
        <x:f>IF(AND(B77="",C77="",D77="",E77="",F77=""),"",IF(OR(B77="",C77="",E77=""),"БЛОК: нужны дата, тип операции и сумма",IF(N(E77)&lt;=0,"БЛОК: сумма должна быть больше нуля",IF(AND(H77&lt;&gt;0,F77=""),"БЛОК: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отделить",IF(AND(G77&lt;&gt;0,F77=""),"БЛОК: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нельзя",IF(AND(F77&lt;&gt;"",COUNTIF('Долг по актам'!$B$5:$B$34,F77)=0),"БЛОК: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договору")&gt;0)*($C$5:$C$504&lt;&gt;C77)*($E$5:$E$504=E77)*(($D$5:$D$504=D77)*(D77&lt;&gt;"")+($B$5:$B$504=B77)*(B77&lt;&gt;"")&gt;0))&gt;0,"БЛОК: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операцию",IF(AND(C77="Оплата",K77&lt;&gt;"Отдельный платёж — не сам аванс (сверено с выпиской банка)",OR(COUNTIFS($C$5:$C$504,"Зачёт аванса по договору",$E$5:$E$504,E77)&gt;0,ROUND(E77-$M$6,2)=0)),"БЛОК: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7" s="185" t="str">
        <x:f>IF(AND(B77="",C77="",E77=""),"",SUM($G$5:G77))</x:f>
        <x:v/>
      </x:c>
      <x:c r="K77" s="178"/>
      <x:c r="L77" s="46"/>
      <x:c r="M77" s="46"/>
    </x:row>
    <x:row r="78" ht="29" customHeight="1">
      <x:c r="A78" s="199">
        <x:v>74</x:v>
      </x:c>
      <x:c r="B78" s="162"/>
      <x:c r="C78" s="163"/>
      <x:c r="D78" s="163"/>
      <x:c r="E78" s="164"/>
      <x:c r="F78" s="163"/>
      <x:c r="G78" s="185">
        <x:f t="shared" si="2"/>
        <x:v>0</x:v>
      </x:c>
      <x:c r="H78" s="185">
        <x:f t="shared" si="3"/>
        <x:v>0</x:v>
      </x:c>
      <x:c r="I78" s="186">
        <x:f>IF(AND(B78="",C78="",D78="",E78="",F78=""),"",IF(OR(B78="",C78="",E78=""),"БЛОК: нужны дата, тип операции и сумма",IF(N(E78)&lt;=0,"БЛОК: сумма должна быть больше нуля",IF(AND(H78&lt;&gt;0,F78=""),"БЛОК: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отделить",IF(AND(G78&lt;&gt;0,F78=""),"БЛОК: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нельзя",IF(AND(F78&lt;&gt;"",COUNTIF('Долг по актам'!$B$5:$B$34,F78)=0),"БЛОК: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договору")&gt;0)*($C$5:$C$504&lt;&gt;C78)*($E$5:$E$504=E78)*(($D$5:$D$504=D78)*(D78&lt;&gt;"")+($B$5:$B$504=B78)*(B78&lt;&gt;"")&gt;0))&gt;0,"БЛОК: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операцию",IF(AND(C78="Оплата",K78&lt;&gt;"Отдельный платёж — не сам аванс (сверено с выпиской банка)",OR(COUNTIFS($C$5:$C$504,"Зачёт аванса по договору",$E$5:$E$504,E78)&gt;0,ROUND(E78-$M$6,2)=0)),"БЛОК: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8" s="185" t="str">
        <x:f>IF(AND(B78="",C78="",E78=""),"",SUM($G$5:G78))</x:f>
        <x:v/>
      </x:c>
      <x:c r="K78" s="178"/>
      <x:c r="L78" s="46"/>
      <x:c r="M78" s="46"/>
    </x:row>
    <x:row r="79" ht="29" customHeight="1">
      <x:c r="A79" s="199">
        <x:v>75</x:v>
      </x:c>
      <x:c r="B79" s="162"/>
      <x:c r="C79" s="163"/>
      <x:c r="D79" s="163"/>
      <x:c r="E79" s="164"/>
      <x:c r="F79" s="163"/>
      <x:c r="G79" s="185">
        <x:f t="shared" si="2"/>
        <x:v>0</x:v>
      </x:c>
      <x:c r="H79" s="185">
        <x:f t="shared" si="3"/>
        <x:v>0</x:v>
      </x:c>
      <x:c r="I79" s="186">
        <x:f>IF(AND(B79="",C79="",D79="",E79="",F79=""),"",IF(OR(B79="",C79="",E79=""),"БЛОК: нужны дата, тип операции и сумма",IF(N(E79)&lt;=0,"БЛОК: сумма должна быть больше нуля",IF(AND(H79&lt;&gt;0,F79=""),"БЛОК: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отделить",IF(AND(G79&lt;&gt;0,F79=""),"БЛОК: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нельзя",IF(AND(F79&lt;&gt;"",COUNTIF('Долг по актам'!$B$5:$B$34,F79)=0),"БЛОК: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договору")&gt;0)*($C$5:$C$504&lt;&gt;C79)*($E$5:$E$504=E79)*(($D$5:$D$504=D79)*(D79&lt;&gt;"")+($B$5:$B$504=B79)*(B79&lt;&gt;"")&gt;0))&gt;0,"БЛОК: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операцию",IF(AND(C79="Оплата",K79&lt;&gt;"Отдельный платёж — не сам аванс (сверено с выпиской банка)",OR(COUNTIFS($C$5:$C$504,"Зачёт аванса по договору",$E$5:$E$504,E79)&gt;0,ROUND(E79-$M$6,2)=0)),"БЛОК: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79" s="185" t="str">
        <x:f>IF(AND(B79="",C79="",E79=""),"",SUM($G$5:G79))</x:f>
        <x:v/>
      </x:c>
      <x:c r="K79" s="178"/>
      <x:c r="L79" s="46"/>
      <x:c r="M79" s="46"/>
    </x:row>
    <x:row r="80" ht="29" customHeight="1">
      <x:c r="A80" s="199">
        <x:v>76</x:v>
      </x:c>
      <x:c r="B80" s="162"/>
      <x:c r="C80" s="163"/>
      <x:c r="D80" s="163"/>
      <x:c r="E80" s="164"/>
      <x:c r="F80" s="163"/>
      <x:c r="G80" s="185">
        <x:f t="shared" si="2"/>
        <x:v>0</x:v>
      </x:c>
      <x:c r="H80" s="185">
        <x:f t="shared" si="3"/>
        <x:v>0</x:v>
      </x:c>
      <x:c r="I80" s="186">
        <x:f>IF(AND(B80="",C80="",D80="",E80="",F80=""),"",IF(OR(B80="",C80="",E80=""),"БЛОК: нужны дата, тип операции и сумма",IF(N(E80)&lt;=0,"БЛОК: сумма должна быть больше нуля",IF(AND(H80&lt;&gt;0,F80=""),"БЛОК: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отделить",IF(AND(G80&lt;&gt;0,F80=""),"БЛОК: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нельзя",IF(AND(F80&lt;&gt;"",COUNTIF('Долг по актам'!$B$5:$B$34,F80)=0),"БЛОК: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договору")&gt;0)*($C$5:$C$504&lt;&gt;C80)*($E$5:$E$504=E80)*(($D$5:$D$504=D80)*(D80&lt;&gt;"")+($B$5:$B$504=B80)*(B80&lt;&gt;"")&gt;0))&gt;0,"БЛОК: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операцию",IF(AND(C80="Оплата",K80&lt;&gt;"Отдельный платёж — не сам аванс (сверено с выпиской банка)",OR(COUNTIFS($C$5:$C$504,"Зачёт аванса по договору",$E$5:$E$504,E80)&gt;0,ROUND(E80-$M$6,2)=0)),"БЛОК: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0" s="185" t="str">
        <x:f>IF(AND(B80="",C80="",E80=""),"",SUM($G$5:G80))</x:f>
        <x:v/>
      </x:c>
      <x:c r="K80" s="178"/>
      <x:c r="L80" s="46"/>
      <x:c r="M80" s="46"/>
    </x:row>
    <x:row r="81" ht="29" customHeight="1">
      <x:c r="A81" s="199">
        <x:v>77</x:v>
      </x:c>
      <x:c r="B81" s="162"/>
      <x:c r="C81" s="163"/>
      <x:c r="D81" s="163"/>
      <x:c r="E81" s="164"/>
      <x:c r="F81" s="163"/>
      <x:c r="G81" s="185">
        <x:f t="shared" si="2"/>
        <x:v>0</x:v>
      </x:c>
      <x:c r="H81" s="185">
        <x:f t="shared" si="3"/>
        <x:v>0</x:v>
      </x:c>
      <x:c r="I81" s="186">
        <x:f>IF(AND(B81="",C81="",D81="",E81="",F81=""),"",IF(OR(B81="",C81="",E81=""),"БЛОК: нужны дата, тип операции и сумма",IF(N(E81)&lt;=0,"БЛОК: сумма должна быть больше нуля",IF(AND(H81&lt;&gt;0,F81=""),"БЛОК: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отделить",IF(AND(G81&lt;&gt;0,F81=""),"БЛОК: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нельзя",IF(AND(F81&lt;&gt;"",COUNTIF('Долг по актам'!$B$5:$B$34,F81)=0),"БЛОК: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договору")&gt;0)*($C$5:$C$504&lt;&gt;C81)*($E$5:$E$504=E81)*(($D$5:$D$504=D81)*(D81&lt;&gt;"")+($B$5:$B$504=B81)*(B81&lt;&gt;"")&gt;0))&gt;0,"БЛОК: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операцию",IF(AND(C81="Оплата",K81&lt;&gt;"Отдельный платёж — не сам аванс (сверено с выпиской банка)",OR(COUNTIFS($C$5:$C$504,"Зачёт аванса по договору",$E$5:$E$504,E81)&gt;0,ROUND(E81-$M$6,2)=0)),"БЛОК: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1" s="185" t="str">
        <x:f>IF(AND(B81="",C81="",E81=""),"",SUM($G$5:G81))</x:f>
        <x:v/>
      </x:c>
      <x:c r="K81" s="178"/>
      <x:c r="L81" s="46"/>
      <x:c r="M81" s="46"/>
    </x:row>
    <x:row r="82" ht="29" customHeight="1">
      <x:c r="A82" s="199">
        <x:v>78</x:v>
      </x:c>
      <x:c r="B82" s="162"/>
      <x:c r="C82" s="163"/>
      <x:c r="D82" s="163"/>
      <x:c r="E82" s="164"/>
      <x:c r="F82" s="163"/>
      <x:c r="G82" s="185">
        <x:f t="shared" si="2"/>
        <x:v>0</x:v>
      </x:c>
      <x:c r="H82" s="185">
        <x:f t="shared" si="3"/>
        <x:v>0</x:v>
      </x:c>
      <x:c r="I82" s="186">
        <x:f>IF(AND(B82="",C82="",D82="",E82="",F82=""),"",IF(OR(B82="",C82="",E82=""),"БЛОК: нужны дата, тип операции и сумма",IF(N(E82)&lt;=0,"БЛОК: сумма должна быть больше нуля",IF(AND(H82&lt;&gt;0,F82=""),"БЛОК: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отделить",IF(AND(G82&lt;&gt;0,F82=""),"БЛОК: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нельзя",IF(AND(F82&lt;&gt;"",COUNTIF('Долг по актам'!$B$5:$B$34,F82)=0),"БЛОК: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договору")&gt;0)*($C$5:$C$504&lt;&gt;C82)*($E$5:$E$504=E82)*(($D$5:$D$504=D82)*(D82&lt;&gt;"")+($B$5:$B$504=B82)*(B82&lt;&gt;"")&gt;0))&gt;0,"БЛОК: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операцию",IF(AND(C82="Оплата",K82&lt;&gt;"Отдельный платёж — не сам аванс (сверено с выпиской банка)",OR(COUNTIFS($C$5:$C$504,"Зачёт аванса по договору",$E$5:$E$504,E82)&gt;0,ROUND(E82-$M$6,2)=0)),"БЛОК: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2" s="185" t="str">
        <x:f>IF(AND(B82="",C82="",E82=""),"",SUM($G$5:G82))</x:f>
        <x:v/>
      </x:c>
      <x:c r="K82" s="178"/>
      <x:c r="L82" s="46"/>
      <x:c r="M82" s="46"/>
    </x:row>
    <x:row r="83" ht="29" customHeight="1">
      <x:c r="A83" s="199">
        <x:v>79</x:v>
      </x:c>
      <x:c r="B83" s="162"/>
      <x:c r="C83" s="163"/>
      <x:c r="D83" s="163"/>
      <x:c r="E83" s="164"/>
      <x:c r="F83" s="163"/>
      <x:c r="G83" s="185">
        <x:f t="shared" si="2"/>
        <x:v>0</x:v>
      </x:c>
      <x:c r="H83" s="185">
        <x:f t="shared" si="3"/>
        <x:v>0</x:v>
      </x:c>
      <x:c r="I83" s="186">
        <x:f>IF(AND(B83="",C83="",D83="",E83="",F83=""),"",IF(OR(B83="",C83="",E83=""),"БЛОК: нужны дата, тип операции и сумма",IF(N(E83)&lt;=0,"БЛОК: сумма должна быть больше нуля",IF(AND(H83&lt;&gt;0,F83=""),"БЛОК: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отделить",IF(AND(G83&lt;&gt;0,F83=""),"БЛОК: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нельзя",IF(AND(F83&lt;&gt;"",COUNTIF('Долг по актам'!$B$5:$B$34,F83)=0),"БЛОК: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договору")&gt;0)*($C$5:$C$504&lt;&gt;C83)*($E$5:$E$504=E83)*(($D$5:$D$504=D83)*(D83&lt;&gt;"")+($B$5:$B$504=B83)*(B83&lt;&gt;"")&gt;0))&gt;0,"БЛОК: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операцию",IF(AND(C83="Оплата",K83&lt;&gt;"Отдельный платёж — не сам аванс (сверено с выпиской банка)",OR(COUNTIFS($C$5:$C$504,"Зачёт аванса по договору",$E$5:$E$504,E83)&gt;0,ROUND(E83-$M$6,2)=0)),"БЛОК: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3" s="185" t="str">
        <x:f>IF(AND(B83="",C83="",E83=""),"",SUM($G$5:G83))</x:f>
        <x:v/>
      </x:c>
      <x:c r="K83" s="178"/>
      <x:c r="L83" s="46"/>
      <x:c r="M83" s="46"/>
    </x:row>
    <x:row r="84" ht="29" customHeight="1">
      <x:c r="A84" s="199">
        <x:v>80</x:v>
      </x:c>
      <x:c r="B84" s="162"/>
      <x:c r="C84" s="163"/>
      <x:c r="D84" s="163"/>
      <x:c r="E84" s="164"/>
      <x:c r="F84" s="163"/>
      <x:c r="G84" s="185">
        <x:f t="shared" si="2"/>
        <x:v>0</x:v>
      </x:c>
      <x:c r="H84" s="185">
        <x:f t="shared" si="3"/>
        <x:v>0</x:v>
      </x:c>
      <x:c r="I84" s="186">
        <x:f>IF(AND(B84="",C84="",D84="",E84="",F84=""),"",IF(OR(B84="",C84="",E84=""),"БЛОК: нужны дата, тип операции и сумма",IF(N(E84)&lt;=0,"БЛОК: сумма должна быть больше нуля",IF(AND(H84&lt;&gt;0,F84=""),"БЛОК: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отделить",IF(AND(G84&lt;&gt;0,F84=""),"БЛОК: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нельзя",IF(AND(F84&lt;&gt;"",COUNTIF('Долг по актам'!$B$5:$B$34,F84)=0),"БЛОК: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договору")&gt;0)*($C$5:$C$504&lt;&gt;C84)*($E$5:$E$504=E84)*(($D$5:$D$504=D84)*(D84&lt;&gt;"")+($B$5:$B$504=B84)*(B84&lt;&gt;"")&gt;0))&gt;0,"БЛОК: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операцию",IF(AND(C84="Оплата",K84&lt;&gt;"Отдельный платёж — не сам аванс (сверено с выпиской банка)",OR(COUNTIFS($C$5:$C$504,"Зачёт аванса по договору",$E$5:$E$504,E84)&gt;0,ROUND(E84-$M$6,2)=0)),"БЛОК: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4" s="185" t="str">
        <x:f>IF(AND(B84="",C84="",E84=""),"",SUM($G$5:G84))</x:f>
        <x:v/>
      </x:c>
      <x:c r="K84" s="178"/>
      <x:c r="L84" s="46"/>
      <x:c r="M84" s="46"/>
    </x:row>
    <x:row r="85" ht="29" customHeight="1">
      <x:c r="A85" s="199">
        <x:v>81</x:v>
      </x:c>
      <x:c r="B85" s="162"/>
      <x:c r="C85" s="163"/>
      <x:c r="D85" s="163"/>
      <x:c r="E85" s="164"/>
      <x:c r="F85" s="163"/>
      <x:c r="G85" s="185">
        <x:f t="shared" si="2"/>
        <x:v>0</x:v>
      </x:c>
      <x:c r="H85" s="185">
        <x:f t="shared" si="3"/>
        <x:v>0</x:v>
      </x:c>
      <x:c r="I85" s="186">
        <x:f>IF(AND(B85="",C85="",D85="",E85="",F85=""),"",IF(OR(B85="",C85="",E85=""),"БЛОК: нужны дата, тип операции и сумма",IF(N(E85)&lt;=0,"БЛОК: сумма должна быть больше нуля",IF(AND(H85&lt;&gt;0,F85=""),"БЛОК: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отделить",IF(AND(G85&lt;&gt;0,F85=""),"БЛОК: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нельзя",IF(AND(F85&lt;&gt;"",COUNTIF('Долг по актам'!$B$5:$B$34,F85)=0),"БЛОК: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договору")&gt;0)*($C$5:$C$504&lt;&gt;C85)*($E$5:$E$504=E85)*(($D$5:$D$504=D85)*(D85&lt;&gt;"")+($B$5:$B$504=B85)*(B85&lt;&gt;"")&gt;0))&gt;0,"БЛОК: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операцию",IF(AND(C85="Оплата",K85&lt;&gt;"Отдельный платёж — не сам аванс (сверено с выпиской банка)",OR(COUNTIFS($C$5:$C$504,"Зачёт аванса по договору",$E$5:$E$504,E85)&gt;0,ROUND(E85-$M$6,2)=0)),"БЛОК: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5" s="185" t="str">
        <x:f>IF(AND(B85="",C85="",E85=""),"",SUM($G$5:G85))</x:f>
        <x:v/>
      </x:c>
      <x:c r="K85" s="178"/>
      <x:c r="L85" s="46"/>
      <x:c r="M85" s="46"/>
    </x:row>
    <x:row r="86" ht="29" customHeight="1">
      <x:c r="A86" s="199">
        <x:v>82</x:v>
      </x:c>
      <x:c r="B86" s="162"/>
      <x:c r="C86" s="163"/>
      <x:c r="D86" s="163"/>
      <x:c r="E86" s="164"/>
      <x:c r="F86" s="163"/>
      <x:c r="G86" s="185">
        <x:f t="shared" si="2"/>
        <x:v>0</x:v>
      </x:c>
      <x:c r="H86" s="185">
        <x:f t="shared" si="3"/>
        <x:v>0</x:v>
      </x:c>
      <x:c r="I86" s="186">
        <x:f>IF(AND(B86="",C86="",D86="",E86="",F86=""),"",IF(OR(B86="",C86="",E86=""),"БЛОК: нужны дата, тип операции и сумма",IF(N(E86)&lt;=0,"БЛОК: сумма должна быть больше нуля",IF(AND(H86&lt;&gt;0,F86=""),"БЛОК: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отделить",IF(AND(G86&lt;&gt;0,F86=""),"БЛОК: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нельзя",IF(AND(F86&lt;&gt;"",COUNTIF('Долг по актам'!$B$5:$B$34,F86)=0),"БЛОК: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договору")&gt;0)*($C$5:$C$504&lt;&gt;C86)*($E$5:$E$504=E86)*(($D$5:$D$504=D86)*(D86&lt;&gt;"")+($B$5:$B$504=B86)*(B86&lt;&gt;"")&gt;0))&gt;0,"БЛОК: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операцию",IF(AND(C86="Оплата",K86&lt;&gt;"Отдельный платёж — не сам аванс (сверено с выпиской банка)",OR(COUNTIFS($C$5:$C$504,"Зачёт аванса по договору",$E$5:$E$504,E86)&gt;0,ROUND(E86-$M$6,2)=0)),"БЛОК: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6" s="185" t="str">
        <x:f>IF(AND(B86="",C86="",E86=""),"",SUM($G$5:G86))</x:f>
        <x:v/>
      </x:c>
      <x:c r="K86" s="178"/>
      <x:c r="L86" s="46"/>
      <x:c r="M86" s="46"/>
    </x:row>
    <x:row r="87" ht="29" customHeight="1">
      <x:c r="A87" s="199">
        <x:v>83</x:v>
      </x:c>
      <x:c r="B87" s="162"/>
      <x:c r="C87" s="163"/>
      <x:c r="D87" s="163"/>
      <x:c r="E87" s="164"/>
      <x:c r="F87" s="163"/>
      <x:c r="G87" s="185">
        <x:f t="shared" si="2"/>
        <x:v>0</x:v>
      </x:c>
      <x:c r="H87" s="185">
        <x:f t="shared" si="3"/>
        <x:v>0</x:v>
      </x:c>
      <x:c r="I87" s="186">
        <x:f>IF(AND(B87="",C87="",D87="",E87="",F87=""),"",IF(OR(B87="",C87="",E87=""),"БЛОК: нужны дата, тип операции и сумма",IF(N(E87)&lt;=0,"БЛОК: сумма должна быть больше нуля",IF(AND(H87&lt;&gt;0,F87=""),"БЛОК: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отделить",IF(AND(G87&lt;&gt;0,F87=""),"БЛОК: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нельзя",IF(AND(F87&lt;&gt;"",COUNTIF('Долг по актам'!$B$5:$B$34,F87)=0),"БЛОК: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договору")&gt;0)*($C$5:$C$504&lt;&gt;C87)*($E$5:$E$504=E87)*(($D$5:$D$504=D87)*(D87&lt;&gt;"")+($B$5:$B$504=B87)*(B87&lt;&gt;"")&gt;0))&gt;0,"БЛОК: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операцию",IF(AND(C87="Оплата",K87&lt;&gt;"Отдельный платёж — не сам аванс (сверено с выпиской банка)",OR(COUNTIFS($C$5:$C$504,"Зачёт аванса по договору",$E$5:$E$504,E87)&gt;0,ROUND(E87-$M$6,2)=0)),"БЛОК: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7" s="185" t="str">
        <x:f>IF(AND(B87="",C87="",E87=""),"",SUM($G$5:G87))</x:f>
        <x:v/>
      </x:c>
      <x:c r="K87" s="178"/>
      <x:c r="L87" s="46"/>
      <x:c r="M87" s="46"/>
    </x:row>
    <x:row r="88" ht="29" customHeight="1">
      <x:c r="A88" s="199">
        <x:v>84</x:v>
      </x:c>
      <x:c r="B88" s="162"/>
      <x:c r="C88" s="163"/>
      <x:c r="D88" s="163"/>
      <x:c r="E88" s="164"/>
      <x:c r="F88" s="163"/>
      <x:c r="G88" s="185">
        <x:f t="shared" si="2"/>
        <x:v>0</x:v>
      </x:c>
      <x:c r="H88" s="185">
        <x:f t="shared" si="3"/>
        <x:v>0</x:v>
      </x:c>
      <x:c r="I88" s="186">
        <x:f>IF(AND(B88="",C88="",D88="",E88="",F88=""),"",IF(OR(B88="",C88="",E88=""),"БЛОК: нужны дата, тип операции и сумма",IF(N(E88)&lt;=0,"БЛОК: сумма должна быть больше нуля",IF(AND(H88&lt;&gt;0,F88=""),"БЛОК: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отделить",IF(AND(G88&lt;&gt;0,F88=""),"БЛОК: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нельзя",IF(AND(F88&lt;&gt;"",COUNTIF('Долг по актам'!$B$5:$B$34,F88)=0),"БЛОК: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договору")&gt;0)*($C$5:$C$504&lt;&gt;C88)*($E$5:$E$504=E88)*(($D$5:$D$504=D88)*(D88&lt;&gt;"")+($B$5:$B$504=B88)*(B88&lt;&gt;"")&gt;0))&gt;0,"БЛОК: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операцию",IF(AND(C88="Оплата",K88&lt;&gt;"Отдельный платёж — не сам аванс (сверено с выпиской банка)",OR(COUNTIFS($C$5:$C$504,"Зачёт аванса по договору",$E$5:$E$504,E88)&gt;0,ROUND(E88-$M$6,2)=0)),"БЛОК: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8" s="185" t="str">
        <x:f>IF(AND(B88="",C88="",E88=""),"",SUM($G$5:G88))</x:f>
        <x:v/>
      </x:c>
      <x:c r="K88" s="178"/>
      <x:c r="L88" s="46"/>
      <x:c r="M88" s="46"/>
    </x:row>
    <x:row r="89" ht="29" customHeight="1">
      <x:c r="A89" s="199">
        <x:v>85</x:v>
      </x:c>
      <x:c r="B89" s="162"/>
      <x:c r="C89" s="163"/>
      <x:c r="D89" s="163"/>
      <x:c r="E89" s="164"/>
      <x:c r="F89" s="163"/>
      <x:c r="G89" s="185">
        <x:f t="shared" si="2"/>
        <x:v>0</x:v>
      </x:c>
      <x:c r="H89" s="185">
        <x:f t="shared" si="3"/>
        <x:v>0</x:v>
      </x:c>
      <x:c r="I89" s="186">
        <x:f>IF(AND(B89="",C89="",D89="",E89="",F89=""),"",IF(OR(B89="",C89="",E89=""),"БЛОК: нужны дата, тип операции и сумма",IF(N(E89)&lt;=0,"БЛОК: сумма должна быть больше нуля",IF(AND(H89&lt;&gt;0,F89=""),"БЛОК: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отделить",IF(AND(G89&lt;&gt;0,F89=""),"БЛОК: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нельзя",IF(AND(F89&lt;&gt;"",COUNTIF('Долг по актам'!$B$5:$B$34,F89)=0),"БЛОК: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договору")&gt;0)*($C$5:$C$504&lt;&gt;C89)*($E$5:$E$504=E89)*(($D$5:$D$504=D89)*(D89&lt;&gt;"")+($B$5:$B$504=B89)*(B89&lt;&gt;"")&gt;0))&gt;0,"БЛОК: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операцию",IF(AND(C89="Оплата",K89&lt;&gt;"Отдельный платёж — не сам аванс (сверено с выпиской банка)",OR(COUNTIFS($C$5:$C$504,"Зачёт аванса по договору",$E$5:$E$504,E89)&gt;0,ROUND(E89-$M$6,2)=0)),"БЛОК: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89" s="185" t="str">
        <x:f>IF(AND(B89="",C89="",E89=""),"",SUM($G$5:G89))</x:f>
        <x:v/>
      </x:c>
      <x:c r="K89" s="178"/>
      <x:c r="L89" s="46"/>
      <x:c r="M89" s="46"/>
    </x:row>
    <x:row r="90" ht="29" customHeight="1">
      <x:c r="A90" s="199">
        <x:v>86</x:v>
      </x:c>
      <x:c r="B90" s="162"/>
      <x:c r="C90" s="163"/>
      <x:c r="D90" s="163"/>
      <x:c r="E90" s="164"/>
      <x:c r="F90" s="163"/>
      <x:c r="G90" s="185">
        <x:f t="shared" si="2"/>
        <x:v>0</x:v>
      </x:c>
      <x:c r="H90" s="185">
        <x:f t="shared" si="3"/>
        <x:v>0</x:v>
      </x:c>
      <x:c r="I90" s="186">
        <x:f>IF(AND(B90="",C90="",D90="",E90="",F90=""),"",IF(OR(B90="",C90="",E90=""),"БЛОК: нужны дата, тип операции и сумма",IF(N(E90)&lt;=0,"БЛОК: сумма должна быть больше нуля",IF(AND(H90&lt;&gt;0,F90=""),"БЛОК: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отделить",IF(AND(G90&lt;&gt;0,F90=""),"БЛОК: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нельзя",IF(AND(F90&lt;&gt;"",COUNTIF('Долг по актам'!$B$5:$B$34,F90)=0),"БЛОК: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договору")&gt;0)*($C$5:$C$504&lt;&gt;C90)*($E$5:$E$504=E90)*(($D$5:$D$504=D90)*(D90&lt;&gt;"")+($B$5:$B$504=B90)*(B90&lt;&gt;"")&gt;0))&gt;0,"БЛОК: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операцию",IF(AND(C90="Оплата",K90&lt;&gt;"Отдельный платёж — не сам аванс (сверено с выпиской банка)",OR(COUNTIFS($C$5:$C$504,"Зачёт аванса по договору",$E$5:$E$504,E90)&gt;0,ROUND(E90-$M$6,2)=0)),"БЛОК: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0" s="185" t="str">
        <x:f>IF(AND(B90="",C90="",E90=""),"",SUM($G$5:G90))</x:f>
        <x:v/>
      </x:c>
      <x:c r="K90" s="178"/>
      <x:c r="L90" s="46"/>
      <x:c r="M90" s="46"/>
    </x:row>
    <x:row r="91" ht="29" customHeight="1">
      <x:c r="A91" s="199">
        <x:v>87</x:v>
      </x:c>
      <x:c r="B91" s="162"/>
      <x:c r="C91" s="163"/>
      <x:c r="D91" s="163"/>
      <x:c r="E91" s="164"/>
      <x:c r="F91" s="163"/>
      <x:c r="G91" s="185">
        <x:f t="shared" si="2"/>
        <x:v>0</x:v>
      </x:c>
      <x:c r="H91" s="185">
        <x:f t="shared" si="3"/>
        <x:v>0</x:v>
      </x:c>
      <x:c r="I91" s="186">
        <x:f>IF(AND(B91="",C91="",D91="",E91="",F91=""),"",IF(OR(B91="",C91="",E91=""),"БЛОК: нужны дата, тип операции и сумма",IF(N(E91)&lt;=0,"БЛОК: сумма должна быть больше нуля",IF(AND(H91&lt;&gt;0,F91=""),"БЛОК: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отделить",IF(AND(G91&lt;&gt;0,F91=""),"БЛОК: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нельзя",IF(AND(F91&lt;&gt;"",COUNTIF('Долг по актам'!$B$5:$B$34,F91)=0),"БЛОК: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договору")&gt;0)*($C$5:$C$504&lt;&gt;C91)*($E$5:$E$504=E91)*(($D$5:$D$504=D91)*(D91&lt;&gt;"")+($B$5:$B$504=B91)*(B91&lt;&gt;"")&gt;0))&gt;0,"БЛОК: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операцию",IF(AND(C91="Оплата",K91&lt;&gt;"Отдельный платёж — не сам аванс (сверено с выпиской банка)",OR(COUNTIFS($C$5:$C$504,"Зачёт аванса по договору",$E$5:$E$504,E91)&gt;0,ROUND(E91-$M$6,2)=0)),"БЛОК: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1" s="185" t="str">
        <x:f>IF(AND(B91="",C91="",E91=""),"",SUM($G$5:G91))</x:f>
        <x:v/>
      </x:c>
      <x:c r="K91" s="178"/>
      <x:c r="L91" s="46"/>
      <x:c r="M91" s="46"/>
    </x:row>
    <x:row r="92" ht="29" customHeight="1">
      <x:c r="A92" s="199">
        <x:v>88</x:v>
      </x:c>
      <x:c r="B92" s="162"/>
      <x:c r="C92" s="163"/>
      <x:c r="D92" s="163"/>
      <x:c r="E92" s="164"/>
      <x:c r="F92" s="163"/>
      <x:c r="G92" s="185">
        <x:f t="shared" si="2"/>
        <x:v>0</x:v>
      </x:c>
      <x:c r="H92" s="185">
        <x:f t="shared" si="3"/>
        <x:v>0</x:v>
      </x:c>
      <x:c r="I92" s="186">
        <x:f>IF(AND(B92="",C92="",D92="",E92="",F92=""),"",IF(OR(B92="",C92="",E92=""),"БЛОК: нужны дата, тип операции и сумма",IF(N(E92)&lt;=0,"БЛОК: сумма должна быть больше нуля",IF(AND(H92&lt;&gt;0,F92=""),"БЛОК: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отделить",IF(AND(G92&lt;&gt;0,F92=""),"БЛОК: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нельзя",IF(AND(F92&lt;&gt;"",COUNTIF('Долг по актам'!$B$5:$B$34,F92)=0),"БЛОК: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договору")&gt;0)*($C$5:$C$504&lt;&gt;C92)*($E$5:$E$504=E92)*(($D$5:$D$504=D92)*(D92&lt;&gt;"")+($B$5:$B$504=B92)*(B92&lt;&gt;"")&gt;0))&gt;0,"БЛОК: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операцию",IF(AND(C92="Оплата",K92&lt;&gt;"Отдельный платёж — не сам аванс (сверено с выпиской банка)",OR(COUNTIFS($C$5:$C$504,"Зачёт аванса по договору",$E$5:$E$504,E92)&gt;0,ROUND(E92-$M$6,2)=0)),"БЛОК: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2" s="185" t="str">
        <x:f>IF(AND(B92="",C92="",E92=""),"",SUM($G$5:G92))</x:f>
        <x:v/>
      </x:c>
      <x:c r="K92" s="178"/>
      <x:c r="L92" s="46"/>
      <x:c r="M92" s="46"/>
    </x:row>
    <x:row r="93" ht="29" customHeight="1">
      <x:c r="A93" s="199">
        <x:v>89</x:v>
      </x:c>
      <x:c r="B93" s="162"/>
      <x:c r="C93" s="163"/>
      <x:c r="D93" s="163"/>
      <x:c r="E93" s="164"/>
      <x:c r="F93" s="163"/>
      <x:c r="G93" s="185">
        <x:f t="shared" si="2"/>
        <x:v>0</x:v>
      </x:c>
      <x:c r="H93" s="185">
        <x:f t="shared" si="3"/>
        <x:v>0</x:v>
      </x:c>
      <x:c r="I93" s="186">
        <x:f>IF(AND(B93="",C93="",D93="",E93="",F93=""),"",IF(OR(B93="",C93="",E93=""),"БЛОК: нужны дата, тип операции и сумма",IF(N(E93)&lt;=0,"БЛОК: сумма должна быть больше нуля",IF(AND(H93&lt;&gt;0,F93=""),"БЛОК: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отделить",IF(AND(G93&lt;&gt;0,F93=""),"БЛОК: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нельзя",IF(AND(F93&lt;&gt;"",COUNTIF('Долг по актам'!$B$5:$B$34,F93)=0),"БЛОК: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договору")&gt;0)*($C$5:$C$504&lt;&gt;C93)*($E$5:$E$504=E93)*(($D$5:$D$504=D93)*(D93&lt;&gt;"")+($B$5:$B$504=B93)*(B93&lt;&gt;"")&gt;0))&gt;0,"БЛОК: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операцию",IF(AND(C93="Оплата",K93&lt;&gt;"Отдельный платёж — не сам аванс (сверено с выпиской банка)",OR(COUNTIFS($C$5:$C$504,"Зачёт аванса по договору",$E$5:$E$504,E93)&gt;0,ROUND(E93-$M$6,2)=0)),"БЛОК: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3" s="185" t="str">
        <x:f>IF(AND(B93="",C93="",E93=""),"",SUM($G$5:G93))</x:f>
        <x:v/>
      </x:c>
      <x:c r="K93" s="178"/>
      <x:c r="L93" s="46"/>
      <x:c r="M93" s="46"/>
    </x:row>
    <x:row r="94" ht="29" customHeight="1">
      <x:c r="A94" s="199">
        <x:v>90</x:v>
      </x:c>
      <x:c r="B94" s="162"/>
      <x:c r="C94" s="163"/>
      <x:c r="D94" s="163"/>
      <x:c r="E94" s="164"/>
      <x:c r="F94" s="163"/>
      <x:c r="G94" s="185">
        <x:f t="shared" si="2"/>
        <x:v>0</x:v>
      </x:c>
      <x:c r="H94" s="185">
        <x:f t="shared" si="3"/>
        <x:v>0</x:v>
      </x:c>
      <x:c r="I94" s="186">
        <x:f>IF(AND(B94="",C94="",D94="",E94="",F94=""),"",IF(OR(B94="",C94="",E94=""),"БЛОК: нужны дата, тип операции и сумма",IF(N(E94)&lt;=0,"БЛОК: сумма должна быть больше нуля",IF(AND(H94&lt;&gt;0,F94=""),"БЛОК: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отделить",IF(AND(G94&lt;&gt;0,F94=""),"БЛОК: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нельзя",IF(AND(F94&lt;&gt;"",COUNTIF('Долг по актам'!$B$5:$B$34,F94)=0),"БЛОК: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договору")&gt;0)*($C$5:$C$504&lt;&gt;C94)*($E$5:$E$504=E94)*(($D$5:$D$504=D94)*(D94&lt;&gt;"")+($B$5:$B$504=B94)*(B94&lt;&gt;"")&gt;0))&gt;0,"БЛОК: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операцию",IF(AND(C94="Оплата",K94&lt;&gt;"Отдельный платёж — не сам аванс (сверено с выпиской банка)",OR(COUNTIFS($C$5:$C$504,"Зачёт аванса по договору",$E$5:$E$504,E94)&gt;0,ROUND(E94-$M$6,2)=0)),"БЛОК: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4" s="185" t="str">
        <x:f>IF(AND(B94="",C94="",E94=""),"",SUM($G$5:G94))</x:f>
        <x:v/>
      </x:c>
      <x:c r="K94" s="178"/>
      <x:c r="L94" s="46"/>
      <x:c r="M94" s="46"/>
    </x:row>
    <x:row r="95" ht="29" customHeight="1">
      <x:c r="A95" s="199">
        <x:v>91</x:v>
      </x:c>
      <x:c r="B95" s="162"/>
      <x:c r="C95" s="163"/>
      <x:c r="D95" s="163"/>
      <x:c r="E95" s="164"/>
      <x:c r="F95" s="163"/>
      <x:c r="G95" s="185">
        <x:f t="shared" si="2"/>
        <x:v>0</x:v>
      </x:c>
      <x:c r="H95" s="185">
        <x:f t="shared" si="3"/>
        <x:v>0</x:v>
      </x:c>
      <x:c r="I95" s="186">
        <x:f>IF(AND(B95="",C95="",D95="",E95="",F95=""),"",IF(OR(B95="",C95="",E95=""),"БЛОК: нужны дата, тип операции и сумма",IF(N(E95)&lt;=0,"БЛОК: сумма должна быть больше нуля",IF(AND(H95&lt;&gt;0,F95=""),"БЛОК: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отделить",IF(AND(G95&lt;&gt;0,F95=""),"БЛОК: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нельзя",IF(AND(F95&lt;&gt;"",COUNTIF('Долг по актам'!$B$5:$B$34,F95)=0),"БЛОК: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договору")&gt;0)*($C$5:$C$504&lt;&gt;C95)*($E$5:$E$504=E95)*(($D$5:$D$504=D95)*(D95&lt;&gt;"")+($B$5:$B$504=B95)*(B95&lt;&gt;"")&gt;0))&gt;0,"БЛОК: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операцию",IF(AND(C95="Оплата",K95&lt;&gt;"Отдельный платёж — не сам аванс (сверено с выпиской банка)",OR(COUNTIFS($C$5:$C$504,"Зачёт аванса по договору",$E$5:$E$504,E95)&gt;0,ROUND(E95-$M$6,2)=0)),"БЛОК: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5" s="185" t="str">
        <x:f>IF(AND(B95="",C95="",E95=""),"",SUM($G$5:G95))</x:f>
        <x:v/>
      </x:c>
      <x:c r="K95" s="178"/>
      <x:c r="L95" s="46"/>
      <x:c r="M95" s="46"/>
    </x:row>
    <x:row r="96" ht="29" customHeight="1">
      <x:c r="A96" s="199">
        <x:v>92</x:v>
      </x:c>
      <x:c r="B96" s="162"/>
      <x:c r="C96" s="163"/>
      <x:c r="D96" s="163"/>
      <x:c r="E96" s="164"/>
      <x:c r="F96" s="163"/>
      <x:c r="G96" s="185">
        <x:f t="shared" si="2"/>
        <x:v>0</x:v>
      </x:c>
      <x:c r="H96" s="185">
        <x:f t="shared" si="3"/>
        <x:v>0</x:v>
      </x:c>
      <x:c r="I96" s="186">
        <x:f>IF(AND(B96="",C96="",D96="",E96="",F96=""),"",IF(OR(B96="",C96="",E96=""),"БЛОК: нужны дата, тип операции и сумма",IF(N(E96)&lt;=0,"БЛОК: сумма должна быть больше нуля",IF(AND(H96&lt;&gt;0,F96=""),"БЛОК: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отделить",IF(AND(G96&lt;&gt;0,F96=""),"БЛОК: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нельзя",IF(AND(F96&lt;&gt;"",COUNTIF('Долг по актам'!$B$5:$B$34,F96)=0),"БЛОК: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договору")&gt;0)*($C$5:$C$504&lt;&gt;C96)*($E$5:$E$504=E96)*(($D$5:$D$504=D96)*(D96&lt;&gt;"")+($B$5:$B$504=B96)*(B96&lt;&gt;"")&gt;0))&gt;0,"БЛОК: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операцию",IF(AND(C96="Оплата",K96&lt;&gt;"Отдельный платёж — не сам аванс (сверено с выпиской банка)",OR(COUNTIFS($C$5:$C$504,"Зачёт аванса по договору",$E$5:$E$504,E96)&gt;0,ROUND(E96-$M$6,2)=0)),"БЛОК: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6" s="185" t="str">
        <x:f>IF(AND(B96="",C96="",E96=""),"",SUM($G$5:G96))</x:f>
        <x:v/>
      </x:c>
      <x:c r="K96" s="178"/>
      <x:c r="L96" s="46"/>
      <x:c r="M96" s="46"/>
    </x:row>
    <x:row r="97" ht="29" customHeight="1">
      <x:c r="A97" s="199">
        <x:v>93</x:v>
      </x:c>
      <x:c r="B97" s="162"/>
      <x:c r="C97" s="163"/>
      <x:c r="D97" s="163"/>
      <x:c r="E97" s="164"/>
      <x:c r="F97" s="163"/>
      <x:c r="G97" s="185">
        <x:f t="shared" si="2"/>
        <x:v>0</x:v>
      </x:c>
      <x:c r="H97" s="185">
        <x:f t="shared" si="3"/>
        <x:v>0</x:v>
      </x:c>
      <x:c r="I97" s="186">
        <x:f>IF(AND(B97="",C97="",D97="",E97="",F97=""),"",IF(OR(B97="",C97="",E97=""),"БЛОК: нужны дата, тип операции и сумма",IF(N(E97)&lt;=0,"БЛОК: сумма должна быть больше нуля",IF(AND(H97&lt;&gt;0,F97=""),"БЛОК: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отделить",IF(AND(G97&lt;&gt;0,F97=""),"БЛОК: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нельзя",IF(AND(F97&lt;&gt;"",COUNTIF('Долг по актам'!$B$5:$B$34,F97)=0),"БЛОК: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договору")&gt;0)*($C$5:$C$504&lt;&gt;C97)*($E$5:$E$504=E97)*(($D$5:$D$504=D97)*(D97&lt;&gt;"")+($B$5:$B$504=B97)*(B97&lt;&gt;"")&gt;0))&gt;0,"БЛОК: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операцию",IF(AND(C97="Оплата",K97&lt;&gt;"Отдельный платёж — не сам аванс (сверено с выпиской банка)",OR(COUNTIFS($C$5:$C$504,"Зачёт аванса по договору",$E$5:$E$504,E97)&gt;0,ROUND(E97-$M$6,2)=0)),"БЛОК: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7" s="185" t="str">
        <x:f>IF(AND(B97="",C97="",E97=""),"",SUM($G$5:G97))</x:f>
        <x:v/>
      </x:c>
      <x:c r="K97" s="178"/>
      <x:c r="L97" s="46"/>
      <x:c r="M97" s="46"/>
    </x:row>
    <x:row r="98" ht="29" customHeight="1">
      <x:c r="A98" s="199">
        <x:v>94</x:v>
      </x:c>
      <x:c r="B98" s="162"/>
      <x:c r="C98" s="163"/>
      <x:c r="D98" s="163"/>
      <x:c r="E98" s="164"/>
      <x:c r="F98" s="163"/>
      <x:c r="G98" s="185">
        <x:f t="shared" si="2"/>
        <x:v>0</x:v>
      </x:c>
      <x:c r="H98" s="185">
        <x:f t="shared" si="3"/>
        <x:v>0</x:v>
      </x:c>
      <x:c r="I98" s="186">
        <x:f>IF(AND(B98="",C98="",D98="",E98="",F98=""),"",IF(OR(B98="",C98="",E98=""),"БЛОК: нужны дата, тип операции и сумма",IF(N(E98)&lt;=0,"БЛОК: сумма должна быть больше нуля",IF(AND(H98&lt;&gt;0,F98=""),"БЛОК: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отделить",IF(AND(G98&lt;&gt;0,F98=""),"БЛОК: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нельзя",IF(AND(F98&lt;&gt;"",COUNTIF('Долг по актам'!$B$5:$B$34,F98)=0),"БЛОК: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договору")&gt;0)*($C$5:$C$504&lt;&gt;C98)*($E$5:$E$504=E98)*(($D$5:$D$504=D98)*(D98&lt;&gt;"")+($B$5:$B$504=B98)*(B98&lt;&gt;"")&gt;0))&gt;0,"БЛОК: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операцию",IF(AND(C98="Оплата",K98&lt;&gt;"Отдельный платёж — не сам аванс (сверено с выпиской банка)",OR(COUNTIFS($C$5:$C$504,"Зачёт аванса по договору",$E$5:$E$504,E98)&gt;0,ROUND(E98-$M$6,2)=0)),"БЛОК: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8" s="185" t="str">
        <x:f>IF(AND(B98="",C98="",E98=""),"",SUM($G$5:G98))</x:f>
        <x:v/>
      </x:c>
      <x:c r="K98" s="178"/>
      <x:c r="L98" s="46"/>
      <x:c r="M98" s="46"/>
    </x:row>
    <x:row r="99" ht="29" customHeight="1">
      <x:c r="A99" s="199">
        <x:v>95</x:v>
      </x:c>
      <x:c r="B99" s="162"/>
      <x:c r="C99" s="163"/>
      <x:c r="D99" s="163"/>
      <x:c r="E99" s="164"/>
      <x:c r="F99" s="163"/>
      <x:c r="G99" s="185">
        <x:f t="shared" si="2"/>
        <x:v>0</x:v>
      </x:c>
      <x:c r="H99" s="185">
        <x:f t="shared" si="3"/>
        <x:v>0</x:v>
      </x:c>
      <x:c r="I99" s="186">
        <x:f>IF(AND(B99="",C99="",D99="",E99="",F99=""),"",IF(OR(B99="",C99="",E99=""),"БЛОК: нужны дата, тип операции и сумма",IF(N(E99)&lt;=0,"БЛОК: сумма должна быть больше нуля",IF(AND(H99&lt;&gt;0,F99=""),"БЛОК: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отделить",IF(AND(G99&lt;&gt;0,F99=""),"БЛОК: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нельзя",IF(AND(F99&lt;&gt;"",COUNTIF('Долг по актам'!$B$5:$B$34,F99)=0),"БЛОК: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договору")&gt;0)*($C$5:$C$504&lt;&gt;C99)*($E$5:$E$504=E99)*(($D$5:$D$504=D99)*(D99&lt;&gt;"")+($B$5:$B$504=B99)*(B99&lt;&gt;"")&gt;0))&gt;0,"БЛОК: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операцию",IF(AND(C99="Оплата",K99&lt;&gt;"Отдельный платёж — не сам аванс (сверено с выпиской банка)",OR(COUNTIFS($C$5:$C$504,"Зачёт аванса по договору",$E$5:$E$504,E99)&gt;0,ROUND(E99-$M$6,2)=0)),"БЛОК: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99" s="185" t="str">
        <x:f>IF(AND(B99="",C99="",E99=""),"",SUM($G$5:G99))</x:f>
        <x:v/>
      </x:c>
      <x:c r="K99" s="178"/>
      <x:c r="L99" s="46"/>
      <x:c r="M99" s="46"/>
    </x:row>
    <x:row r="100" ht="29" customHeight="1">
      <x:c r="A100" s="199">
        <x:v>96</x:v>
      </x:c>
      <x:c r="B100" s="162"/>
      <x:c r="C100" s="163"/>
      <x:c r="D100" s="163"/>
      <x:c r="E100" s="164"/>
      <x:c r="F100" s="163"/>
      <x:c r="G100" s="185">
        <x:f t="shared" si="2"/>
        <x:v>0</x:v>
      </x:c>
      <x:c r="H100" s="185">
        <x:f t="shared" si="3"/>
        <x:v>0</x:v>
      </x:c>
      <x:c r="I100" s="186">
        <x:f>IF(AND(B100="",C100="",D100="",E100="",F100=""),"",IF(OR(B100="",C100="",E100=""),"БЛОК: нужны дата, тип операции и сумма",IF(N(E100)&lt;=0,"БЛОК: сумма должна быть больше нуля",IF(AND(H100&lt;&gt;0,F100=""),"БЛОК: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отделить",IF(AND(G100&lt;&gt;0,F100=""),"БЛОК: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нельзя",IF(AND(F100&lt;&gt;"",COUNTIF('Долг по актам'!$B$5:$B$34,F100)=0),"БЛОК: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договору")&gt;0)*($C$5:$C$504&lt;&gt;C100)*($E$5:$E$504=E100)*(($D$5:$D$504=D100)*(D100&lt;&gt;"")+($B$5:$B$504=B100)*(B100&lt;&gt;"")&gt;0))&gt;0,"БЛОК: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операцию",IF(AND(C100="Оплата",K100&lt;&gt;"Отдельный платёж — не сам аванс (сверено с выпиской банка)",OR(COUNTIFS($C$5:$C$504,"Зачёт аванса по договору",$E$5:$E$504,E100)&gt;0,ROUND(E100-$M$6,2)=0)),"БЛОК: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0" s="185" t="str">
        <x:f>IF(AND(B100="",C100="",E100=""),"",SUM($G$5:G100))</x:f>
        <x:v/>
      </x:c>
      <x:c r="K100" s="178"/>
      <x:c r="L100" s="46"/>
      <x:c r="M100" s="46"/>
    </x:row>
    <x:row r="101" ht="29" customHeight="1">
      <x:c r="A101" s="199">
        <x:v>97</x:v>
      </x:c>
      <x:c r="B101" s="162"/>
      <x:c r="C101" s="163"/>
      <x:c r="D101" s="163"/>
      <x:c r="E101" s="164"/>
      <x:c r="F101" s="163"/>
      <x:c r="G101" s="185">
        <x:f t="shared" si="2"/>
        <x:v>0</x:v>
      </x:c>
      <x:c r="H101" s="185">
        <x:f t="shared" si="3"/>
        <x:v>0</x:v>
      </x:c>
      <x:c r="I101" s="186">
        <x:f>IF(AND(B101="",C101="",D101="",E101="",F101=""),"",IF(OR(B101="",C101="",E101=""),"БЛОК: нужны дата, тип операции и сумма",IF(N(E101)&lt;=0,"БЛОК: сумма должна быть больше нуля",IF(AND(H101&lt;&gt;0,F101=""),"БЛОК: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отделить",IF(AND(G101&lt;&gt;0,F101=""),"БЛОК: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нельзя",IF(AND(F101&lt;&gt;"",COUNTIF('Долг по актам'!$B$5:$B$34,F101)=0),"БЛОК: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договору")&gt;0)*($C$5:$C$504&lt;&gt;C101)*($E$5:$E$504=E101)*(($D$5:$D$504=D101)*(D101&lt;&gt;"")+($B$5:$B$504=B101)*(B101&lt;&gt;"")&gt;0))&gt;0,"БЛОК: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операцию",IF(AND(C101="Оплата",K101&lt;&gt;"Отдельный платёж — не сам аванс (сверено с выпиской банка)",OR(COUNTIFS($C$5:$C$504,"Зачёт аванса по договору",$E$5:$E$504,E101)&gt;0,ROUND(E101-$M$6,2)=0)),"БЛОК: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1" s="185" t="str">
        <x:f>IF(AND(B101="",C101="",E101=""),"",SUM($G$5:G101))</x:f>
        <x:v/>
      </x:c>
      <x:c r="K101" s="178"/>
      <x:c r="L101" s="46"/>
      <x:c r="M101" s="46"/>
    </x:row>
    <x:row r="102" ht="29" customHeight="1">
      <x:c r="A102" s="199">
        <x:v>98</x:v>
      </x:c>
      <x:c r="B102" s="162"/>
      <x:c r="C102" s="163"/>
      <x:c r="D102" s="163"/>
      <x:c r="E102" s="164"/>
      <x:c r="F102" s="163"/>
      <x:c r="G102" s="185">
        <x:f t="shared" si="2"/>
        <x:v>0</x:v>
      </x:c>
      <x:c r="H102" s="185">
        <x:f t="shared" si="3"/>
        <x:v>0</x:v>
      </x:c>
      <x:c r="I102" s="186">
        <x:f>IF(AND(B102="",C102="",D102="",E102="",F102=""),"",IF(OR(B102="",C102="",E102=""),"БЛОК: нужны дата, тип операции и сумма",IF(N(E102)&lt;=0,"БЛОК: сумма должна быть больше нуля",IF(AND(H102&lt;&gt;0,F102=""),"БЛОК: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отделить",IF(AND(G102&lt;&gt;0,F102=""),"БЛОК: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нельзя",IF(AND(F102&lt;&gt;"",COUNTIF('Долг по актам'!$B$5:$B$34,F102)=0),"БЛОК: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договору")&gt;0)*($C$5:$C$504&lt;&gt;C102)*($E$5:$E$504=E102)*(($D$5:$D$504=D102)*(D102&lt;&gt;"")+($B$5:$B$504=B102)*(B102&lt;&gt;"")&gt;0))&gt;0,"БЛОК: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операцию",IF(AND(C102="Оплата",K102&lt;&gt;"Отдельный платёж — не сам аванс (сверено с выпиской банка)",OR(COUNTIFS($C$5:$C$504,"Зачёт аванса по договору",$E$5:$E$504,E102)&gt;0,ROUND(E102-$M$6,2)=0)),"БЛОК: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2" s="185" t="str">
        <x:f>IF(AND(B102="",C102="",E102=""),"",SUM($G$5:G102))</x:f>
        <x:v/>
      </x:c>
      <x:c r="K102" s="178"/>
      <x:c r="L102" s="46"/>
      <x:c r="M102" s="46"/>
    </x:row>
    <x:row r="103" ht="29" customHeight="1">
      <x:c r="A103" s="199">
        <x:v>99</x:v>
      </x:c>
      <x:c r="B103" s="162"/>
      <x:c r="C103" s="163"/>
      <x:c r="D103" s="163"/>
      <x:c r="E103" s="164"/>
      <x:c r="F103" s="163"/>
      <x:c r="G103" s="185">
        <x:f t="shared" si="2"/>
        <x:v>0</x:v>
      </x:c>
      <x:c r="H103" s="185">
        <x:f t="shared" si="3"/>
        <x:v>0</x:v>
      </x:c>
      <x:c r="I103" s="186">
        <x:f>IF(AND(B103="",C103="",D103="",E103="",F103=""),"",IF(OR(B103="",C103="",E103=""),"БЛОК: нужны дата, тип операции и сумма",IF(N(E103)&lt;=0,"БЛОК: сумма должна быть больше нуля",IF(AND(H103&lt;&gt;0,F103=""),"БЛОК: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отделить",IF(AND(G103&lt;&gt;0,F103=""),"БЛОК: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нельзя",IF(AND(F103&lt;&gt;"",COUNTIF('Долг по актам'!$B$5:$B$34,F103)=0),"БЛОК: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договору")&gt;0)*($C$5:$C$504&lt;&gt;C103)*($E$5:$E$504=E103)*(($D$5:$D$504=D103)*(D103&lt;&gt;"")+($B$5:$B$504=B103)*(B103&lt;&gt;"")&gt;0))&gt;0,"БЛОК: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операцию",IF(AND(C103="Оплата",K103&lt;&gt;"Отдельный платёж — не сам аванс (сверено с выпиской банка)",OR(COUNTIFS($C$5:$C$504,"Зачёт аванса по договору",$E$5:$E$504,E103)&gt;0,ROUND(E103-$M$6,2)=0)),"БЛОК: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3" s="185" t="str">
        <x:f>IF(AND(B103="",C103="",E103=""),"",SUM($G$5:G103))</x:f>
        <x:v/>
      </x:c>
      <x:c r="K103" s="178"/>
      <x:c r="L103" s="46"/>
      <x:c r="M103" s="46"/>
    </x:row>
    <x:row r="104" ht="29" customHeight="1">
      <x:c r="A104" s="199">
        <x:v>100</x:v>
      </x:c>
      <x:c r="B104" s="162"/>
      <x:c r="C104" s="163"/>
      <x:c r="D104" s="163"/>
      <x:c r="E104" s="164"/>
      <x:c r="F104" s="163"/>
      <x:c r="G104" s="185">
        <x:f t="shared" si="2"/>
        <x:v>0</x:v>
      </x:c>
      <x:c r="H104" s="185">
        <x:f t="shared" si="3"/>
        <x:v>0</x:v>
      </x:c>
      <x:c r="I104" s="186">
        <x:f>IF(AND(B104="",C104="",D104="",E104="",F104=""),"",IF(OR(B104="",C104="",E104=""),"БЛОК: нужны дата, тип операции и сумма",IF(N(E104)&lt;=0,"БЛОК: сумма должна быть больше нуля",IF(AND(H104&lt;&gt;0,F104=""),"БЛОК: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отделить",IF(AND(G104&lt;&gt;0,F104=""),"БЛОК: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нельзя",IF(AND(F104&lt;&gt;"",COUNTIF('Долг по актам'!$B$5:$B$34,F104)=0),"БЛОК: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договору")&gt;0)*($C$5:$C$504&lt;&gt;C104)*($E$5:$E$504=E104)*(($D$5:$D$504=D104)*(D104&lt;&gt;"")+($B$5:$B$504=B104)*(B104&lt;&gt;"")&gt;0))&gt;0,"БЛОК: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операцию",IF(AND(C104="Оплата",K104&lt;&gt;"Отдельный платёж — не сам аванс (сверено с выпиской банка)",OR(COUNTIFS($C$5:$C$504,"Зачёт аванса по договору",$E$5:$E$504,E104)&gt;0,ROUND(E104-$M$6,2)=0)),"БЛОК: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4" s="185" t="str">
        <x:f>IF(AND(B104="",C104="",E104=""),"",SUM($G$5:G104))</x:f>
        <x:v/>
      </x:c>
      <x:c r="K104" s="178"/>
      <x:c r="L104" s="46"/>
      <x:c r="M104" s="46"/>
    </x:row>
    <x:row r="105" ht="29" customHeight="1">
      <x:c r="A105" s="199">
        <x:v>101</x:v>
      </x:c>
      <x:c r="B105" s="162"/>
      <x:c r="C105" s="163"/>
      <x:c r="D105" s="163"/>
      <x:c r="E105" s="164"/>
      <x:c r="F105" s="163"/>
      <x:c r="G105" s="185">
        <x:f t="shared" si="2"/>
        <x:v>0</x:v>
      </x:c>
      <x:c r="H105" s="185">
        <x:f t="shared" si="3"/>
        <x:v>0</x:v>
      </x:c>
      <x:c r="I105" s="186">
        <x:f>IF(AND(B105="",C105="",D105="",E105="",F105=""),"",IF(OR(B105="",C105="",E105=""),"БЛОК: нужны дата, тип операции и сумма",IF(N(E105)&lt;=0,"БЛОК: сумма должна быть больше нуля",IF(AND(H105&lt;&gt;0,F105=""),"БЛОК: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отделить",IF(AND(G105&lt;&gt;0,F105=""),"БЛОК: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нельзя",IF(AND(F105&lt;&gt;"",COUNTIF('Долг по актам'!$B$5:$B$34,F105)=0),"БЛОК: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договору")&gt;0)*($C$5:$C$504&lt;&gt;C105)*($E$5:$E$504=E105)*(($D$5:$D$504=D105)*(D105&lt;&gt;"")+($B$5:$B$504=B105)*(B105&lt;&gt;"")&gt;0))&gt;0,"БЛОК: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операцию",IF(AND(C105="Оплата",K105&lt;&gt;"Отдельный платёж — не сам аванс (сверено с выпиской банка)",OR(COUNTIFS($C$5:$C$504,"Зачёт аванса по договору",$E$5:$E$504,E105)&gt;0,ROUND(E105-$M$6,2)=0)),"БЛОК: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5" s="185" t="str">
        <x:f>IF(AND(B105="",C105="",E105=""),"",SUM($G$5:G105))</x:f>
        <x:v/>
      </x:c>
      <x:c r="K105" s="178"/>
      <x:c r="L105" s="46"/>
      <x:c r="M105" s="46"/>
    </x:row>
    <x:row r="106" ht="29" customHeight="1">
      <x:c r="A106" s="199">
        <x:v>102</x:v>
      </x:c>
      <x:c r="B106" s="162"/>
      <x:c r="C106" s="163"/>
      <x:c r="D106" s="163"/>
      <x:c r="E106" s="164"/>
      <x:c r="F106" s="163"/>
      <x:c r="G106" s="185">
        <x:f t="shared" si="2"/>
        <x:v>0</x:v>
      </x:c>
      <x:c r="H106" s="185">
        <x:f t="shared" si="3"/>
        <x:v>0</x:v>
      </x:c>
      <x:c r="I106" s="186">
        <x:f>IF(AND(B106="",C106="",D106="",E106="",F106=""),"",IF(OR(B106="",C106="",E106=""),"БЛОК: нужны дата, тип операции и сумма",IF(N(E106)&lt;=0,"БЛОК: сумма должна быть больше нуля",IF(AND(H106&lt;&gt;0,F106=""),"БЛОК: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отделить",IF(AND(G106&lt;&gt;0,F106=""),"БЛОК: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нельзя",IF(AND(F106&lt;&gt;"",COUNTIF('Долг по актам'!$B$5:$B$34,F106)=0),"БЛОК: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договору")&gt;0)*($C$5:$C$504&lt;&gt;C106)*($E$5:$E$504=E106)*(($D$5:$D$504=D106)*(D106&lt;&gt;"")+($B$5:$B$504=B106)*(B106&lt;&gt;"")&gt;0))&gt;0,"БЛОК: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операцию",IF(AND(C106="Оплата",K106&lt;&gt;"Отдельный платёж — не сам аванс (сверено с выпиской банка)",OR(COUNTIFS($C$5:$C$504,"Зачёт аванса по договору",$E$5:$E$504,E106)&gt;0,ROUND(E106-$M$6,2)=0)),"БЛОК: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6" s="185" t="str">
        <x:f>IF(AND(B106="",C106="",E106=""),"",SUM($G$5:G106))</x:f>
        <x:v/>
      </x:c>
      <x:c r="K106" s="178"/>
      <x:c r="L106" s="46"/>
      <x:c r="M106" s="46"/>
    </x:row>
    <x:row r="107" ht="29" customHeight="1">
      <x:c r="A107" s="199">
        <x:v>103</x:v>
      </x:c>
      <x:c r="B107" s="162"/>
      <x:c r="C107" s="163"/>
      <x:c r="D107" s="163"/>
      <x:c r="E107" s="164"/>
      <x:c r="F107" s="163"/>
      <x:c r="G107" s="185">
        <x:f t="shared" si="2"/>
        <x:v>0</x:v>
      </x:c>
      <x:c r="H107" s="185">
        <x:f t="shared" si="3"/>
        <x:v>0</x:v>
      </x:c>
      <x:c r="I107" s="186">
        <x:f>IF(AND(B107="",C107="",D107="",E107="",F107=""),"",IF(OR(B107="",C107="",E107=""),"БЛОК: нужны дата, тип операции и сумма",IF(N(E107)&lt;=0,"БЛОК: сумма должна быть больше нуля",IF(AND(H107&lt;&gt;0,F107=""),"БЛОК: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отделить",IF(AND(G107&lt;&gt;0,F107=""),"БЛОК: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нельзя",IF(AND(F107&lt;&gt;"",COUNTIF('Долг по актам'!$B$5:$B$34,F107)=0),"БЛОК: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договору")&gt;0)*($C$5:$C$504&lt;&gt;C107)*($E$5:$E$504=E107)*(($D$5:$D$504=D107)*(D107&lt;&gt;"")+($B$5:$B$504=B107)*(B107&lt;&gt;"")&gt;0))&gt;0,"БЛОК: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операцию",IF(AND(C107="Оплата",K107&lt;&gt;"Отдельный платёж — не сам аванс (сверено с выпиской банка)",OR(COUNTIFS($C$5:$C$504,"Зачёт аванса по договору",$E$5:$E$504,E107)&gt;0,ROUND(E107-$M$6,2)=0)),"БЛОК: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7" s="185" t="str">
        <x:f>IF(AND(B107="",C107="",E107=""),"",SUM($G$5:G107))</x:f>
        <x:v/>
      </x:c>
      <x:c r="K107" s="178"/>
      <x:c r="L107" s="46"/>
      <x:c r="M107" s="46"/>
    </x:row>
    <x:row r="108" ht="29" customHeight="1">
      <x:c r="A108" s="199">
        <x:v>104</x:v>
      </x:c>
      <x:c r="B108" s="162"/>
      <x:c r="C108" s="163"/>
      <x:c r="D108" s="163"/>
      <x:c r="E108" s="164"/>
      <x:c r="F108" s="163"/>
      <x:c r="G108" s="185">
        <x:f t="shared" si="2"/>
        <x:v>0</x:v>
      </x:c>
      <x:c r="H108" s="185">
        <x:f t="shared" si="3"/>
        <x:v>0</x:v>
      </x:c>
      <x:c r="I108" s="186">
        <x:f>IF(AND(B108="",C108="",D108="",E108="",F108=""),"",IF(OR(B108="",C108="",E108=""),"БЛОК: нужны дата, тип операции и сумма",IF(N(E108)&lt;=0,"БЛОК: сумма должна быть больше нуля",IF(AND(H108&lt;&gt;0,F108=""),"БЛОК: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отделить",IF(AND(G108&lt;&gt;0,F108=""),"БЛОК: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нельзя",IF(AND(F108&lt;&gt;"",COUNTIF('Долг по актам'!$B$5:$B$34,F108)=0),"БЛОК: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договору")&gt;0)*($C$5:$C$504&lt;&gt;C108)*($E$5:$E$504=E108)*(($D$5:$D$504=D108)*(D108&lt;&gt;"")+($B$5:$B$504=B108)*(B108&lt;&gt;"")&gt;0))&gt;0,"БЛОК: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операцию",IF(AND(C108="Оплата",K108&lt;&gt;"Отдельный платёж — не сам аванс (сверено с выпиской банка)",OR(COUNTIFS($C$5:$C$504,"Зачёт аванса по договору",$E$5:$E$504,E108)&gt;0,ROUND(E108-$M$6,2)=0)),"БЛОК: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8" s="185" t="str">
        <x:f>IF(AND(B108="",C108="",E108=""),"",SUM($G$5:G108))</x:f>
        <x:v/>
      </x:c>
      <x:c r="K108" s="178"/>
      <x:c r="L108" s="46"/>
      <x:c r="M108" s="46"/>
    </x:row>
    <x:row r="109" ht="29" customHeight="1">
      <x:c r="A109" s="199">
        <x:v>105</x:v>
      </x:c>
      <x:c r="B109" s="162"/>
      <x:c r="C109" s="163"/>
      <x:c r="D109" s="163"/>
      <x:c r="E109" s="164"/>
      <x:c r="F109" s="163"/>
      <x:c r="G109" s="185">
        <x:f t="shared" si="2"/>
        <x:v>0</x:v>
      </x:c>
      <x:c r="H109" s="185">
        <x:f t="shared" si="3"/>
        <x:v>0</x:v>
      </x:c>
      <x:c r="I109" s="186">
        <x:f>IF(AND(B109="",C109="",D109="",E109="",F109=""),"",IF(OR(B109="",C109="",E109=""),"БЛОК: нужны дата, тип операции и сумма",IF(N(E109)&lt;=0,"БЛОК: сумма должна быть больше нуля",IF(AND(H109&lt;&gt;0,F109=""),"БЛОК: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отделить",IF(AND(G109&lt;&gt;0,F109=""),"БЛОК: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нельзя",IF(AND(F109&lt;&gt;"",COUNTIF('Долг по актам'!$B$5:$B$34,F109)=0),"БЛОК: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договору")&gt;0)*($C$5:$C$504&lt;&gt;C109)*($E$5:$E$504=E109)*(($D$5:$D$504=D109)*(D109&lt;&gt;"")+($B$5:$B$504=B109)*(B109&lt;&gt;"")&gt;0))&gt;0,"БЛОК: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операцию",IF(AND(C109="Оплата",K109&lt;&gt;"Отдельный платёж — не сам аванс (сверено с выпиской банка)",OR(COUNTIFS($C$5:$C$504,"Зачёт аванса по договору",$E$5:$E$504,E109)&gt;0,ROUND(E109-$M$6,2)=0)),"БЛОК: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09" s="185" t="str">
        <x:f>IF(AND(B109="",C109="",E109=""),"",SUM($G$5:G109))</x:f>
        <x:v/>
      </x:c>
      <x:c r="K109" s="178"/>
      <x:c r="L109" s="46"/>
      <x:c r="M109" s="46"/>
    </x:row>
    <x:row r="110" ht="29" customHeight="1">
      <x:c r="A110" s="199">
        <x:v>106</x:v>
      </x:c>
      <x:c r="B110" s="162"/>
      <x:c r="C110" s="163"/>
      <x:c r="D110" s="163"/>
      <x:c r="E110" s="164"/>
      <x:c r="F110" s="163"/>
      <x:c r="G110" s="185">
        <x:f t="shared" si="2"/>
        <x:v>0</x:v>
      </x:c>
      <x:c r="H110" s="185">
        <x:f t="shared" si="3"/>
        <x:v>0</x:v>
      </x:c>
      <x:c r="I110" s="186">
        <x:f>IF(AND(B110="",C110="",D110="",E110="",F110=""),"",IF(OR(B110="",C110="",E110=""),"БЛОК: нужны дата, тип операции и сумма",IF(N(E110)&lt;=0,"БЛОК: сумма должна быть больше нуля",IF(AND(H110&lt;&gt;0,F110=""),"БЛОК: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отделить",IF(AND(G110&lt;&gt;0,F110=""),"БЛОК: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нельзя",IF(AND(F110&lt;&gt;"",COUNTIF('Долг по актам'!$B$5:$B$34,F110)=0),"БЛОК: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договору")&gt;0)*($C$5:$C$504&lt;&gt;C110)*($E$5:$E$504=E110)*(($D$5:$D$504=D110)*(D110&lt;&gt;"")+($B$5:$B$504=B110)*(B110&lt;&gt;"")&gt;0))&gt;0,"БЛОК: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операцию",IF(AND(C110="Оплата",K110&lt;&gt;"Отдельный платёж — не сам аванс (сверено с выпиской банка)",OR(COUNTIFS($C$5:$C$504,"Зачёт аванса по договору",$E$5:$E$504,E110)&gt;0,ROUND(E110-$M$6,2)=0)),"БЛОК: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0" s="185" t="str">
        <x:f>IF(AND(B110="",C110="",E110=""),"",SUM($G$5:G110))</x:f>
        <x:v/>
      </x:c>
      <x:c r="K110" s="178"/>
      <x:c r="L110" s="46"/>
      <x:c r="M110" s="46"/>
    </x:row>
    <x:row r="111" ht="29" customHeight="1">
      <x:c r="A111" s="199">
        <x:v>107</x:v>
      </x:c>
      <x:c r="B111" s="162"/>
      <x:c r="C111" s="163"/>
      <x:c r="D111" s="163"/>
      <x:c r="E111" s="164"/>
      <x:c r="F111" s="163"/>
      <x:c r="G111" s="185">
        <x:f t="shared" si="2"/>
        <x:v>0</x:v>
      </x:c>
      <x:c r="H111" s="185">
        <x:f t="shared" si="3"/>
        <x:v>0</x:v>
      </x:c>
      <x:c r="I111" s="186">
        <x:f>IF(AND(B111="",C111="",D111="",E111="",F111=""),"",IF(OR(B111="",C111="",E111=""),"БЛОК: нужны дата, тип операции и сумма",IF(N(E111)&lt;=0,"БЛОК: сумма должна быть больше нуля",IF(AND(H111&lt;&gt;0,F111=""),"БЛОК: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отделить",IF(AND(G111&lt;&gt;0,F111=""),"БЛОК: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нельзя",IF(AND(F111&lt;&gt;"",COUNTIF('Долг по актам'!$B$5:$B$34,F111)=0),"БЛОК: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договору")&gt;0)*($C$5:$C$504&lt;&gt;C111)*($E$5:$E$504=E111)*(($D$5:$D$504=D111)*(D111&lt;&gt;"")+($B$5:$B$504=B111)*(B111&lt;&gt;"")&gt;0))&gt;0,"БЛОК: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операцию",IF(AND(C111="Оплата",K111&lt;&gt;"Отдельный платёж — не сам аванс (сверено с выпиской банка)",OR(COUNTIFS($C$5:$C$504,"Зачёт аванса по договору",$E$5:$E$504,E111)&gt;0,ROUND(E111-$M$6,2)=0)),"БЛОК: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1" s="185" t="str">
        <x:f>IF(AND(B111="",C111="",E111=""),"",SUM($G$5:G111))</x:f>
        <x:v/>
      </x:c>
      <x:c r="K111" s="178"/>
      <x:c r="L111" s="46"/>
      <x:c r="M111" s="46"/>
    </x:row>
    <x:row r="112" ht="29" customHeight="1">
      <x:c r="A112" s="199">
        <x:v>108</x:v>
      </x:c>
      <x:c r="B112" s="162"/>
      <x:c r="C112" s="163"/>
      <x:c r="D112" s="163"/>
      <x:c r="E112" s="164"/>
      <x:c r="F112" s="163"/>
      <x:c r="G112" s="185">
        <x:f t="shared" si="2"/>
        <x:v>0</x:v>
      </x:c>
      <x:c r="H112" s="185">
        <x:f t="shared" si="3"/>
        <x:v>0</x:v>
      </x:c>
      <x:c r="I112" s="186">
        <x:f>IF(AND(B112="",C112="",D112="",E112="",F112=""),"",IF(OR(B112="",C112="",E112=""),"БЛОК: нужны дата, тип операции и сумма",IF(N(E112)&lt;=0,"БЛОК: сумма должна быть больше нуля",IF(AND(H112&lt;&gt;0,F112=""),"БЛОК: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отделить",IF(AND(G112&lt;&gt;0,F112=""),"БЛОК: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нельзя",IF(AND(F112&lt;&gt;"",COUNTIF('Долг по актам'!$B$5:$B$34,F112)=0),"БЛОК: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договору")&gt;0)*($C$5:$C$504&lt;&gt;C112)*($E$5:$E$504=E112)*(($D$5:$D$504=D112)*(D112&lt;&gt;"")+($B$5:$B$504=B112)*(B112&lt;&gt;"")&gt;0))&gt;0,"БЛОК: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операцию",IF(AND(C112="Оплата",K112&lt;&gt;"Отдельный платёж — не сам аванс (сверено с выпиской банка)",OR(COUNTIFS($C$5:$C$504,"Зачёт аванса по договору",$E$5:$E$504,E112)&gt;0,ROUND(E112-$M$6,2)=0)),"БЛОК: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2" s="185" t="str">
        <x:f>IF(AND(B112="",C112="",E112=""),"",SUM($G$5:G112))</x:f>
        <x:v/>
      </x:c>
      <x:c r="K112" s="178"/>
      <x:c r="L112" s="46"/>
      <x:c r="M112" s="46"/>
    </x:row>
    <x:row r="113" ht="29" customHeight="1">
      <x:c r="A113" s="199">
        <x:v>109</x:v>
      </x:c>
      <x:c r="B113" s="162"/>
      <x:c r="C113" s="163"/>
      <x:c r="D113" s="163"/>
      <x:c r="E113" s="164"/>
      <x:c r="F113" s="163"/>
      <x:c r="G113" s="185">
        <x:f t="shared" si="2"/>
        <x:v>0</x:v>
      </x:c>
      <x:c r="H113" s="185">
        <x:f t="shared" si="3"/>
        <x:v>0</x:v>
      </x:c>
      <x:c r="I113" s="186">
        <x:f>IF(AND(B113="",C113="",D113="",E113="",F113=""),"",IF(OR(B113="",C113="",E113=""),"БЛОК: нужны дата, тип операции и сумма",IF(N(E113)&lt;=0,"БЛОК: сумма должна быть больше нуля",IF(AND(H113&lt;&gt;0,F113=""),"БЛОК: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отделить",IF(AND(G113&lt;&gt;0,F113=""),"БЛОК: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нельзя",IF(AND(F113&lt;&gt;"",COUNTIF('Долг по актам'!$B$5:$B$34,F113)=0),"БЛОК: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договору")&gt;0)*($C$5:$C$504&lt;&gt;C113)*($E$5:$E$504=E113)*(($D$5:$D$504=D113)*(D113&lt;&gt;"")+($B$5:$B$504=B113)*(B113&lt;&gt;"")&gt;0))&gt;0,"БЛОК: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операцию",IF(AND(C113="Оплата",K113&lt;&gt;"Отдельный платёж — не сам аванс (сверено с выпиской банка)",OR(COUNTIFS($C$5:$C$504,"Зачёт аванса по договору",$E$5:$E$504,E113)&gt;0,ROUND(E113-$M$6,2)=0)),"БЛОК: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3" s="185" t="str">
        <x:f>IF(AND(B113="",C113="",E113=""),"",SUM($G$5:G113))</x:f>
        <x:v/>
      </x:c>
      <x:c r="K113" s="178"/>
      <x:c r="L113" s="46"/>
      <x:c r="M113" s="46"/>
    </x:row>
    <x:row r="114" ht="29" customHeight="1">
      <x:c r="A114" s="199">
        <x:v>110</x:v>
      </x:c>
      <x:c r="B114" s="162"/>
      <x:c r="C114" s="163"/>
      <x:c r="D114" s="163"/>
      <x:c r="E114" s="164"/>
      <x:c r="F114" s="163"/>
      <x:c r="G114" s="185">
        <x:f t="shared" si="2"/>
        <x:v>0</x:v>
      </x:c>
      <x:c r="H114" s="185">
        <x:f t="shared" si="3"/>
        <x:v>0</x:v>
      </x:c>
      <x:c r="I114" s="186">
        <x:f>IF(AND(B114="",C114="",D114="",E114="",F114=""),"",IF(OR(B114="",C114="",E114=""),"БЛОК: нужны дата, тип операции и сумма",IF(N(E114)&lt;=0,"БЛОК: сумма должна быть больше нуля",IF(AND(H114&lt;&gt;0,F114=""),"БЛОК: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отделить",IF(AND(G114&lt;&gt;0,F114=""),"БЛОК: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нельзя",IF(AND(F114&lt;&gt;"",COUNTIF('Долг по актам'!$B$5:$B$34,F114)=0),"БЛОК: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договору")&gt;0)*($C$5:$C$504&lt;&gt;C114)*($E$5:$E$504=E114)*(($D$5:$D$504=D114)*(D114&lt;&gt;"")+($B$5:$B$504=B114)*(B114&lt;&gt;"")&gt;0))&gt;0,"БЛОК: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операцию",IF(AND(C114="Оплата",K114&lt;&gt;"Отдельный платёж — не сам аванс (сверено с выпиской банка)",OR(COUNTIFS($C$5:$C$504,"Зачёт аванса по договору",$E$5:$E$504,E114)&gt;0,ROUND(E114-$M$6,2)=0)),"БЛОК: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4" s="185" t="str">
        <x:f>IF(AND(B114="",C114="",E114=""),"",SUM($G$5:G114))</x:f>
        <x:v/>
      </x:c>
      <x:c r="K114" s="178"/>
      <x:c r="L114" s="46"/>
      <x:c r="M114" s="46"/>
    </x:row>
    <x:row r="115" ht="29" customHeight="1">
      <x:c r="A115" s="199">
        <x:v>111</x:v>
      </x:c>
      <x:c r="B115" s="162"/>
      <x:c r="C115" s="163"/>
      <x:c r="D115" s="163"/>
      <x:c r="E115" s="164"/>
      <x:c r="F115" s="163"/>
      <x:c r="G115" s="185">
        <x:f t="shared" si="2"/>
        <x:v>0</x:v>
      </x:c>
      <x:c r="H115" s="185">
        <x:f t="shared" si="3"/>
        <x:v>0</x:v>
      </x:c>
      <x:c r="I115" s="186">
        <x:f>IF(AND(B115="",C115="",D115="",E115="",F115=""),"",IF(OR(B115="",C115="",E115=""),"БЛОК: нужны дата, тип операции и сумма",IF(N(E115)&lt;=0,"БЛОК: сумма должна быть больше нуля",IF(AND(H115&lt;&gt;0,F115=""),"БЛОК: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отделить",IF(AND(G115&lt;&gt;0,F115=""),"БЛОК: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нельзя",IF(AND(F115&lt;&gt;"",COUNTIF('Долг по актам'!$B$5:$B$34,F115)=0),"БЛОК: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договору")&gt;0)*($C$5:$C$504&lt;&gt;C115)*($E$5:$E$504=E115)*(($D$5:$D$504=D115)*(D115&lt;&gt;"")+($B$5:$B$504=B115)*(B115&lt;&gt;"")&gt;0))&gt;0,"БЛОК: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операцию",IF(AND(C115="Оплата",K115&lt;&gt;"Отдельный платёж — не сам аванс (сверено с выпиской банка)",OR(COUNTIFS($C$5:$C$504,"Зачёт аванса по договору",$E$5:$E$504,E115)&gt;0,ROUND(E115-$M$6,2)=0)),"БЛОК: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5" s="185" t="str">
        <x:f>IF(AND(B115="",C115="",E115=""),"",SUM($G$5:G115))</x:f>
        <x:v/>
      </x:c>
      <x:c r="K115" s="178"/>
      <x:c r="L115" s="46"/>
      <x:c r="M115" s="46"/>
    </x:row>
    <x:row r="116" ht="29" customHeight="1">
      <x:c r="A116" s="199">
        <x:v>112</x:v>
      </x:c>
      <x:c r="B116" s="162"/>
      <x:c r="C116" s="163"/>
      <x:c r="D116" s="163"/>
      <x:c r="E116" s="164"/>
      <x:c r="F116" s="163"/>
      <x:c r="G116" s="185">
        <x:f t="shared" si="2"/>
        <x:v>0</x:v>
      </x:c>
      <x:c r="H116" s="185">
        <x:f t="shared" si="3"/>
        <x:v>0</x:v>
      </x:c>
      <x:c r="I116" s="186">
        <x:f>IF(AND(B116="",C116="",D116="",E116="",F116=""),"",IF(OR(B116="",C116="",E116=""),"БЛОК: нужны дата, тип операции и сумма",IF(N(E116)&lt;=0,"БЛОК: сумма должна быть больше нуля",IF(AND(H116&lt;&gt;0,F116=""),"БЛОК: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отделить",IF(AND(G116&lt;&gt;0,F116=""),"БЛОК: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нельзя",IF(AND(F116&lt;&gt;"",COUNTIF('Долг по актам'!$B$5:$B$34,F116)=0),"БЛОК: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договору")&gt;0)*($C$5:$C$504&lt;&gt;C116)*($E$5:$E$504=E116)*(($D$5:$D$504=D116)*(D116&lt;&gt;"")+($B$5:$B$504=B116)*(B116&lt;&gt;"")&gt;0))&gt;0,"БЛОК: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операцию",IF(AND(C116="Оплата",K116&lt;&gt;"Отдельный платёж — не сам аванс (сверено с выпиской банка)",OR(COUNTIFS($C$5:$C$504,"Зачёт аванса по договору",$E$5:$E$504,E116)&gt;0,ROUND(E116-$M$6,2)=0)),"БЛОК: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6" s="185" t="str">
        <x:f>IF(AND(B116="",C116="",E116=""),"",SUM($G$5:G116))</x:f>
        <x:v/>
      </x:c>
      <x:c r="K116" s="178"/>
      <x:c r="L116" s="46"/>
      <x:c r="M116" s="46"/>
    </x:row>
    <x:row r="117" ht="29" customHeight="1">
      <x:c r="A117" s="199">
        <x:v>113</x:v>
      </x:c>
      <x:c r="B117" s="162"/>
      <x:c r="C117" s="163"/>
      <x:c r="D117" s="163"/>
      <x:c r="E117" s="164"/>
      <x:c r="F117" s="163"/>
      <x:c r="G117" s="185">
        <x:f t="shared" si="2"/>
        <x:v>0</x:v>
      </x:c>
      <x:c r="H117" s="185">
        <x:f t="shared" si="3"/>
        <x:v>0</x:v>
      </x:c>
      <x:c r="I117" s="186">
        <x:f>IF(AND(B117="",C117="",D117="",E117="",F117=""),"",IF(OR(B117="",C117="",E117=""),"БЛОК: нужны дата, тип операции и сумма",IF(N(E117)&lt;=0,"БЛОК: сумма должна быть больше нуля",IF(AND(H117&lt;&gt;0,F117=""),"БЛОК: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отделить",IF(AND(G117&lt;&gt;0,F117=""),"БЛОК: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нельзя",IF(AND(F117&lt;&gt;"",COUNTIF('Долг по актам'!$B$5:$B$34,F117)=0),"БЛОК: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договору")&gt;0)*($C$5:$C$504&lt;&gt;C117)*($E$5:$E$504=E117)*(($D$5:$D$504=D117)*(D117&lt;&gt;"")+($B$5:$B$504=B117)*(B117&lt;&gt;"")&gt;0))&gt;0,"БЛОК: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операцию",IF(AND(C117="Оплата",K117&lt;&gt;"Отдельный платёж — не сам аванс (сверено с выпиской банка)",OR(COUNTIFS($C$5:$C$504,"Зачёт аванса по договору",$E$5:$E$504,E117)&gt;0,ROUND(E117-$M$6,2)=0)),"БЛОК: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7" s="185" t="str">
        <x:f>IF(AND(B117="",C117="",E117=""),"",SUM($G$5:G117))</x:f>
        <x:v/>
      </x:c>
      <x:c r="K117" s="178"/>
      <x:c r="L117" s="46"/>
      <x:c r="M117" s="46"/>
    </x:row>
    <x:row r="118" ht="29" customHeight="1">
      <x:c r="A118" s="199">
        <x:v>114</x:v>
      </x:c>
      <x:c r="B118" s="162"/>
      <x:c r="C118" s="163"/>
      <x:c r="D118" s="163"/>
      <x:c r="E118" s="164"/>
      <x:c r="F118" s="163"/>
      <x:c r="G118" s="185">
        <x:f t="shared" si="2"/>
        <x:v>0</x:v>
      </x:c>
      <x:c r="H118" s="185">
        <x:f t="shared" si="3"/>
        <x:v>0</x:v>
      </x:c>
      <x:c r="I118" s="186">
        <x:f>IF(AND(B118="",C118="",D118="",E118="",F118=""),"",IF(OR(B118="",C118="",E118=""),"БЛОК: нужны дата, тип операции и сумма",IF(N(E118)&lt;=0,"БЛОК: сумма должна быть больше нуля",IF(AND(H118&lt;&gt;0,F118=""),"БЛОК: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отделить",IF(AND(G118&lt;&gt;0,F118=""),"БЛОК: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нельзя",IF(AND(F118&lt;&gt;"",COUNTIF('Долг по актам'!$B$5:$B$34,F118)=0),"БЛОК: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договору")&gt;0)*($C$5:$C$504&lt;&gt;C118)*($E$5:$E$504=E118)*(($D$5:$D$504=D118)*(D118&lt;&gt;"")+($B$5:$B$504=B118)*(B118&lt;&gt;"")&gt;0))&gt;0,"БЛОК: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операцию",IF(AND(C118="Оплата",K118&lt;&gt;"Отдельный платёж — не сам аванс (сверено с выпиской банка)",OR(COUNTIFS($C$5:$C$504,"Зачёт аванса по договору",$E$5:$E$504,E118)&gt;0,ROUND(E118-$M$6,2)=0)),"БЛОК: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8" s="185" t="str">
        <x:f>IF(AND(B118="",C118="",E118=""),"",SUM($G$5:G118))</x:f>
        <x:v/>
      </x:c>
      <x:c r="K118" s="178"/>
      <x:c r="L118" s="46"/>
      <x:c r="M118" s="46"/>
    </x:row>
    <x:row r="119" ht="29" customHeight="1">
      <x:c r="A119" s="199">
        <x:v>115</x:v>
      </x:c>
      <x:c r="B119" s="162"/>
      <x:c r="C119" s="163"/>
      <x:c r="D119" s="163"/>
      <x:c r="E119" s="164"/>
      <x:c r="F119" s="163"/>
      <x:c r="G119" s="185">
        <x:f t="shared" si="2"/>
        <x:v>0</x:v>
      </x:c>
      <x:c r="H119" s="185">
        <x:f t="shared" si="3"/>
        <x:v>0</x:v>
      </x:c>
      <x:c r="I119" s="186">
        <x:f>IF(AND(B119="",C119="",D119="",E119="",F119=""),"",IF(OR(B119="",C119="",E119=""),"БЛОК: нужны дата, тип операции и сумма",IF(N(E119)&lt;=0,"БЛОК: сумма должна быть больше нуля",IF(AND(H119&lt;&gt;0,F119=""),"БЛОК: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отделить",IF(AND(G119&lt;&gt;0,F119=""),"БЛОК: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нельзя",IF(AND(F119&lt;&gt;"",COUNTIF('Долг по актам'!$B$5:$B$34,F119)=0),"БЛОК: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договору")&gt;0)*($C$5:$C$504&lt;&gt;C119)*($E$5:$E$504=E119)*(($D$5:$D$504=D119)*(D119&lt;&gt;"")+($B$5:$B$504=B119)*(B119&lt;&gt;"")&gt;0))&gt;0,"БЛОК: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операцию",IF(AND(C119="Оплата",K119&lt;&gt;"Отдельный платёж — не сам аванс (сверено с выпиской банка)",OR(COUNTIFS($C$5:$C$504,"Зачёт аванса по договору",$E$5:$E$504,E119)&gt;0,ROUND(E119-$M$6,2)=0)),"БЛОК: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19" s="185" t="str">
        <x:f>IF(AND(B119="",C119="",E119=""),"",SUM($G$5:G119))</x:f>
        <x:v/>
      </x:c>
      <x:c r="K119" s="178"/>
      <x:c r="L119" s="46"/>
      <x:c r="M119" s="46"/>
    </x:row>
    <x:row r="120" ht="29" customHeight="1">
      <x:c r="A120" s="199">
        <x:v>116</x:v>
      </x:c>
      <x:c r="B120" s="162"/>
      <x:c r="C120" s="163"/>
      <x:c r="D120" s="163"/>
      <x:c r="E120" s="164"/>
      <x:c r="F120" s="163"/>
      <x:c r="G120" s="185">
        <x:f t="shared" si="2"/>
        <x:v>0</x:v>
      </x:c>
      <x:c r="H120" s="185">
        <x:f t="shared" si="3"/>
        <x:v>0</x:v>
      </x:c>
      <x:c r="I120" s="186">
        <x:f>IF(AND(B120="",C120="",D120="",E120="",F120=""),"",IF(OR(B120="",C120="",E120=""),"БЛОК: нужны дата, тип операции и сумма",IF(N(E120)&lt;=0,"БЛОК: сумма должна быть больше нуля",IF(AND(H120&lt;&gt;0,F120=""),"БЛОК: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отделить",IF(AND(G120&lt;&gt;0,F120=""),"БЛОК: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нельзя",IF(AND(F120&lt;&gt;"",COUNTIF('Долг по актам'!$B$5:$B$34,F120)=0),"БЛОК: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договору")&gt;0)*($C$5:$C$504&lt;&gt;C120)*($E$5:$E$504=E120)*(($D$5:$D$504=D120)*(D120&lt;&gt;"")+($B$5:$B$504=B120)*(B120&lt;&gt;"")&gt;0))&gt;0,"БЛОК: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операцию",IF(AND(C120="Оплата",K120&lt;&gt;"Отдельный платёж — не сам аванс (сверено с выпиской банка)",OR(COUNTIFS($C$5:$C$504,"Зачёт аванса по договору",$E$5:$E$504,E120)&gt;0,ROUND(E120-$M$6,2)=0)),"БЛОК: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0" s="185" t="str">
        <x:f>IF(AND(B120="",C120="",E120=""),"",SUM($G$5:G120))</x:f>
        <x:v/>
      </x:c>
      <x:c r="K120" s="178"/>
      <x:c r="L120" s="46"/>
      <x:c r="M120" s="46"/>
    </x:row>
    <x:row r="121" ht="29" customHeight="1">
      <x:c r="A121" s="199">
        <x:v>117</x:v>
      </x:c>
      <x:c r="B121" s="162"/>
      <x:c r="C121" s="163"/>
      <x:c r="D121" s="163"/>
      <x:c r="E121" s="164"/>
      <x:c r="F121" s="163"/>
      <x:c r="G121" s="185">
        <x:f t="shared" si="2"/>
        <x:v>0</x:v>
      </x:c>
      <x:c r="H121" s="185">
        <x:f t="shared" si="3"/>
        <x:v>0</x:v>
      </x:c>
      <x:c r="I121" s="186">
        <x:f>IF(AND(B121="",C121="",D121="",E121="",F121=""),"",IF(OR(B121="",C121="",E121=""),"БЛОК: нужны дата, тип операции и сумма",IF(N(E121)&lt;=0,"БЛОК: сумма должна быть больше нуля",IF(AND(H121&lt;&gt;0,F121=""),"БЛОК: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отделить",IF(AND(G121&lt;&gt;0,F121=""),"БЛОК: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нельзя",IF(AND(F121&lt;&gt;"",COUNTIF('Долг по актам'!$B$5:$B$34,F121)=0),"БЛОК: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договору")&gt;0)*($C$5:$C$504&lt;&gt;C121)*($E$5:$E$504=E121)*(($D$5:$D$504=D121)*(D121&lt;&gt;"")+($B$5:$B$504=B121)*(B121&lt;&gt;"")&gt;0))&gt;0,"БЛОК: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операцию",IF(AND(C121="Оплата",K121&lt;&gt;"Отдельный платёж — не сам аванс (сверено с выпиской банка)",OR(COUNTIFS($C$5:$C$504,"Зачёт аванса по договору",$E$5:$E$504,E121)&gt;0,ROUND(E121-$M$6,2)=0)),"БЛОК: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1" s="185" t="str">
        <x:f>IF(AND(B121="",C121="",E121=""),"",SUM($G$5:G121))</x:f>
        <x:v/>
      </x:c>
      <x:c r="K121" s="178"/>
      <x:c r="L121" s="46"/>
      <x:c r="M121" s="46"/>
    </x:row>
    <x:row r="122" ht="29" customHeight="1">
      <x:c r="A122" s="199">
        <x:v>118</x:v>
      </x:c>
      <x:c r="B122" s="162"/>
      <x:c r="C122" s="163"/>
      <x:c r="D122" s="163"/>
      <x:c r="E122" s="164"/>
      <x:c r="F122" s="163"/>
      <x:c r="G122" s="185">
        <x:f t="shared" si="2"/>
        <x:v>0</x:v>
      </x:c>
      <x:c r="H122" s="185">
        <x:f t="shared" si="3"/>
        <x:v>0</x:v>
      </x:c>
      <x:c r="I122" s="186">
        <x:f>IF(AND(B122="",C122="",D122="",E122="",F122=""),"",IF(OR(B122="",C122="",E122=""),"БЛОК: нужны дата, тип операции и сумма",IF(N(E122)&lt;=0,"БЛОК: сумма должна быть больше нуля",IF(AND(H122&lt;&gt;0,F122=""),"БЛОК: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отделить",IF(AND(G122&lt;&gt;0,F122=""),"БЛОК: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нельзя",IF(AND(F122&lt;&gt;"",COUNTIF('Долг по актам'!$B$5:$B$34,F122)=0),"БЛОК: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договору")&gt;0)*($C$5:$C$504&lt;&gt;C122)*($E$5:$E$504=E122)*(($D$5:$D$504=D122)*(D122&lt;&gt;"")+($B$5:$B$504=B122)*(B122&lt;&gt;"")&gt;0))&gt;0,"БЛОК: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операцию",IF(AND(C122="Оплата",K122&lt;&gt;"Отдельный платёж — не сам аванс (сверено с выпиской банка)",OR(COUNTIFS($C$5:$C$504,"Зачёт аванса по договору",$E$5:$E$504,E122)&gt;0,ROUND(E122-$M$6,2)=0)),"БЛОК: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2" s="185" t="str">
        <x:f>IF(AND(B122="",C122="",E122=""),"",SUM($G$5:G122))</x:f>
        <x:v/>
      </x:c>
      <x:c r="K122" s="178"/>
      <x:c r="L122" s="46"/>
      <x:c r="M122" s="46"/>
    </x:row>
    <x:row r="123" ht="29" customHeight="1">
      <x:c r="A123" s="199">
        <x:v>119</x:v>
      </x:c>
      <x:c r="B123" s="162"/>
      <x:c r="C123" s="163"/>
      <x:c r="D123" s="163"/>
      <x:c r="E123" s="164"/>
      <x:c r="F123" s="163"/>
      <x:c r="G123" s="185">
        <x:f t="shared" si="2"/>
        <x:v>0</x:v>
      </x:c>
      <x:c r="H123" s="185">
        <x:f t="shared" si="3"/>
        <x:v>0</x:v>
      </x:c>
      <x:c r="I123" s="186">
        <x:f>IF(AND(B123="",C123="",D123="",E123="",F123=""),"",IF(OR(B123="",C123="",E123=""),"БЛОК: нужны дата, тип операции и сумма",IF(N(E123)&lt;=0,"БЛОК: сумма должна быть больше нуля",IF(AND(H123&lt;&gt;0,F123=""),"БЛОК: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отделить",IF(AND(G123&lt;&gt;0,F123=""),"БЛОК: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нельзя",IF(AND(F123&lt;&gt;"",COUNTIF('Долг по актам'!$B$5:$B$34,F123)=0),"БЛОК: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договору")&gt;0)*($C$5:$C$504&lt;&gt;C123)*($E$5:$E$504=E123)*(($D$5:$D$504=D123)*(D123&lt;&gt;"")+($B$5:$B$504=B123)*(B123&lt;&gt;"")&gt;0))&gt;0,"БЛОК: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операцию",IF(AND(C123="Оплата",K123&lt;&gt;"Отдельный платёж — не сам аванс (сверено с выпиской банка)",OR(COUNTIFS($C$5:$C$504,"Зачёт аванса по договору",$E$5:$E$504,E123)&gt;0,ROUND(E123-$M$6,2)=0)),"БЛОК: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3" s="185" t="str">
        <x:f>IF(AND(B123="",C123="",E123=""),"",SUM($G$5:G123))</x:f>
        <x:v/>
      </x:c>
      <x:c r="K123" s="178"/>
      <x:c r="L123" s="46"/>
      <x:c r="M123" s="46"/>
    </x:row>
    <x:row r="124" ht="29" customHeight="1">
      <x:c r="A124" s="199">
        <x:v>120</x:v>
      </x:c>
      <x:c r="B124" s="162"/>
      <x:c r="C124" s="163"/>
      <x:c r="D124" s="163"/>
      <x:c r="E124" s="164"/>
      <x:c r="F124" s="163"/>
      <x:c r="G124" s="185">
        <x:f t="shared" si="2"/>
        <x:v>0</x:v>
      </x:c>
      <x:c r="H124" s="185">
        <x:f t="shared" si="3"/>
        <x:v>0</x:v>
      </x:c>
      <x:c r="I124" s="186">
        <x:f>IF(AND(B124="",C124="",D124="",E124="",F124=""),"",IF(OR(B124="",C124="",E124=""),"БЛОК: нужны дата, тип операции и сумма",IF(N(E124)&lt;=0,"БЛОК: сумма должна быть больше нуля",IF(AND(H124&lt;&gt;0,F124=""),"БЛОК: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отделить",IF(AND(G124&lt;&gt;0,F124=""),"БЛОК: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нельзя",IF(AND(F124&lt;&gt;"",COUNTIF('Долг по актам'!$B$5:$B$34,F124)=0),"БЛОК: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договору")&gt;0)*($C$5:$C$504&lt;&gt;C124)*($E$5:$E$504=E124)*(($D$5:$D$504=D124)*(D124&lt;&gt;"")+($B$5:$B$504=B124)*(B124&lt;&gt;"")&gt;0))&gt;0,"БЛОК: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операцию",IF(AND(C124="Оплата",K124&lt;&gt;"Отдельный платёж — не сам аванс (сверено с выпиской банка)",OR(COUNTIFS($C$5:$C$504,"Зачёт аванса по договору",$E$5:$E$504,E124)&gt;0,ROUND(E124-$M$6,2)=0)),"БЛОК: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4" s="185" t="str">
        <x:f>IF(AND(B124="",C124="",E124=""),"",SUM($G$5:G124))</x:f>
        <x:v/>
      </x:c>
      <x:c r="K124" s="178"/>
      <x:c r="L124" s="46"/>
      <x:c r="M124" s="46"/>
    </x:row>
    <x:row r="125" ht="29" customHeight="1">
      <x:c r="A125" s="199">
        <x:v>121</x:v>
      </x:c>
      <x:c r="B125" s="162"/>
      <x:c r="C125" s="163"/>
      <x:c r="D125" s="163"/>
      <x:c r="E125" s="164"/>
      <x:c r="F125" s="163"/>
      <x:c r="G125" s="185">
        <x:f t="shared" si="2"/>
        <x:v>0</x:v>
      </x:c>
      <x:c r="H125" s="185">
        <x:f t="shared" si="3"/>
        <x:v>0</x:v>
      </x:c>
      <x:c r="I125" s="186">
        <x:f>IF(AND(B125="",C125="",D125="",E125="",F125=""),"",IF(OR(B125="",C125="",E125=""),"БЛОК: нужны дата, тип операции и сумма",IF(N(E125)&lt;=0,"БЛОК: сумма должна быть больше нуля",IF(AND(H125&lt;&gt;0,F125=""),"БЛОК: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отделить",IF(AND(G125&lt;&gt;0,F125=""),"БЛОК: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нельзя",IF(AND(F125&lt;&gt;"",COUNTIF('Долг по актам'!$B$5:$B$34,F125)=0),"БЛОК: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договору")&gt;0)*($C$5:$C$504&lt;&gt;C125)*($E$5:$E$504=E125)*(($D$5:$D$504=D125)*(D125&lt;&gt;"")+($B$5:$B$504=B125)*(B125&lt;&gt;"")&gt;0))&gt;0,"БЛОК: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операцию",IF(AND(C125="Оплата",K125&lt;&gt;"Отдельный платёж — не сам аванс (сверено с выпиской банка)",OR(COUNTIFS($C$5:$C$504,"Зачёт аванса по договору",$E$5:$E$504,E125)&gt;0,ROUND(E125-$M$6,2)=0)),"БЛОК: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5" s="185" t="str">
        <x:f>IF(AND(B125="",C125="",E125=""),"",SUM($G$5:G125))</x:f>
        <x:v/>
      </x:c>
      <x:c r="K125" s="178"/>
      <x:c r="L125" s="46"/>
      <x:c r="M125" s="46"/>
    </x:row>
    <x:row r="126" ht="29" customHeight="1">
      <x:c r="A126" s="199">
        <x:v>122</x:v>
      </x:c>
      <x:c r="B126" s="162"/>
      <x:c r="C126" s="163"/>
      <x:c r="D126" s="163"/>
      <x:c r="E126" s="164"/>
      <x:c r="F126" s="163"/>
      <x:c r="G126" s="185">
        <x:f t="shared" si="2"/>
        <x:v>0</x:v>
      </x:c>
      <x:c r="H126" s="185">
        <x:f t="shared" si="3"/>
        <x:v>0</x:v>
      </x:c>
      <x:c r="I126" s="186">
        <x:f>IF(AND(B126="",C126="",D126="",E126="",F126=""),"",IF(OR(B126="",C126="",E126=""),"БЛОК: нужны дата, тип операции и сумма",IF(N(E126)&lt;=0,"БЛОК: сумма должна быть больше нуля",IF(AND(H126&lt;&gt;0,F126=""),"БЛОК: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отделить",IF(AND(G126&lt;&gt;0,F126=""),"БЛОК: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нельзя",IF(AND(F126&lt;&gt;"",COUNTIF('Долг по актам'!$B$5:$B$34,F126)=0),"БЛОК: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договору")&gt;0)*($C$5:$C$504&lt;&gt;C126)*($E$5:$E$504=E126)*(($D$5:$D$504=D126)*(D126&lt;&gt;"")+($B$5:$B$504=B126)*(B126&lt;&gt;"")&gt;0))&gt;0,"БЛОК: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операцию",IF(AND(C126="Оплата",K126&lt;&gt;"Отдельный платёж — не сам аванс (сверено с выпиской банка)",OR(COUNTIFS($C$5:$C$504,"Зачёт аванса по договору",$E$5:$E$504,E126)&gt;0,ROUND(E126-$M$6,2)=0)),"БЛОК: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6" s="185" t="str">
        <x:f>IF(AND(B126="",C126="",E126=""),"",SUM($G$5:G126))</x:f>
        <x:v/>
      </x:c>
      <x:c r="K126" s="178"/>
      <x:c r="L126" s="46"/>
      <x:c r="M126" s="46"/>
    </x:row>
    <x:row r="127" ht="29" customHeight="1">
      <x:c r="A127" s="199">
        <x:v>123</x:v>
      </x:c>
      <x:c r="B127" s="162"/>
      <x:c r="C127" s="163"/>
      <x:c r="D127" s="163"/>
      <x:c r="E127" s="164"/>
      <x:c r="F127" s="163"/>
      <x:c r="G127" s="185">
        <x:f t="shared" si="2"/>
        <x:v>0</x:v>
      </x:c>
      <x:c r="H127" s="185">
        <x:f t="shared" si="3"/>
        <x:v>0</x:v>
      </x:c>
      <x:c r="I127" s="186">
        <x:f>IF(AND(B127="",C127="",D127="",E127="",F127=""),"",IF(OR(B127="",C127="",E127=""),"БЛОК: нужны дата, тип операции и сумма",IF(N(E127)&lt;=0,"БЛОК: сумма должна быть больше нуля",IF(AND(H127&lt;&gt;0,F127=""),"БЛОК: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отделить",IF(AND(G127&lt;&gt;0,F127=""),"БЛОК: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нельзя",IF(AND(F127&lt;&gt;"",COUNTIF('Долг по актам'!$B$5:$B$34,F127)=0),"БЛОК: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договору")&gt;0)*($C$5:$C$504&lt;&gt;C127)*($E$5:$E$504=E127)*(($D$5:$D$504=D127)*(D127&lt;&gt;"")+($B$5:$B$504=B127)*(B127&lt;&gt;"")&gt;0))&gt;0,"БЛОК: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операцию",IF(AND(C127="Оплата",K127&lt;&gt;"Отдельный платёж — не сам аванс (сверено с выпиской банка)",OR(COUNTIFS($C$5:$C$504,"Зачёт аванса по договору",$E$5:$E$504,E127)&gt;0,ROUND(E127-$M$6,2)=0)),"БЛОК: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7" s="185" t="str">
        <x:f>IF(AND(B127="",C127="",E127=""),"",SUM($G$5:G127))</x:f>
        <x:v/>
      </x:c>
      <x:c r="K127" s="178"/>
      <x:c r="L127" s="46"/>
      <x:c r="M127" s="46"/>
    </x:row>
    <x:row r="128" ht="29" customHeight="1">
      <x:c r="A128" s="199">
        <x:v>124</x:v>
      </x:c>
      <x:c r="B128" s="162"/>
      <x:c r="C128" s="163"/>
      <x:c r="D128" s="163"/>
      <x:c r="E128" s="164"/>
      <x:c r="F128" s="163"/>
      <x:c r="G128" s="185">
        <x:f t="shared" si="2"/>
        <x:v>0</x:v>
      </x:c>
      <x:c r="H128" s="185">
        <x:f t="shared" si="3"/>
        <x:v>0</x:v>
      </x:c>
      <x:c r="I128" s="186">
        <x:f>IF(AND(B128="",C128="",D128="",E128="",F128=""),"",IF(OR(B128="",C128="",E128=""),"БЛОК: нужны дата, тип операции и сумма",IF(N(E128)&lt;=0,"БЛОК: сумма должна быть больше нуля",IF(AND(H128&lt;&gt;0,F128=""),"БЛОК: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отделить",IF(AND(G128&lt;&gt;0,F128=""),"БЛОК: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нельзя",IF(AND(F128&lt;&gt;"",COUNTIF('Долг по актам'!$B$5:$B$34,F128)=0),"БЛОК: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договору")&gt;0)*($C$5:$C$504&lt;&gt;C128)*($E$5:$E$504=E128)*(($D$5:$D$504=D128)*(D128&lt;&gt;"")+($B$5:$B$504=B128)*(B128&lt;&gt;"")&gt;0))&gt;0,"БЛОК: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операцию",IF(AND(C128="Оплата",K128&lt;&gt;"Отдельный платёж — не сам аванс (сверено с выпиской банка)",OR(COUNTIFS($C$5:$C$504,"Зачёт аванса по договору",$E$5:$E$504,E128)&gt;0,ROUND(E128-$M$6,2)=0)),"БЛОК: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8" s="185" t="str">
        <x:f>IF(AND(B128="",C128="",E128=""),"",SUM($G$5:G128))</x:f>
        <x:v/>
      </x:c>
      <x:c r="K128" s="178"/>
      <x:c r="L128" s="46"/>
      <x:c r="M128" s="46"/>
    </x:row>
    <x:row r="129" ht="29" customHeight="1">
      <x:c r="A129" s="199">
        <x:v>125</x:v>
      </x:c>
      <x:c r="B129" s="162"/>
      <x:c r="C129" s="163"/>
      <x:c r="D129" s="163"/>
      <x:c r="E129" s="164"/>
      <x:c r="F129" s="163"/>
      <x:c r="G129" s="185">
        <x:f t="shared" si="2"/>
        <x:v>0</x:v>
      </x:c>
      <x:c r="H129" s="185">
        <x:f t="shared" si="3"/>
        <x:v>0</x:v>
      </x:c>
      <x:c r="I129" s="186">
        <x:f>IF(AND(B129="",C129="",D129="",E129="",F129=""),"",IF(OR(B129="",C129="",E129=""),"БЛОК: нужны дата, тип операции и сумма",IF(N(E129)&lt;=0,"БЛОК: сумма должна быть больше нуля",IF(AND(H129&lt;&gt;0,F129=""),"БЛОК: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отделить",IF(AND(G129&lt;&gt;0,F129=""),"БЛОК: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нельзя",IF(AND(F129&lt;&gt;"",COUNTIF('Долг по актам'!$B$5:$B$34,F129)=0),"БЛОК: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договору")&gt;0)*($C$5:$C$504&lt;&gt;C129)*($E$5:$E$504=E129)*(($D$5:$D$504=D129)*(D129&lt;&gt;"")+($B$5:$B$504=B129)*(B129&lt;&gt;"")&gt;0))&gt;0,"БЛОК: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операцию",IF(AND(C129="Оплата",K129&lt;&gt;"Отдельный платёж — не сам аванс (сверено с выпиской банка)",OR(COUNTIFS($C$5:$C$504,"Зачёт аванса по договору",$E$5:$E$504,E129)&gt;0,ROUND(E129-$M$6,2)=0)),"БЛОК: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29" s="185" t="str">
        <x:f>IF(AND(B129="",C129="",E129=""),"",SUM($G$5:G129))</x:f>
        <x:v/>
      </x:c>
      <x:c r="K129" s="178"/>
      <x:c r="L129" s="46"/>
      <x:c r="M129" s="46"/>
    </x:row>
    <x:row r="130" ht="29" customHeight="1">
      <x:c r="A130" s="199">
        <x:v>126</x:v>
      </x:c>
      <x:c r="B130" s="162"/>
      <x:c r="C130" s="163"/>
      <x:c r="D130" s="163"/>
      <x:c r="E130" s="164"/>
      <x:c r="F130" s="163"/>
      <x:c r="G130" s="185">
        <x:f t="shared" si="2"/>
        <x:v>0</x:v>
      </x:c>
      <x:c r="H130" s="185">
        <x:f t="shared" si="3"/>
        <x:v>0</x:v>
      </x:c>
      <x:c r="I130" s="186">
        <x:f>IF(AND(B130="",C130="",D130="",E130="",F130=""),"",IF(OR(B130="",C130="",E130=""),"БЛОК: нужны дата, тип операции и сумма",IF(N(E130)&lt;=0,"БЛОК: сумма должна быть больше нуля",IF(AND(H130&lt;&gt;0,F130=""),"БЛОК: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отделить",IF(AND(G130&lt;&gt;0,F130=""),"БЛОК: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нельзя",IF(AND(F130&lt;&gt;"",COUNTIF('Долг по актам'!$B$5:$B$34,F130)=0),"БЛОК: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договору")&gt;0)*($C$5:$C$504&lt;&gt;C130)*($E$5:$E$504=E130)*(($D$5:$D$504=D130)*(D130&lt;&gt;"")+($B$5:$B$504=B130)*(B130&lt;&gt;"")&gt;0))&gt;0,"БЛОК: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операцию",IF(AND(C130="Оплата",K130&lt;&gt;"Отдельный платёж — не сам аванс (сверено с выпиской банка)",OR(COUNTIFS($C$5:$C$504,"Зачёт аванса по договору",$E$5:$E$504,E130)&gt;0,ROUND(E130-$M$6,2)=0)),"БЛОК: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0" s="185" t="str">
        <x:f>IF(AND(B130="",C130="",E130=""),"",SUM($G$5:G130))</x:f>
        <x:v/>
      </x:c>
      <x:c r="K130" s="178"/>
      <x:c r="L130" s="46"/>
      <x:c r="M130" s="46"/>
    </x:row>
    <x:row r="131" ht="29" customHeight="1">
      <x:c r="A131" s="199">
        <x:v>127</x:v>
      </x:c>
      <x:c r="B131" s="162"/>
      <x:c r="C131" s="163"/>
      <x:c r="D131" s="163"/>
      <x:c r="E131" s="164"/>
      <x:c r="F131" s="163"/>
      <x:c r="G131" s="185">
        <x:f t="shared" si="2"/>
        <x:v>0</x:v>
      </x:c>
      <x:c r="H131" s="185">
        <x:f t="shared" si="3"/>
        <x:v>0</x:v>
      </x:c>
      <x:c r="I131" s="186">
        <x:f>IF(AND(B131="",C131="",D131="",E131="",F131=""),"",IF(OR(B131="",C131="",E131=""),"БЛОК: нужны дата, тип операции и сумма",IF(N(E131)&lt;=0,"БЛОК: сумма должна быть больше нуля",IF(AND(H131&lt;&gt;0,F131=""),"БЛОК: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отделить",IF(AND(G131&lt;&gt;0,F131=""),"БЛОК: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нельзя",IF(AND(F131&lt;&gt;"",COUNTIF('Долг по актам'!$B$5:$B$34,F131)=0),"БЛОК: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договору")&gt;0)*($C$5:$C$504&lt;&gt;C131)*($E$5:$E$504=E131)*(($D$5:$D$504=D131)*(D131&lt;&gt;"")+($B$5:$B$504=B131)*(B131&lt;&gt;"")&gt;0))&gt;0,"БЛОК: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операцию",IF(AND(C131="Оплата",K131&lt;&gt;"Отдельный платёж — не сам аванс (сверено с выпиской банка)",OR(COUNTIFS($C$5:$C$504,"Зачёт аванса по договору",$E$5:$E$504,E131)&gt;0,ROUND(E131-$M$6,2)=0)),"БЛОК: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1" s="185" t="str">
        <x:f>IF(AND(B131="",C131="",E131=""),"",SUM($G$5:G131))</x:f>
        <x:v/>
      </x:c>
      <x:c r="K131" s="178"/>
      <x:c r="L131" s="46"/>
      <x:c r="M131" s="46"/>
    </x:row>
    <x:row r="132" ht="29" customHeight="1">
      <x:c r="A132" s="199">
        <x:v>128</x:v>
      </x:c>
      <x:c r="B132" s="162"/>
      <x:c r="C132" s="163"/>
      <x:c r="D132" s="163"/>
      <x:c r="E132" s="164"/>
      <x:c r="F132" s="163"/>
      <x:c r="G132" s="185">
        <x:f t="shared" si="2"/>
        <x:v>0</x:v>
      </x:c>
      <x:c r="H132" s="185">
        <x:f t="shared" si="3"/>
        <x:v>0</x:v>
      </x:c>
      <x:c r="I132" s="186">
        <x:f>IF(AND(B132="",C132="",D132="",E132="",F132=""),"",IF(OR(B132="",C132="",E132=""),"БЛОК: нужны дата, тип операции и сумма",IF(N(E132)&lt;=0,"БЛОК: сумма должна быть больше нуля",IF(AND(H132&lt;&gt;0,F132=""),"БЛОК: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отделить",IF(AND(G132&lt;&gt;0,F132=""),"БЛОК: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нельзя",IF(AND(F132&lt;&gt;"",COUNTIF('Долг по актам'!$B$5:$B$34,F132)=0),"БЛОК: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договору")&gt;0)*($C$5:$C$504&lt;&gt;C132)*($E$5:$E$504=E132)*(($D$5:$D$504=D132)*(D132&lt;&gt;"")+($B$5:$B$504=B132)*(B132&lt;&gt;"")&gt;0))&gt;0,"БЛОК: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операцию",IF(AND(C132="Оплата",K132&lt;&gt;"Отдельный платёж — не сам аванс (сверено с выпиской банка)",OR(COUNTIFS($C$5:$C$504,"Зачёт аванса по договору",$E$5:$E$504,E132)&gt;0,ROUND(E132-$M$6,2)=0)),"БЛОК: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2" s="185" t="str">
        <x:f>IF(AND(B132="",C132="",E132=""),"",SUM($G$5:G132))</x:f>
        <x:v/>
      </x:c>
      <x:c r="K132" s="178"/>
      <x:c r="L132" s="46"/>
      <x:c r="M132" s="46"/>
    </x:row>
    <x:row r="133" ht="29" customHeight="1">
      <x:c r="A133" s="199">
        <x:v>129</x:v>
      </x:c>
      <x:c r="B133" s="162"/>
      <x:c r="C133" s="163"/>
      <x:c r="D133" s="163"/>
      <x:c r="E133" s="164"/>
      <x:c r="F133" s="163"/>
      <x:c r="G133" s="185">
        <x:f t="shared" ref="G133:G196" si="4">IF(OR(C133="",E133=""),0,IF(C133="Начисление по акту",E133,IF(OR(C133="Оплата",C133="Зачёт аванса по договору"),-E133,IF(C133="Корректировка (подписана обеими сторонами)",E133,0))))</x:f>
        <x:v>0</x:v>
      </x:c>
      <x:c r="H133" s="185">
        <x:f t="shared" ref="H133:H196" si="5">IF(OR(C133="Удержание",C133="Зачёт встречного требования",C133="Неустойка заявлена",C133="Допработы без соглашения (спорно)"),N(E133),0)</x:f>
        <x:v>0</x:v>
      </x:c>
      <x:c r="I133" s="186">
        <x:f>IF(AND(B133="",C133="",D133="",E133="",F133=""),"",IF(OR(B133="",C133="",E133=""),"БЛОК: нужны дата, тип операции и сумма",IF(N(E133)&lt;=0,"БЛОК: сумма должна быть больше нуля",IF(AND(H133&lt;&gt;0,F133=""),"БЛОК: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отделить",IF(AND(G133&lt;&gt;0,F133=""),"БЛОК: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нельзя",IF(AND(F133&lt;&gt;"",COUNTIF('Долг по актам'!$B$5:$B$34,F133)=0),"БЛОК: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договору")&gt;0)*($C$5:$C$504&lt;&gt;C133)*($E$5:$E$504=E133)*(($D$5:$D$504=D133)*(D133&lt;&gt;"")+($B$5:$B$504=B133)*(B133&lt;&gt;"")&gt;0))&gt;0,"БЛОК: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операцию",IF(AND(C133="Оплата",K133&lt;&gt;"Отдельный платёж — не сам аванс (сверено с выпиской банка)",OR(COUNTIFS($C$5:$C$504,"Зачёт аванса по договору",$E$5:$E$504,E133)&gt;0,ROUND(E133-$M$6,2)=0)),"БЛОК: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3" s="185" t="str">
        <x:f>IF(AND(B133="",C133="",E133=""),"",SUM($G$5:G133))</x:f>
        <x:v/>
      </x:c>
      <x:c r="K133" s="178"/>
      <x:c r="L133" s="46"/>
      <x:c r="M133" s="46"/>
    </x:row>
    <x:row r="134" ht="29" customHeight="1">
      <x:c r="A134" s="199">
        <x:v>130</x:v>
      </x:c>
      <x:c r="B134" s="162"/>
      <x:c r="C134" s="163"/>
      <x:c r="D134" s="163"/>
      <x:c r="E134" s="164"/>
      <x:c r="F134" s="163"/>
      <x:c r="G134" s="185">
        <x:f t="shared" si="4"/>
        <x:v>0</x:v>
      </x:c>
      <x:c r="H134" s="185">
        <x:f t="shared" si="5"/>
        <x:v>0</x:v>
      </x:c>
      <x:c r="I134" s="186">
        <x:f>IF(AND(B134="",C134="",D134="",E134="",F134=""),"",IF(OR(B134="",C134="",E134=""),"БЛОК: нужны дата, тип операции и сумма",IF(N(E134)&lt;=0,"БЛОК: сумма должна быть больше нуля",IF(AND(H134&lt;&gt;0,F134=""),"БЛОК: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отделить",IF(AND(G134&lt;&gt;0,F134=""),"БЛОК: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нельзя",IF(AND(F134&lt;&gt;"",COUNTIF('Долг по актам'!$B$5:$B$34,F134)=0),"БЛОК: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договору")&gt;0)*($C$5:$C$504&lt;&gt;C134)*($E$5:$E$504=E134)*(($D$5:$D$504=D134)*(D134&lt;&gt;"")+($B$5:$B$504=B134)*(B134&lt;&gt;"")&gt;0))&gt;0,"БЛОК: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операцию",IF(AND(C134="Оплата",K134&lt;&gt;"Отдельный платёж — не сам аванс (сверено с выпиской банка)",OR(COUNTIFS($C$5:$C$504,"Зачёт аванса по договору",$E$5:$E$504,E134)&gt;0,ROUND(E134-$M$6,2)=0)),"БЛОК: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4" s="185" t="str">
        <x:f>IF(AND(B134="",C134="",E134=""),"",SUM($G$5:G134))</x:f>
        <x:v/>
      </x:c>
      <x:c r="K134" s="178"/>
      <x:c r="L134" s="46"/>
      <x:c r="M134" s="46"/>
    </x:row>
    <x:row r="135" ht="29" customHeight="1">
      <x:c r="A135" s="199">
        <x:v>131</x:v>
      </x:c>
      <x:c r="B135" s="162"/>
      <x:c r="C135" s="163"/>
      <x:c r="D135" s="163"/>
      <x:c r="E135" s="164"/>
      <x:c r="F135" s="163"/>
      <x:c r="G135" s="185">
        <x:f t="shared" si="4"/>
        <x:v>0</x:v>
      </x:c>
      <x:c r="H135" s="185">
        <x:f t="shared" si="5"/>
        <x:v>0</x:v>
      </x:c>
      <x:c r="I135" s="186">
        <x:f>IF(AND(B135="",C135="",D135="",E135="",F135=""),"",IF(OR(B135="",C135="",E135=""),"БЛОК: нужны дата, тип операции и сумма",IF(N(E135)&lt;=0,"БЛОК: сумма должна быть больше нуля",IF(AND(H135&lt;&gt;0,F135=""),"БЛОК: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отделить",IF(AND(G135&lt;&gt;0,F135=""),"БЛОК: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нельзя",IF(AND(F135&lt;&gt;"",COUNTIF('Долг по актам'!$B$5:$B$34,F135)=0),"БЛОК: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договору")&gt;0)*($C$5:$C$504&lt;&gt;C135)*($E$5:$E$504=E135)*(($D$5:$D$504=D135)*(D135&lt;&gt;"")+($B$5:$B$504=B135)*(B135&lt;&gt;"")&gt;0))&gt;0,"БЛОК: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операцию",IF(AND(C135="Оплата",K135&lt;&gt;"Отдельный платёж — не сам аванс (сверено с выпиской банка)",OR(COUNTIFS($C$5:$C$504,"Зачёт аванса по договору",$E$5:$E$504,E135)&gt;0,ROUND(E135-$M$6,2)=0)),"БЛОК: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5" s="185" t="str">
        <x:f>IF(AND(B135="",C135="",E135=""),"",SUM($G$5:G135))</x:f>
        <x:v/>
      </x:c>
      <x:c r="K135" s="178"/>
      <x:c r="L135" s="46"/>
      <x:c r="M135" s="46"/>
    </x:row>
    <x:row r="136" ht="29" customHeight="1">
      <x:c r="A136" s="199">
        <x:v>132</x:v>
      </x:c>
      <x:c r="B136" s="162"/>
      <x:c r="C136" s="163"/>
      <x:c r="D136" s="163"/>
      <x:c r="E136" s="164"/>
      <x:c r="F136" s="163"/>
      <x:c r="G136" s="185">
        <x:f t="shared" si="4"/>
        <x:v>0</x:v>
      </x:c>
      <x:c r="H136" s="185">
        <x:f t="shared" si="5"/>
        <x:v>0</x:v>
      </x:c>
      <x:c r="I136" s="186">
        <x:f>IF(AND(B136="",C136="",D136="",E136="",F136=""),"",IF(OR(B136="",C136="",E136=""),"БЛОК: нужны дата, тип операции и сумма",IF(N(E136)&lt;=0,"БЛОК: сумма должна быть больше нуля",IF(AND(H136&lt;&gt;0,F136=""),"БЛОК: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отделить",IF(AND(G136&lt;&gt;0,F136=""),"БЛОК: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нельзя",IF(AND(F136&lt;&gt;"",COUNTIF('Долг по актам'!$B$5:$B$34,F136)=0),"БЛОК: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договору")&gt;0)*($C$5:$C$504&lt;&gt;C136)*($E$5:$E$504=E136)*(($D$5:$D$504=D136)*(D136&lt;&gt;"")+($B$5:$B$504=B136)*(B136&lt;&gt;"")&gt;0))&gt;0,"БЛОК: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операцию",IF(AND(C136="Оплата",K136&lt;&gt;"Отдельный платёж — не сам аванс (сверено с выпиской банка)",OR(COUNTIFS($C$5:$C$504,"Зачёт аванса по договору",$E$5:$E$504,E136)&gt;0,ROUND(E136-$M$6,2)=0)),"БЛОК: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6" s="185" t="str">
        <x:f>IF(AND(B136="",C136="",E136=""),"",SUM($G$5:G136))</x:f>
        <x:v/>
      </x:c>
      <x:c r="K136" s="178"/>
      <x:c r="L136" s="46"/>
      <x:c r="M136" s="46"/>
    </x:row>
    <x:row r="137" ht="29" customHeight="1">
      <x:c r="A137" s="199">
        <x:v>133</x:v>
      </x:c>
      <x:c r="B137" s="162"/>
      <x:c r="C137" s="163"/>
      <x:c r="D137" s="163"/>
      <x:c r="E137" s="164"/>
      <x:c r="F137" s="163"/>
      <x:c r="G137" s="185">
        <x:f t="shared" si="4"/>
        <x:v>0</x:v>
      </x:c>
      <x:c r="H137" s="185">
        <x:f t="shared" si="5"/>
        <x:v>0</x:v>
      </x:c>
      <x:c r="I137" s="186">
        <x:f>IF(AND(B137="",C137="",D137="",E137="",F137=""),"",IF(OR(B137="",C137="",E137=""),"БЛОК: нужны дата, тип операции и сумма",IF(N(E137)&lt;=0,"БЛОК: сумма должна быть больше нуля",IF(AND(H137&lt;&gt;0,F137=""),"БЛОК: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отделить",IF(AND(G137&lt;&gt;0,F137=""),"БЛОК: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нельзя",IF(AND(F137&lt;&gt;"",COUNTIF('Долг по актам'!$B$5:$B$34,F137)=0),"БЛОК: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договору")&gt;0)*($C$5:$C$504&lt;&gt;C137)*($E$5:$E$504=E137)*(($D$5:$D$504=D137)*(D137&lt;&gt;"")+($B$5:$B$504=B137)*(B137&lt;&gt;"")&gt;0))&gt;0,"БЛОК: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операцию",IF(AND(C137="Оплата",K137&lt;&gt;"Отдельный платёж — не сам аванс (сверено с выпиской банка)",OR(COUNTIFS($C$5:$C$504,"Зачёт аванса по договору",$E$5:$E$504,E137)&gt;0,ROUND(E137-$M$6,2)=0)),"БЛОК: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7" s="185" t="str">
        <x:f>IF(AND(B137="",C137="",E137=""),"",SUM($G$5:G137))</x:f>
        <x:v/>
      </x:c>
      <x:c r="K137" s="178"/>
      <x:c r="L137" s="46"/>
      <x:c r="M137" s="46"/>
    </x:row>
    <x:row r="138" ht="29" customHeight="1">
      <x:c r="A138" s="199">
        <x:v>134</x:v>
      </x:c>
      <x:c r="B138" s="162"/>
      <x:c r="C138" s="163"/>
      <x:c r="D138" s="163"/>
      <x:c r="E138" s="164"/>
      <x:c r="F138" s="163"/>
      <x:c r="G138" s="185">
        <x:f t="shared" si="4"/>
        <x:v>0</x:v>
      </x:c>
      <x:c r="H138" s="185">
        <x:f t="shared" si="5"/>
        <x:v>0</x:v>
      </x:c>
      <x:c r="I138" s="186">
        <x:f>IF(AND(B138="",C138="",D138="",E138="",F138=""),"",IF(OR(B138="",C138="",E138=""),"БЛОК: нужны дата, тип операции и сумма",IF(N(E138)&lt;=0,"БЛОК: сумма должна быть больше нуля",IF(AND(H138&lt;&gt;0,F138=""),"БЛОК: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отделить",IF(AND(G138&lt;&gt;0,F138=""),"БЛОК: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нельзя",IF(AND(F138&lt;&gt;"",COUNTIF('Долг по актам'!$B$5:$B$34,F138)=0),"БЛОК: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договору")&gt;0)*($C$5:$C$504&lt;&gt;C138)*($E$5:$E$504=E138)*(($D$5:$D$504=D138)*(D138&lt;&gt;"")+($B$5:$B$504=B138)*(B138&lt;&gt;"")&gt;0))&gt;0,"БЛОК: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операцию",IF(AND(C138="Оплата",K138&lt;&gt;"Отдельный платёж — не сам аванс (сверено с выпиской банка)",OR(COUNTIFS($C$5:$C$504,"Зачёт аванса по договору",$E$5:$E$504,E138)&gt;0,ROUND(E138-$M$6,2)=0)),"БЛОК: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8" s="185" t="str">
        <x:f>IF(AND(B138="",C138="",E138=""),"",SUM($G$5:G138))</x:f>
        <x:v/>
      </x:c>
      <x:c r="K138" s="178"/>
      <x:c r="L138" s="46"/>
      <x:c r="M138" s="46"/>
    </x:row>
    <x:row r="139" ht="29" customHeight="1">
      <x:c r="A139" s="199">
        <x:v>135</x:v>
      </x:c>
      <x:c r="B139" s="162"/>
      <x:c r="C139" s="163"/>
      <x:c r="D139" s="163"/>
      <x:c r="E139" s="164"/>
      <x:c r="F139" s="163"/>
      <x:c r="G139" s="185">
        <x:f t="shared" si="4"/>
        <x:v>0</x:v>
      </x:c>
      <x:c r="H139" s="185">
        <x:f t="shared" si="5"/>
        <x:v>0</x:v>
      </x:c>
      <x:c r="I139" s="186">
        <x:f>IF(AND(B139="",C139="",D139="",E139="",F139=""),"",IF(OR(B139="",C139="",E139=""),"БЛОК: нужны дата, тип операции и сумма",IF(N(E139)&lt;=0,"БЛОК: сумма должна быть больше нуля",IF(AND(H139&lt;&gt;0,F139=""),"БЛОК: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отделить",IF(AND(G139&lt;&gt;0,F139=""),"БЛОК: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нельзя",IF(AND(F139&lt;&gt;"",COUNTIF('Долг по актам'!$B$5:$B$34,F139)=0),"БЛОК: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договору")&gt;0)*($C$5:$C$504&lt;&gt;C139)*($E$5:$E$504=E139)*(($D$5:$D$504=D139)*(D139&lt;&gt;"")+($B$5:$B$504=B139)*(B139&lt;&gt;"")&gt;0))&gt;0,"БЛОК: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операцию",IF(AND(C139="Оплата",K139&lt;&gt;"Отдельный платёж — не сам аванс (сверено с выпиской банка)",OR(COUNTIFS($C$5:$C$504,"Зачёт аванса по договору",$E$5:$E$504,E139)&gt;0,ROUND(E139-$M$6,2)=0)),"БЛОК: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39" s="185" t="str">
        <x:f>IF(AND(B139="",C139="",E139=""),"",SUM($G$5:G139))</x:f>
        <x:v/>
      </x:c>
      <x:c r="K139" s="178"/>
      <x:c r="L139" s="46"/>
      <x:c r="M139" s="46"/>
    </x:row>
    <x:row r="140" ht="29" customHeight="1">
      <x:c r="A140" s="199">
        <x:v>136</x:v>
      </x:c>
      <x:c r="B140" s="162"/>
      <x:c r="C140" s="163"/>
      <x:c r="D140" s="163"/>
      <x:c r="E140" s="164"/>
      <x:c r="F140" s="163"/>
      <x:c r="G140" s="185">
        <x:f t="shared" si="4"/>
        <x:v>0</x:v>
      </x:c>
      <x:c r="H140" s="185">
        <x:f t="shared" si="5"/>
        <x:v>0</x:v>
      </x:c>
      <x:c r="I140" s="186">
        <x:f>IF(AND(B140="",C140="",D140="",E140="",F140=""),"",IF(OR(B140="",C140="",E140=""),"БЛОК: нужны дата, тип операции и сумма",IF(N(E140)&lt;=0,"БЛОК: сумма должна быть больше нуля",IF(AND(H140&lt;&gt;0,F140=""),"БЛОК: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отделить",IF(AND(G140&lt;&gt;0,F140=""),"БЛОК: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нельзя",IF(AND(F140&lt;&gt;"",COUNTIF('Долг по актам'!$B$5:$B$34,F140)=0),"БЛОК: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договору")&gt;0)*($C$5:$C$504&lt;&gt;C140)*($E$5:$E$504=E140)*(($D$5:$D$504=D140)*(D140&lt;&gt;"")+($B$5:$B$504=B140)*(B140&lt;&gt;"")&gt;0))&gt;0,"БЛОК: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операцию",IF(AND(C140="Оплата",K140&lt;&gt;"Отдельный платёж — не сам аванс (сверено с выпиской банка)",OR(COUNTIFS($C$5:$C$504,"Зачёт аванса по договору",$E$5:$E$504,E140)&gt;0,ROUND(E140-$M$6,2)=0)),"БЛОК: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0" s="185" t="str">
        <x:f>IF(AND(B140="",C140="",E140=""),"",SUM($G$5:G140))</x:f>
        <x:v/>
      </x:c>
      <x:c r="K140" s="178"/>
      <x:c r="L140" s="46"/>
      <x:c r="M140" s="46"/>
    </x:row>
    <x:row r="141" ht="29" customHeight="1">
      <x:c r="A141" s="199">
        <x:v>137</x:v>
      </x:c>
      <x:c r="B141" s="162"/>
      <x:c r="C141" s="163"/>
      <x:c r="D141" s="163"/>
      <x:c r="E141" s="164"/>
      <x:c r="F141" s="163"/>
      <x:c r="G141" s="185">
        <x:f t="shared" si="4"/>
        <x:v>0</x:v>
      </x:c>
      <x:c r="H141" s="185">
        <x:f t="shared" si="5"/>
        <x:v>0</x:v>
      </x:c>
      <x:c r="I141" s="186">
        <x:f>IF(AND(B141="",C141="",D141="",E141="",F141=""),"",IF(OR(B141="",C141="",E141=""),"БЛОК: нужны дата, тип операции и сумма",IF(N(E141)&lt;=0,"БЛОК: сумма должна быть больше нуля",IF(AND(H141&lt;&gt;0,F141=""),"БЛОК: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отделить",IF(AND(G141&lt;&gt;0,F141=""),"БЛОК: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нельзя",IF(AND(F141&lt;&gt;"",COUNTIF('Долг по актам'!$B$5:$B$34,F141)=0),"БЛОК: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договору")&gt;0)*($C$5:$C$504&lt;&gt;C141)*($E$5:$E$504=E141)*(($D$5:$D$504=D141)*(D141&lt;&gt;"")+($B$5:$B$504=B141)*(B141&lt;&gt;"")&gt;0))&gt;0,"БЛОК: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операцию",IF(AND(C141="Оплата",K141&lt;&gt;"Отдельный платёж — не сам аванс (сверено с выпиской банка)",OR(COUNTIFS($C$5:$C$504,"Зачёт аванса по договору",$E$5:$E$504,E141)&gt;0,ROUND(E141-$M$6,2)=0)),"БЛОК: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1" s="185" t="str">
        <x:f>IF(AND(B141="",C141="",E141=""),"",SUM($G$5:G141))</x:f>
        <x:v/>
      </x:c>
      <x:c r="K141" s="178"/>
      <x:c r="L141" s="46"/>
      <x:c r="M141" s="46"/>
    </x:row>
    <x:row r="142" ht="29" customHeight="1">
      <x:c r="A142" s="199">
        <x:v>138</x:v>
      </x:c>
      <x:c r="B142" s="162"/>
      <x:c r="C142" s="163"/>
      <x:c r="D142" s="163"/>
      <x:c r="E142" s="164"/>
      <x:c r="F142" s="163"/>
      <x:c r="G142" s="185">
        <x:f t="shared" si="4"/>
        <x:v>0</x:v>
      </x:c>
      <x:c r="H142" s="185">
        <x:f t="shared" si="5"/>
        <x:v>0</x:v>
      </x:c>
      <x:c r="I142" s="186">
        <x:f>IF(AND(B142="",C142="",D142="",E142="",F142=""),"",IF(OR(B142="",C142="",E142=""),"БЛОК: нужны дата, тип операции и сумма",IF(N(E142)&lt;=0,"БЛОК: сумма должна быть больше нуля",IF(AND(H142&lt;&gt;0,F142=""),"БЛОК: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отделить",IF(AND(G142&lt;&gt;0,F142=""),"БЛОК: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нельзя",IF(AND(F142&lt;&gt;"",COUNTIF('Долг по актам'!$B$5:$B$34,F142)=0),"БЛОК: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договору")&gt;0)*($C$5:$C$504&lt;&gt;C142)*($E$5:$E$504=E142)*(($D$5:$D$504=D142)*(D142&lt;&gt;"")+($B$5:$B$504=B142)*(B142&lt;&gt;"")&gt;0))&gt;0,"БЛОК: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операцию",IF(AND(C142="Оплата",K142&lt;&gt;"Отдельный платёж — не сам аванс (сверено с выпиской банка)",OR(COUNTIFS($C$5:$C$504,"Зачёт аванса по договору",$E$5:$E$504,E142)&gt;0,ROUND(E142-$M$6,2)=0)),"БЛОК: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2" s="185" t="str">
        <x:f>IF(AND(B142="",C142="",E142=""),"",SUM($G$5:G142))</x:f>
        <x:v/>
      </x:c>
      <x:c r="K142" s="178"/>
      <x:c r="L142" s="46"/>
      <x:c r="M142" s="46"/>
    </x:row>
    <x:row r="143" ht="29" customHeight="1">
      <x:c r="A143" s="199">
        <x:v>139</x:v>
      </x:c>
      <x:c r="B143" s="162"/>
      <x:c r="C143" s="163"/>
      <x:c r="D143" s="163"/>
      <x:c r="E143" s="164"/>
      <x:c r="F143" s="163"/>
      <x:c r="G143" s="185">
        <x:f t="shared" si="4"/>
        <x:v>0</x:v>
      </x:c>
      <x:c r="H143" s="185">
        <x:f t="shared" si="5"/>
        <x:v>0</x:v>
      </x:c>
      <x:c r="I143" s="186">
        <x:f>IF(AND(B143="",C143="",D143="",E143="",F143=""),"",IF(OR(B143="",C143="",E143=""),"БЛОК: нужны дата, тип операции и сумма",IF(N(E143)&lt;=0,"БЛОК: сумма должна быть больше нуля",IF(AND(H143&lt;&gt;0,F143=""),"БЛОК: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отделить",IF(AND(G143&lt;&gt;0,F143=""),"БЛОК: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нельзя",IF(AND(F143&lt;&gt;"",COUNTIF('Долг по актам'!$B$5:$B$34,F143)=0),"БЛОК: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договору")&gt;0)*($C$5:$C$504&lt;&gt;C143)*($E$5:$E$504=E143)*(($D$5:$D$504=D143)*(D143&lt;&gt;"")+($B$5:$B$504=B143)*(B143&lt;&gt;"")&gt;0))&gt;0,"БЛОК: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операцию",IF(AND(C143="Оплата",K143&lt;&gt;"Отдельный платёж — не сам аванс (сверено с выпиской банка)",OR(COUNTIFS($C$5:$C$504,"Зачёт аванса по договору",$E$5:$E$504,E143)&gt;0,ROUND(E143-$M$6,2)=0)),"БЛОК: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3" s="185" t="str">
        <x:f>IF(AND(B143="",C143="",E143=""),"",SUM($G$5:G143))</x:f>
        <x:v/>
      </x:c>
      <x:c r="K143" s="178"/>
      <x:c r="L143" s="46"/>
      <x:c r="M143" s="46"/>
    </x:row>
    <x:row r="144" ht="29" customHeight="1">
      <x:c r="A144" s="199">
        <x:v>140</x:v>
      </x:c>
      <x:c r="B144" s="162"/>
      <x:c r="C144" s="163"/>
      <x:c r="D144" s="163"/>
      <x:c r="E144" s="164"/>
      <x:c r="F144" s="163"/>
      <x:c r="G144" s="185">
        <x:f t="shared" si="4"/>
        <x:v>0</x:v>
      </x:c>
      <x:c r="H144" s="185">
        <x:f t="shared" si="5"/>
        <x:v>0</x:v>
      </x:c>
      <x:c r="I144" s="186">
        <x:f>IF(AND(B144="",C144="",D144="",E144="",F144=""),"",IF(OR(B144="",C144="",E144=""),"БЛОК: нужны дата, тип операции и сумма",IF(N(E144)&lt;=0,"БЛОК: сумма должна быть больше нуля",IF(AND(H144&lt;&gt;0,F144=""),"БЛОК: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отделить",IF(AND(G144&lt;&gt;0,F144=""),"БЛОК: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нельзя",IF(AND(F144&lt;&gt;"",COUNTIF('Долг по актам'!$B$5:$B$34,F144)=0),"БЛОК: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договору")&gt;0)*($C$5:$C$504&lt;&gt;C144)*($E$5:$E$504=E144)*(($D$5:$D$504=D144)*(D144&lt;&gt;"")+($B$5:$B$504=B144)*(B144&lt;&gt;"")&gt;0))&gt;0,"БЛОК: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операцию",IF(AND(C144="Оплата",K144&lt;&gt;"Отдельный платёж — не сам аванс (сверено с выпиской банка)",OR(COUNTIFS($C$5:$C$504,"Зачёт аванса по договору",$E$5:$E$504,E144)&gt;0,ROUND(E144-$M$6,2)=0)),"БЛОК: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4" s="185" t="str">
        <x:f>IF(AND(B144="",C144="",E144=""),"",SUM($G$5:G144))</x:f>
        <x:v/>
      </x:c>
      <x:c r="K144" s="178"/>
      <x:c r="L144" s="46"/>
      <x:c r="M144" s="46"/>
    </x:row>
    <x:row r="145" ht="29" customHeight="1">
      <x:c r="A145" s="199">
        <x:v>141</x:v>
      </x:c>
      <x:c r="B145" s="162"/>
      <x:c r="C145" s="163"/>
      <x:c r="D145" s="163"/>
      <x:c r="E145" s="164"/>
      <x:c r="F145" s="163"/>
      <x:c r="G145" s="185">
        <x:f t="shared" si="4"/>
        <x:v>0</x:v>
      </x:c>
      <x:c r="H145" s="185">
        <x:f t="shared" si="5"/>
        <x:v>0</x:v>
      </x:c>
      <x:c r="I145" s="186">
        <x:f>IF(AND(B145="",C145="",D145="",E145="",F145=""),"",IF(OR(B145="",C145="",E145=""),"БЛОК: нужны дата, тип операции и сумма",IF(N(E145)&lt;=0,"БЛОК: сумма должна быть больше нуля",IF(AND(H145&lt;&gt;0,F145=""),"БЛОК: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отделить",IF(AND(G145&lt;&gt;0,F145=""),"БЛОК: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нельзя",IF(AND(F145&lt;&gt;"",COUNTIF('Долг по актам'!$B$5:$B$34,F145)=0),"БЛОК: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договору")&gt;0)*($C$5:$C$504&lt;&gt;C145)*($E$5:$E$504=E145)*(($D$5:$D$504=D145)*(D145&lt;&gt;"")+($B$5:$B$504=B145)*(B145&lt;&gt;"")&gt;0))&gt;0,"БЛОК: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операцию",IF(AND(C145="Оплата",K145&lt;&gt;"Отдельный платёж — не сам аванс (сверено с выпиской банка)",OR(COUNTIFS($C$5:$C$504,"Зачёт аванса по договору",$E$5:$E$504,E145)&gt;0,ROUND(E145-$M$6,2)=0)),"БЛОК: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5" s="185" t="str">
        <x:f>IF(AND(B145="",C145="",E145=""),"",SUM($G$5:G145))</x:f>
        <x:v/>
      </x:c>
      <x:c r="K145" s="178"/>
      <x:c r="L145" s="46"/>
      <x:c r="M145" s="46"/>
    </x:row>
    <x:row r="146" ht="29" customHeight="1">
      <x:c r="A146" s="199">
        <x:v>142</x:v>
      </x:c>
      <x:c r="B146" s="162"/>
      <x:c r="C146" s="163"/>
      <x:c r="D146" s="163"/>
      <x:c r="E146" s="164"/>
      <x:c r="F146" s="163"/>
      <x:c r="G146" s="185">
        <x:f t="shared" si="4"/>
        <x:v>0</x:v>
      </x:c>
      <x:c r="H146" s="185">
        <x:f t="shared" si="5"/>
        <x:v>0</x:v>
      </x:c>
      <x:c r="I146" s="186">
        <x:f>IF(AND(B146="",C146="",D146="",E146="",F146=""),"",IF(OR(B146="",C146="",E146=""),"БЛОК: нужны дата, тип операции и сумма",IF(N(E146)&lt;=0,"БЛОК: сумма должна быть больше нуля",IF(AND(H146&lt;&gt;0,F146=""),"БЛОК: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отделить",IF(AND(G146&lt;&gt;0,F146=""),"БЛОК: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нельзя",IF(AND(F146&lt;&gt;"",COUNTIF('Долг по актам'!$B$5:$B$34,F146)=0),"БЛОК: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договору")&gt;0)*($C$5:$C$504&lt;&gt;C146)*($E$5:$E$504=E146)*(($D$5:$D$504=D146)*(D146&lt;&gt;"")+($B$5:$B$504=B146)*(B146&lt;&gt;"")&gt;0))&gt;0,"БЛОК: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операцию",IF(AND(C146="Оплата",K146&lt;&gt;"Отдельный платёж — не сам аванс (сверено с выпиской банка)",OR(COUNTIFS($C$5:$C$504,"Зачёт аванса по договору",$E$5:$E$504,E146)&gt;0,ROUND(E146-$M$6,2)=0)),"БЛОК: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6" s="185" t="str">
        <x:f>IF(AND(B146="",C146="",E146=""),"",SUM($G$5:G146))</x:f>
        <x:v/>
      </x:c>
      <x:c r="K146" s="178"/>
      <x:c r="L146" s="46"/>
      <x:c r="M146" s="46"/>
    </x:row>
    <x:row r="147" ht="29" customHeight="1">
      <x:c r="A147" s="199">
        <x:v>143</x:v>
      </x:c>
      <x:c r="B147" s="162"/>
      <x:c r="C147" s="163"/>
      <x:c r="D147" s="163"/>
      <x:c r="E147" s="164"/>
      <x:c r="F147" s="163"/>
      <x:c r="G147" s="185">
        <x:f t="shared" si="4"/>
        <x:v>0</x:v>
      </x:c>
      <x:c r="H147" s="185">
        <x:f t="shared" si="5"/>
        <x:v>0</x:v>
      </x:c>
      <x:c r="I147" s="186">
        <x:f>IF(AND(B147="",C147="",D147="",E147="",F147=""),"",IF(OR(B147="",C147="",E147=""),"БЛОК: нужны дата, тип операции и сумма",IF(N(E147)&lt;=0,"БЛОК: сумма должна быть больше нуля",IF(AND(H147&lt;&gt;0,F147=""),"БЛОК: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отделить",IF(AND(G147&lt;&gt;0,F147=""),"БЛОК: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нельзя",IF(AND(F147&lt;&gt;"",COUNTIF('Долг по актам'!$B$5:$B$34,F147)=0),"БЛОК: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договору")&gt;0)*($C$5:$C$504&lt;&gt;C147)*($E$5:$E$504=E147)*(($D$5:$D$504=D147)*(D147&lt;&gt;"")+($B$5:$B$504=B147)*(B147&lt;&gt;"")&gt;0))&gt;0,"БЛОК: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операцию",IF(AND(C147="Оплата",K147&lt;&gt;"Отдельный платёж — не сам аванс (сверено с выпиской банка)",OR(COUNTIFS($C$5:$C$504,"Зачёт аванса по договору",$E$5:$E$504,E147)&gt;0,ROUND(E147-$M$6,2)=0)),"БЛОК: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7" s="185" t="str">
        <x:f>IF(AND(B147="",C147="",E147=""),"",SUM($G$5:G147))</x:f>
        <x:v/>
      </x:c>
      <x:c r="K147" s="178"/>
      <x:c r="L147" s="46"/>
      <x:c r="M147" s="46"/>
    </x:row>
    <x:row r="148" ht="29" customHeight="1">
      <x:c r="A148" s="199">
        <x:v>144</x:v>
      </x:c>
      <x:c r="B148" s="162"/>
      <x:c r="C148" s="163"/>
      <x:c r="D148" s="163"/>
      <x:c r="E148" s="164"/>
      <x:c r="F148" s="163"/>
      <x:c r="G148" s="185">
        <x:f t="shared" si="4"/>
        <x:v>0</x:v>
      </x:c>
      <x:c r="H148" s="185">
        <x:f t="shared" si="5"/>
        <x:v>0</x:v>
      </x:c>
      <x:c r="I148" s="186">
        <x:f>IF(AND(B148="",C148="",D148="",E148="",F148=""),"",IF(OR(B148="",C148="",E148=""),"БЛОК: нужны дата, тип операции и сумма",IF(N(E148)&lt;=0,"БЛОК: сумма должна быть больше нуля",IF(AND(H148&lt;&gt;0,F148=""),"БЛОК: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отделить",IF(AND(G148&lt;&gt;0,F148=""),"БЛОК: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нельзя",IF(AND(F148&lt;&gt;"",COUNTIF('Долг по актам'!$B$5:$B$34,F148)=0),"БЛОК: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договору")&gt;0)*($C$5:$C$504&lt;&gt;C148)*($E$5:$E$504=E148)*(($D$5:$D$504=D148)*(D148&lt;&gt;"")+($B$5:$B$504=B148)*(B148&lt;&gt;"")&gt;0))&gt;0,"БЛОК: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операцию",IF(AND(C148="Оплата",K148&lt;&gt;"Отдельный платёж — не сам аванс (сверено с выпиской банка)",OR(COUNTIFS($C$5:$C$504,"Зачёт аванса по договору",$E$5:$E$504,E148)&gt;0,ROUND(E148-$M$6,2)=0)),"БЛОК: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8" s="185" t="str">
        <x:f>IF(AND(B148="",C148="",E148=""),"",SUM($G$5:G148))</x:f>
        <x:v/>
      </x:c>
      <x:c r="K148" s="178"/>
      <x:c r="L148" s="46"/>
      <x:c r="M148" s="46"/>
    </x:row>
    <x:row r="149" ht="29" customHeight="1">
      <x:c r="A149" s="199">
        <x:v>145</x:v>
      </x:c>
      <x:c r="B149" s="162"/>
      <x:c r="C149" s="163"/>
      <x:c r="D149" s="163"/>
      <x:c r="E149" s="164"/>
      <x:c r="F149" s="163"/>
      <x:c r="G149" s="185">
        <x:f t="shared" si="4"/>
        <x:v>0</x:v>
      </x:c>
      <x:c r="H149" s="185">
        <x:f t="shared" si="5"/>
        <x:v>0</x:v>
      </x:c>
      <x:c r="I149" s="186">
        <x:f>IF(AND(B149="",C149="",D149="",E149="",F149=""),"",IF(OR(B149="",C149="",E149=""),"БЛОК: нужны дата, тип операции и сумма",IF(N(E149)&lt;=0,"БЛОК: сумма должна быть больше нуля",IF(AND(H149&lt;&gt;0,F149=""),"БЛОК: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отделить",IF(AND(G149&lt;&gt;0,F149=""),"БЛОК: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нельзя",IF(AND(F149&lt;&gt;"",COUNTIF('Долг по актам'!$B$5:$B$34,F149)=0),"БЛОК: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договору")&gt;0)*($C$5:$C$504&lt;&gt;C149)*($E$5:$E$504=E149)*(($D$5:$D$504=D149)*(D149&lt;&gt;"")+($B$5:$B$504=B149)*(B149&lt;&gt;"")&gt;0))&gt;0,"БЛОК: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операцию",IF(AND(C149="Оплата",K149&lt;&gt;"Отдельный платёж — не сам аванс (сверено с выпиской банка)",OR(COUNTIFS($C$5:$C$504,"Зачёт аванса по договору",$E$5:$E$504,E149)&gt;0,ROUND(E149-$M$6,2)=0)),"БЛОК: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49" s="185" t="str">
        <x:f>IF(AND(B149="",C149="",E149=""),"",SUM($G$5:G149))</x:f>
        <x:v/>
      </x:c>
      <x:c r="K149" s="178"/>
      <x:c r="L149" s="46"/>
      <x:c r="M149" s="46"/>
    </x:row>
    <x:row r="150" ht="29" customHeight="1">
      <x:c r="A150" s="199">
        <x:v>146</x:v>
      </x:c>
      <x:c r="B150" s="162"/>
      <x:c r="C150" s="163"/>
      <x:c r="D150" s="163"/>
      <x:c r="E150" s="164"/>
      <x:c r="F150" s="163"/>
      <x:c r="G150" s="185">
        <x:f t="shared" si="4"/>
        <x:v>0</x:v>
      </x:c>
      <x:c r="H150" s="185">
        <x:f t="shared" si="5"/>
        <x:v>0</x:v>
      </x:c>
      <x:c r="I150" s="186">
        <x:f>IF(AND(B150="",C150="",D150="",E150="",F150=""),"",IF(OR(B150="",C150="",E150=""),"БЛОК: нужны дата, тип операции и сумма",IF(N(E150)&lt;=0,"БЛОК: сумма должна быть больше нуля",IF(AND(H150&lt;&gt;0,F150=""),"БЛОК: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отделить",IF(AND(G150&lt;&gt;0,F150=""),"БЛОК: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нельзя",IF(AND(F150&lt;&gt;"",COUNTIF('Долг по актам'!$B$5:$B$34,F150)=0),"БЛОК: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договору")&gt;0)*($C$5:$C$504&lt;&gt;C150)*($E$5:$E$504=E150)*(($D$5:$D$504=D150)*(D150&lt;&gt;"")+($B$5:$B$504=B150)*(B150&lt;&gt;"")&gt;0))&gt;0,"БЛОК: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операцию",IF(AND(C150="Оплата",K150&lt;&gt;"Отдельный платёж — не сам аванс (сверено с выпиской банка)",OR(COUNTIFS($C$5:$C$504,"Зачёт аванса по договору",$E$5:$E$504,E150)&gt;0,ROUND(E150-$M$6,2)=0)),"БЛОК: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0" s="185" t="str">
        <x:f>IF(AND(B150="",C150="",E150=""),"",SUM($G$5:G150))</x:f>
        <x:v/>
      </x:c>
      <x:c r="K150" s="178"/>
      <x:c r="L150" s="46"/>
      <x:c r="M150" s="46"/>
    </x:row>
    <x:row r="151" ht="29" customHeight="1">
      <x:c r="A151" s="199">
        <x:v>147</x:v>
      </x:c>
      <x:c r="B151" s="162"/>
      <x:c r="C151" s="163"/>
      <x:c r="D151" s="163"/>
      <x:c r="E151" s="164"/>
      <x:c r="F151" s="163"/>
      <x:c r="G151" s="185">
        <x:f t="shared" si="4"/>
        <x:v>0</x:v>
      </x:c>
      <x:c r="H151" s="185">
        <x:f t="shared" si="5"/>
        <x:v>0</x:v>
      </x:c>
      <x:c r="I151" s="186">
        <x:f>IF(AND(B151="",C151="",D151="",E151="",F151=""),"",IF(OR(B151="",C151="",E151=""),"БЛОК: нужны дата, тип операции и сумма",IF(N(E151)&lt;=0,"БЛОК: сумма должна быть больше нуля",IF(AND(H151&lt;&gt;0,F151=""),"БЛОК: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отделить",IF(AND(G151&lt;&gt;0,F151=""),"БЛОК: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нельзя",IF(AND(F151&lt;&gt;"",COUNTIF('Долг по актам'!$B$5:$B$34,F151)=0),"БЛОК: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договору")&gt;0)*($C$5:$C$504&lt;&gt;C151)*($E$5:$E$504=E151)*(($D$5:$D$504=D151)*(D151&lt;&gt;"")+($B$5:$B$504=B151)*(B151&lt;&gt;"")&gt;0))&gt;0,"БЛОК: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операцию",IF(AND(C151="Оплата",K151&lt;&gt;"Отдельный платёж — не сам аванс (сверено с выпиской банка)",OR(COUNTIFS($C$5:$C$504,"Зачёт аванса по договору",$E$5:$E$504,E151)&gt;0,ROUND(E151-$M$6,2)=0)),"БЛОК: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1" s="185" t="str">
        <x:f>IF(AND(B151="",C151="",E151=""),"",SUM($G$5:G151))</x:f>
        <x:v/>
      </x:c>
      <x:c r="K151" s="178"/>
      <x:c r="L151" s="46"/>
      <x:c r="M151" s="46"/>
    </x:row>
    <x:row r="152" ht="29" customHeight="1">
      <x:c r="A152" s="199">
        <x:v>148</x:v>
      </x:c>
      <x:c r="B152" s="162"/>
      <x:c r="C152" s="163"/>
      <x:c r="D152" s="163"/>
      <x:c r="E152" s="164"/>
      <x:c r="F152" s="163"/>
      <x:c r="G152" s="185">
        <x:f t="shared" si="4"/>
        <x:v>0</x:v>
      </x:c>
      <x:c r="H152" s="185">
        <x:f t="shared" si="5"/>
        <x:v>0</x:v>
      </x:c>
      <x:c r="I152" s="186">
        <x:f>IF(AND(B152="",C152="",D152="",E152="",F152=""),"",IF(OR(B152="",C152="",E152=""),"БЛОК: нужны дата, тип операции и сумма",IF(N(E152)&lt;=0,"БЛОК: сумма должна быть больше нуля",IF(AND(H152&lt;&gt;0,F152=""),"БЛОК: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отделить",IF(AND(G152&lt;&gt;0,F152=""),"БЛОК: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нельзя",IF(AND(F152&lt;&gt;"",COUNTIF('Долг по актам'!$B$5:$B$34,F152)=0),"БЛОК: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договору")&gt;0)*($C$5:$C$504&lt;&gt;C152)*($E$5:$E$504=E152)*(($D$5:$D$504=D152)*(D152&lt;&gt;"")+($B$5:$B$504=B152)*(B152&lt;&gt;"")&gt;0))&gt;0,"БЛОК: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операцию",IF(AND(C152="Оплата",K152&lt;&gt;"Отдельный платёж — не сам аванс (сверено с выпиской банка)",OR(COUNTIFS($C$5:$C$504,"Зачёт аванса по договору",$E$5:$E$504,E152)&gt;0,ROUND(E152-$M$6,2)=0)),"БЛОК: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2" s="185" t="str">
        <x:f>IF(AND(B152="",C152="",E152=""),"",SUM($G$5:G152))</x:f>
        <x:v/>
      </x:c>
      <x:c r="K152" s="178"/>
      <x:c r="L152" s="46"/>
      <x:c r="M152" s="46"/>
    </x:row>
    <x:row r="153" ht="29" customHeight="1">
      <x:c r="A153" s="199">
        <x:v>149</x:v>
      </x:c>
      <x:c r="B153" s="162"/>
      <x:c r="C153" s="163"/>
      <x:c r="D153" s="163"/>
      <x:c r="E153" s="164"/>
      <x:c r="F153" s="163"/>
      <x:c r="G153" s="185">
        <x:f t="shared" si="4"/>
        <x:v>0</x:v>
      </x:c>
      <x:c r="H153" s="185">
        <x:f t="shared" si="5"/>
        <x:v>0</x:v>
      </x:c>
      <x:c r="I153" s="186">
        <x:f>IF(AND(B153="",C153="",D153="",E153="",F153=""),"",IF(OR(B153="",C153="",E153=""),"БЛОК: нужны дата, тип операции и сумма",IF(N(E153)&lt;=0,"БЛОК: сумма должна быть больше нуля",IF(AND(H153&lt;&gt;0,F153=""),"БЛОК: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отделить",IF(AND(G153&lt;&gt;0,F153=""),"БЛОК: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нельзя",IF(AND(F153&lt;&gt;"",COUNTIF('Долг по актам'!$B$5:$B$34,F153)=0),"БЛОК: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договору")&gt;0)*($C$5:$C$504&lt;&gt;C153)*($E$5:$E$504=E153)*(($D$5:$D$504=D153)*(D153&lt;&gt;"")+($B$5:$B$504=B153)*(B153&lt;&gt;"")&gt;0))&gt;0,"БЛОК: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операцию",IF(AND(C153="Оплата",K153&lt;&gt;"Отдельный платёж — не сам аванс (сверено с выпиской банка)",OR(COUNTIFS($C$5:$C$504,"Зачёт аванса по договору",$E$5:$E$504,E153)&gt;0,ROUND(E153-$M$6,2)=0)),"БЛОК: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3" s="185" t="str">
        <x:f>IF(AND(B153="",C153="",E153=""),"",SUM($G$5:G153))</x:f>
        <x:v/>
      </x:c>
      <x:c r="K153" s="178"/>
      <x:c r="L153" s="46"/>
      <x:c r="M153" s="46"/>
    </x:row>
    <x:row r="154" ht="29" customHeight="1">
      <x:c r="A154" s="199">
        <x:v>150</x:v>
      </x:c>
      <x:c r="B154" s="162"/>
      <x:c r="C154" s="163"/>
      <x:c r="D154" s="163"/>
      <x:c r="E154" s="164"/>
      <x:c r="F154" s="163"/>
      <x:c r="G154" s="185">
        <x:f t="shared" si="4"/>
        <x:v>0</x:v>
      </x:c>
      <x:c r="H154" s="185">
        <x:f t="shared" si="5"/>
        <x:v>0</x:v>
      </x:c>
      <x:c r="I154" s="186">
        <x:f>IF(AND(B154="",C154="",D154="",E154="",F154=""),"",IF(OR(B154="",C154="",E154=""),"БЛОК: нужны дата, тип операции и сумма",IF(N(E154)&lt;=0,"БЛОК: сумма должна быть больше нуля",IF(AND(H154&lt;&gt;0,F154=""),"БЛОК: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отделить",IF(AND(G154&lt;&gt;0,F154=""),"БЛОК: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нельзя",IF(AND(F154&lt;&gt;"",COUNTIF('Долг по актам'!$B$5:$B$34,F154)=0),"БЛОК: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договору")&gt;0)*($C$5:$C$504&lt;&gt;C154)*($E$5:$E$504=E154)*(($D$5:$D$504=D154)*(D154&lt;&gt;"")+($B$5:$B$504=B154)*(B154&lt;&gt;"")&gt;0))&gt;0,"БЛОК: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операцию",IF(AND(C154="Оплата",K154&lt;&gt;"Отдельный платёж — не сам аванс (сверено с выпиской банка)",OR(COUNTIFS($C$5:$C$504,"Зачёт аванса по договору",$E$5:$E$504,E154)&gt;0,ROUND(E154-$M$6,2)=0)),"БЛОК: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4" s="185" t="str">
        <x:f>IF(AND(B154="",C154="",E154=""),"",SUM($G$5:G154))</x:f>
        <x:v/>
      </x:c>
      <x:c r="K154" s="178"/>
      <x:c r="L154" s="46"/>
      <x:c r="M154" s="46"/>
    </x:row>
    <x:row r="155" ht="29" customHeight="1">
      <x:c r="A155" s="199">
        <x:v>151</x:v>
      </x:c>
      <x:c r="B155" s="162"/>
      <x:c r="C155" s="163"/>
      <x:c r="D155" s="163"/>
      <x:c r="E155" s="164"/>
      <x:c r="F155" s="163"/>
      <x:c r="G155" s="185">
        <x:f t="shared" si="4"/>
        <x:v>0</x:v>
      </x:c>
      <x:c r="H155" s="185">
        <x:f t="shared" si="5"/>
        <x:v>0</x:v>
      </x:c>
      <x:c r="I155" s="186">
        <x:f>IF(AND(B155="",C155="",D155="",E155="",F155=""),"",IF(OR(B155="",C155="",E155=""),"БЛОК: нужны дата, тип операции и сумма",IF(N(E155)&lt;=0,"БЛОК: сумма должна быть больше нуля",IF(AND(H155&lt;&gt;0,F155=""),"БЛОК: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отделить",IF(AND(G155&lt;&gt;0,F155=""),"БЛОК: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нельзя",IF(AND(F155&lt;&gt;"",COUNTIF('Долг по актам'!$B$5:$B$34,F155)=0),"БЛОК: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договору")&gt;0)*($C$5:$C$504&lt;&gt;C155)*($E$5:$E$504=E155)*(($D$5:$D$504=D155)*(D155&lt;&gt;"")+($B$5:$B$504=B155)*(B155&lt;&gt;"")&gt;0))&gt;0,"БЛОК: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операцию",IF(AND(C155="Оплата",K155&lt;&gt;"Отдельный платёж — не сам аванс (сверено с выпиской банка)",OR(COUNTIFS($C$5:$C$504,"Зачёт аванса по договору",$E$5:$E$504,E155)&gt;0,ROUND(E155-$M$6,2)=0)),"БЛОК: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5" s="185" t="str">
        <x:f>IF(AND(B155="",C155="",E155=""),"",SUM($G$5:G155))</x:f>
        <x:v/>
      </x:c>
      <x:c r="K155" s="178"/>
      <x:c r="L155" s="46"/>
      <x:c r="M155" s="46"/>
    </x:row>
    <x:row r="156" ht="29" customHeight="1">
      <x:c r="A156" s="199">
        <x:v>152</x:v>
      </x:c>
      <x:c r="B156" s="162"/>
      <x:c r="C156" s="163"/>
      <x:c r="D156" s="163"/>
      <x:c r="E156" s="164"/>
      <x:c r="F156" s="163"/>
      <x:c r="G156" s="185">
        <x:f t="shared" si="4"/>
        <x:v>0</x:v>
      </x:c>
      <x:c r="H156" s="185">
        <x:f t="shared" si="5"/>
        <x:v>0</x:v>
      </x:c>
      <x:c r="I156" s="186">
        <x:f>IF(AND(B156="",C156="",D156="",E156="",F156=""),"",IF(OR(B156="",C156="",E156=""),"БЛОК: нужны дата, тип операции и сумма",IF(N(E156)&lt;=0,"БЛОК: сумма должна быть больше нуля",IF(AND(H156&lt;&gt;0,F156=""),"БЛОК: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отделить",IF(AND(G156&lt;&gt;0,F156=""),"БЛОК: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нельзя",IF(AND(F156&lt;&gt;"",COUNTIF('Долг по актам'!$B$5:$B$34,F156)=0),"БЛОК: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договору")&gt;0)*($C$5:$C$504&lt;&gt;C156)*($E$5:$E$504=E156)*(($D$5:$D$504=D156)*(D156&lt;&gt;"")+($B$5:$B$504=B156)*(B156&lt;&gt;"")&gt;0))&gt;0,"БЛОК: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операцию",IF(AND(C156="Оплата",K156&lt;&gt;"Отдельный платёж — не сам аванс (сверено с выпиской банка)",OR(COUNTIFS($C$5:$C$504,"Зачёт аванса по договору",$E$5:$E$504,E156)&gt;0,ROUND(E156-$M$6,2)=0)),"БЛОК: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6" s="185" t="str">
        <x:f>IF(AND(B156="",C156="",E156=""),"",SUM($G$5:G156))</x:f>
        <x:v/>
      </x:c>
      <x:c r="K156" s="178"/>
      <x:c r="L156" s="46"/>
      <x:c r="M156" s="46"/>
    </x:row>
    <x:row r="157" ht="29" customHeight="1">
      <x:c r="A157" s="199">
        <x:v>153</x:v>
      </x:c>
      <x:c r="B157" s="162"/>
      <x:c r="C157" s="163"/>
      <x:c r="D157" s="163"/>
      <x:c r="E157" s="164"/>
      <x:c r="F157" s="163"/>
      <x:c r="G157" s="185">
        <x:f t="shared" si="4"/>
        <x:v>0</x:v>
      </x:c>
      <x:c r="H157" s="185">
        <x:f t="shared" si="5"/>
        <x:v>0</x:v>
      </x:c>
      <x:c r="I157" s="186">
        <x:f>IF(AND(B157="",C157="",D157="",E157="",F157=""),"",IF(OR(B157="",C157="",E157=""),"БЛОК: нужны дата, тип операции и сумма",IF(N(E157)&lt;=0,"БЛОК: сумма должна быть больше нуля",IF(AND(H157&lt;&gt;0,F157=""),"БЛОК: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отделить",IF(AND(G157&lt;&gt;0,F157=""),"БЛОК: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нельзя",IF(AND(F157&lt;&gt;"",COUNTIF('Долг по актам'!$B$5:$B$34,F157)=0),"БЛОК: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договору")&gt;0)*($C$5:$C$504&lt;&gt;C157)*($E$5:$E$504=E157)*(($D$5:$D$504=D157)*(D157&lt;&gt;"")+($B$5:$B$504=B157)*(B157&lt;&gt;"")&gt;0))&gt;0,"БЛОК: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операцию",IF(AND(C157="Оплата",K157&lt;&gt;"Отдельный платёж — не сам аванс (сверено с выпиской банка)",OR(COUNTIFS($C$5:$C$504,"Зачёт аванса по договору",$E$5:$E$504,E157)&gt;0,ROUND(E157-$M$6,2)=0)),"БЛОК: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7" s="185" t="str">
        <x:f>IF(AND(B157="",C157="",E157=""),"",SUM($G$5:G157))</x:f>
        <x:v/>
      </x:c>
      <x:c r="K157" s="178"/>
      <x:c r="L157" s="46"/>
      <x:c r="M157" s="46"/>
    </x:row>
    <x:row r="158" ht="29" customHeight="1">
      <x:c r="A158" s="199">
        <x:v>154</x:v>
      </x:c>
      <x:c r="B158" s="162"/>
      <x:c r="C158" s="163"/>
      <x:c r="D158" s="163"/>
      <x:c r="E158" s="164"/>
      <x:c r="F158" s="163"/>
      <x:c r="G158" s="185">
        <x:f t="shared" si="4"/>
        <x:v>0</x:v>
      </x:c>
      <x:c r="H158" s="185">
        <x:f t="shared" si="5"/>
        <x:v>0</x:v>
      </x:c>
      <x:c r="I158" s="186">
        <x:f>IF(AND(B158="",C158="",D158="",E158="",F158=""),"",IF(OR(B158="",C158="",E158=""),"БЛОК: нужны дата, тип операции и сумма",IF(N(E158)&lt;=0,"БЛОК: сумма должна быть больше нуля",IF(AND(H158&lt;&gt;0,F158=""),"БЛОК: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отделить",IF(AND(G158&lt;&gt;0,F158=""),"БЛОК: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нельзя",IF(AND(F158&lt;&gt;"",COUNTIF('Долг по актам'!$B$5:$B$34,F158)=0),"БЛОК: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договору")&gt;0)*($C$5:$C$504&lt;&gt;C158)*($E$5:$E$504=E158)*(($D$5:$D$504=D158)*(D158&lt;&gt;"")+($B$5:$B$504=B158)*(B158&lt;&gt;"")&gt;0))&gt;0,"БЛОК: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операцию",IF(AND(C158="Оплата",K158&lt;&gt;"Отдельный платёж — не сам аванс (сверено с выпиской банка)",OR(COUNTIFS($C$5:$C$504,"Зачёт аванса по договору",$E$5:$E$504,E158)&gt;0,ROUND(E158-$M$6,2)=0)),"БЛОК: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8" s="185" t="str">
        <x:f>IF(AND(B158="",C158="",E158=""),"",SUM($G$5:G158))</x:f>
        <x:v/>
      </x:c>
      <x:c r="K158" s="178"/>
      <x:c r="L158" s="46"/>
      <x:c r="M158" s="46"/>
    </x:row>
    <x:row r="159" ht="29" customHeight="1">
      <x:c r="A159" s="199">
        <x:v>155</x:v>
      </x:c>
      <x:c r="B159" s="162"/>
      <x:c r="C159" s="163"/>
      <x:c r="D159" s="163"/>
      <x:c r="E159" s="164"/>
      <x:c r="F159" s="163"/>
      <x:c r="G159" s="185">
        <x:f t="shared" si="4"/>
        <x:v>0</x:v>
      </x:c>
      <x:c r="H159" s="185">
        <x:f t="shared" si="5"/>
        <x:v>0</x:v>
      </x:c>
      <x:c r="I159" s="186">
        <x:f>IF(AND(B159="",C159="",D159="",E159="",F159=""),"",IF(OR(B159="",C159="",E159=""),"БЛОК: нужны дата, тип операции и сумма",IF(N(E159)&lt;=0,"БЛОК: сумма должна быть больше нуля",IF(AND(H159&lt;&gt;0,F159=""),"БЛОК: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отделить",IF(AND(G159&lt;&gt;0,F159=""),"БЛОК: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нельзя",IF(AND(F159&lt;&gt;"",COUNTIF('Долг по актам'!$B$5:$B$34,F159)=0),"БЛОК: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договору")&gt;0)*($C$5:$C$504&lt;&gt;C159)*($E$5:$E$504=E159)*(($D$5:$D$504=D159)*(D159&lt;&gt;"")+($B$5:$B$504=B159)*(B159&lt;&gt;"")&gt;0))&gt;0,"БЛОК: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операцию",IF(AND(C159="Оплата",K159&lt;&gt;"Отдельный платёж — не сам аванс (сверено с выпиской банка)",OR(COUNTIFS($C$5:$C$504,"Зачёт аванса по договору",$E$5:$E$504,E159)&gt;0,ROUND(E159-$M$6,2)=0)),"БЛОК: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59" s="185" t="str">
        <x:f>IF(AND(B159="",C159="",E159=""),"",SUM($G$5:G159))</x:f>
        <x:v/>
      </x:c>
      <x:c r="K159" s="178"/>
      <x:c r="L159" s="46"/>
      <x:c r="M159" s="46"/>
    </x:row>
    <x:row r="160" ht="29" customHeight="1">
      <x:c r="A160" s="199">
        <x:v>156</x:v>
      </x:c>
      <x:c r="B160" s="162"/>
      <x:c r="C160" s="163"/>
      <x:c r="D160" s="163"/>
      <x:c r="E160" s="164"/>
      <x:c r="F160" s="163"/>
      <x:c r="G160" s="185">
        <x:f t="shared" si="4"/>
        <x:v>0</x:v>
      </x:c>
      <x:c r="H160" s="185">
        <x:f t="shared" si="5"/>
        <x:v>0</x:v>
      </x:c>
      <x:c r="I160" s="186">
        <x:f>IF(AND(B160="",C160="",D160="",E160="",F160=""),"",IF(OR(B160="",C160="",E160=""),"БЛОК: нужны дата, тип операции и сумма",IF(N(E160)&lt;=0,"БЛОК: сумма должна быть больше нуля",IF(AND(H160&lt;&gt;0,F160=""),"БЛОК: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отделить",IF(AND(G160&lt;&gt;0,F160=""),"БЛОК: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нельзя",IF(AND(F160&lt;&gt;"",COUNTIF('Долг по актам'!$B$5:$B$34,F160)=0),"БЛОК: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договору")&gt;0)*($C$5:$C$504&lt;&gt;C160)*($E$5:$E$504=E160)*(($D$5:$D$504=D160)*(D160&lt;&gt;"")+($B$5:$B$504=B160)*(B160&lt;&gt;"")&gt;0))&gt;0,"БЛОК: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операцию",IF(AND(C160="Оплата",K160&lt;&gt;"Отдельный платёж — не сам аванс (сверено с выпиской банка)",OR(COUNTIFS($C$5:$C$504,"Зачёт аванса по договору",$E$5:$E$504,E160)&gt;0,ROUND(E160-$M$6,2)=0)),"БЛОК: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0" s="185" t="str">
        <x:f>IF(AND(B160="",C160="",E160=""),"",SUM($G$5:G160))</x:f>
        <x:v/>
      </x:c>
      <x:c r="K160" s="178"/>
      <x:c r="L160" s="46"/>
      <x:c r="M160" s="46"/>
    </x:row>
    <x:row r="161" ht="29" customHeight="1">
      <x:c r="A161" s="199">
        <x:v>157</x:v>
      </x:c>
      <x:c r="B161" s="162"/>
      <x:c r="C161" s="163"/>
      <x:c r="D161" s="163"/>
      <x:c r="E161" s="164"/>
      <x:c r="F161" s="163"/>
      <x:c r="G161" s="185">
        <x:f t="shared" si="4"/>
        <x:v>0</x:v>
      </x:c>
      <x:c r="H161" s="185">
        <x:f t="shared" si="5"/>
        <x:v>0</x:v>
      </x:c>
      <x:c r="I161" s="186">
        <x:f>IF(AND(B161="",C161="",D161="",E161="",F161=""),"",IF(OR(B161="",C161="",E161=""),"БЛОК: нужны дата, тип операции и сумма",IF(N(E161)&lt;=0,"БЛОК: сумма должна быть больше нуля",IF(AND(H161&lt;&gt;0,F161=""),"БЛОК: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отделить",IF(AND(G161&lt;&gt;0,F161=""),"БЛОК: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нельзя",IF(AND(F161&lt;&gt;"",COUNTIF('Долг по актам'!$B$5:$B$34,F161)=0),"БЛОК: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договору")&gt;0)*($C$5:$C$504&lt;&gt;C161)*($E$5:$E$504=E161)*(($D$5:$D$504=D161)*(D161&lt;&gt;"")+($B$5:$B$504=B161)*(B161&lt;&gt;"")&gt;0))&gt;0,"БЛОК: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операцию",IF(AND(C161="Оплата",K161&lt;&gt;"Отдельный платёж — не сам аванс (сверено с выпиской банка)",OR(COUNTIFS($C$5:$C$504,"Зачёт аванса по договору",$E$5:$E$504,E161)&gt;0,ROUND(E161-$M$6,2)=0)),"БЛОК: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1" s="185" t="str">
        <x:f>IF(AND(B161="",C161="",E161=""),"",SUM($G$5:G161))</x:f>
        <x:v/>
      </x:c>
      <x:c r="K161" s="178"/>
      <x:c r="L161" s="46"/>
      <x:c r="M161" s="46"/>
    </x:row>
    <x:row r="162" ht="29" customHeight="1">
      <x:c r="A162" s="199">
        <x:v>158</x:v>
      </x:c>
      <x:c r="B162" s="162"/>
      <x:c r="C162" s="163"/>
      <x:c r="D162" s="163"/>
      <x:c r="E162" s="164"/>
      <x:c r="F162" s="163"/>
      <x:c r="G162" s="185">
        <x:f t="shared" si="4"/>
        <x:v>0</x:v>
      </x:c>
      <x:c r="H162" s="185">
        <x:f t="shared" si="5"/>
        <x:v>0</x:v>
      </x:c>
      <x:c r="I162" s="186">
        <x:f>IF(AND(B162="",C162="",D162="",E162="",F162=""),"",IF(OR(B162="",C162="",E162=""),"БЛОК: нужны дата, тип операции и сумма",IF(N(E162)&lt;=0,"БЛОК: сумма должна быть больше нуля",IF(AND(H162&lt;&gt;0,F162=""),"БЛОК: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отделить",IF(AND(G162&lt;&gt;0,F162=""),"БЛОК: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нельзя",IF(AND(F162&lt;&gt;"",COUNTIF('Долг по актам'!$B$5:$B$34,F162)=0),"БЛОК: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договору")&gt;0)*($C$5:$C$504&lt;&gt;C162)*($E$5:$E$504=E162)*(($D$5:$D$504=D162)*(D162&lt;&gt;"")+($B$5:$B$504=B162)*(B162&lt;&gt;"")&gt;0))&gt;0,"БЛОК: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операцию",IF(AND(C162="Оплата",K162&lt;&gt;"Отдельный платёж — не сам аванс (сверено с выпиской банка)",OR(COUNTIFS($C$5:$C$504,"Зачёт аванса по договору",$E$5:$E$504,E162)&gt;0,ROUND(E162-$M$6,2)=0)),"БЛОК: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2" s="185" t="str">
        <x:f>IF(AND(B162="",C162="",E162=""),"",SUM($G$5:G162))</x:f>
        <x:v/>
      </x:c>
      <x:c r="K162" s="178"/>
      <x:c r="L162" s="46"/>
      <x:c r="M162" s="46"/>
    </x:row>
    <x:row r="163" ht="29" customHeight="1">
      <x:c r="A163" s="199">
        <x:v>159</x:v>
      </x:c>
      <x:c r="B163" s="162"/>
      <x:c r="C163" s="163"/>
      <x:c r="D163" s="163"/>
      <x:c r="E163" s="164"/>
      <x:c r="F163" s="163"/>
      <x:c r="G163" s="185">
        <x:f t="shared" si="4"/>
        <x:v>0</x:v>
      </x:c>
      <x:c r="H163" s="185">
        <x:f t="shared" si="5"/>
        <x:v>0</x:v>
      </x:c>
      <x:c r="I163" s="186">
        <x:f>IF(AND(B163="",C163="",D163="",E163="",F163=""),"",IF(OR(B163="",C163="",E163=""),"БЛОК: нужны дата, тип операции и сумма",IF(N(E163)&lt;=0,"БЛОК: сумма должна быть больше нуля",IF(AND(H163&lt;&gt;0,F163=""),"БЛОК: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отделить",IF(AND(G163&lt;&gt;0,F163=""),"БЛОК: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нельзя",IF(AND(F163&lt;&gt;"",COUNTIF('Долг по актам'!$B$5:$B$34,F163)=0),"БЛОК: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договору")&gt;0)*($C$5:$C$504&lt;&gt;C163)*($E$5:$E$504=E163)*(($D$5:$D$504=D163)*(D163&lt;&gt;"")+($B$5:$B$504=B163)*(B163&lt;&gt;"")&gt;0))&gt;0,"БЛОК: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операцию",IF(AND(C163="Оплата",K163&lt;&gt;"Отдельный платёж — не сам аванс (сверено с выпиской банка)",OR(COUNTIFS($C$5:$C$504,"Зачёт аванса по договору",$E$5:$E$504,E163)&gt;0,ROUND(E163-$M$6,2)=0)),"БЛОК: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3" s="185" t="str">
        <x:f>IF(AND(B163="",C163="",E163=""),"",SUM($G$5:G163))</x:f>
        <x:v/>
      </x:c>
      <x:c r="K163" s="178"/>
      <x:c r="L163" s="46"/>
      <x:c r="M163" s="46"/>
    </x:row>
    <x:row r="164" ht="29" customHeight="1">
      <x:c r="A164" s="199">
        <x:v>160</x:v>
      </x:c>
      <x:c r="B164" s="162"/>
      <x:c r="C164" s="163"/>
      <x:c r="D164" s="163"/>
      <x:c r="E164" s="164"/>
      <x:c r="F164" s="163"/>
      <x:c r="G164" s="185">
        <x:f t="shared" si="4"/>
        <x:v>0</x:v>
      </x:c>
      <x:c r="H164" s="185">
        <x:f t="shared" si="5"/>
        <x:v>0</x:v>
      </x:c>
      <x:c r="I164" s="186">
        <x:f>IF(AND(B164="",C164="",D164="",E164="",F164=""),"",IF(OR(B164="",C164="",E164=""),"БЛОК: нужны дата, тип операции и сумма",IF(N(E164)&lt;=0,"БЛОК: сумма должна быть больше нуля",IF(AND(H164&lt;&gt;0,F164=""),"БЛОК: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отделить",IF(AND(G164&lt;&gt;0,F164=""),"БЛОК: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нельзя",IF(AND(F164&lt;&gt;"",COUNTIF('Долг по актам'!$B$5:$B$34,F164)=0),"БЛОК: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договору")&gt;0)*($C$5:$C$504&lt;&gt;C164)*($E$5:$E$504=E164)*(($D$5:$D$504=D164)*(D164&lt;&gt;"")+($B$5:$B$504=B164)*(B164&lt;&gt;"")&gt;0))&gt;0,"БЛОК: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операцию",IF(AND(C164="Оплата",K164&lt;&gt;"Отдельный платёж — не сам аванс (сверено с выпиской банка)",OR(COUNTIFS($C$5:$C$504,"Зачёт аванса по договору",$E$5:$E$504,E164)&gt;0,ROUND(E164-$M$6,2)=0)),"БЛОК: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4" s="185" t="str">
        <x:f>IF(AND(B164="",C164="",E164=""),"",SUM($G$5:G164))</x:f>
        <x:v/>
      </x:c>
      <x:c r="K164" s="178"/>
      <x:c r="L164" s="46"/>
      <x:c r="M164" s="46"/>
    </x:row>
    <x:row r="165" ht="29" customHeight="1">
      <x:c r="A165" s="199">
        <x:v>161</x:v>
      </x:c>
      <x:c r="B165" s="162"/>
      <x:c r="C165" s="163"/>
      <x:c r="D165" s="163"/>
      <x:c r="E165" s="164"/>
      <x:c r="F165" s="163"/>
      <x:c r="G165" s="185">
        <x:f t="shared" si="4"/>
        <x:v>0</x:v>
      </x:c>
      <x:c r="H165" s="185">
        <x:f t="shared" si="5"/>
        <x:v>0</x:v>
      </x:c>
      <x:c r="I165" s="186">
        <x:f>IF(AND(B165="",C165="",D165="",E165="",F165=""),"",IF(OR(B165="",C165="",E165=""),"БЛОК: нужны дата, тип операции и сумма",IF(N(E165)&lt;=0,"БЛОК: сумма должна быть больше нуля",IF(AND(H165&lt;&gt;0,F165=""),"БЛОК: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отделить",IF(AND(G165&lt;&gt;0,F165=""),"БЛОК: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нельзя",IF(AND(F165&lt;&gt;"",COUNTIF('Долг по актам'!$B$5:$B$34,F165)=0),"БЛОК: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договору")&gt;0)*($C$5:$C$504&lt;&gt;C165)*($E$5:$E$504=E165)*(($D$5:$D$504=D165)*(D165&lt;&gt;"")+($B$5:$B$504=B165)*(B165&lt;&gt;"")&gt;0))&gt;0,"БЛОК: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операцию",IF(AND(C165="Оплата",K165&lt;&gt;"Отдельный платёж — не сам аванс (сверено с выпиской банка)",OR(COUNTIFS($C$5:$C$504,"Зачёт аванса по договору",$E$5:$E$504,E165)&gt;0,ROUND(E165-$M$6,2)=0)),"БЛОК: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5" s="185" t="str">
        <x:f>IF(AND(B165="",C165="",E165=""),"",SUM($G$5:G165))</x:f>
        <x:v/>
      </x:c>
      <x:c r="K165" s="178"/>
      <x:c r="L165" s="46"/>
      <x:c r="M165" s="46"/>
    </x:row>
    <x:row r="166" ht="29" customHeight="1">
      <x:c r="A166" s="199">
        <x:v>162</x:v>
      </x:c>
      <x:c r="B166" s="162"/>
      <x:c r="C166" s="163"/>
      <x:c r="D166" s="163"/>
      <x:c r="E166" s="164"/>
      <x:c r="F166" s="163"/>
      <x:c r="G166" s="185">
        <x:f t="shared" si="4"/>
        <x:v>0</x:v>
      </x:c>
      <x:c r="H166" s="185">
        <x:f t="shared" si="5"/>
        <x:v>0</x:v>
      </x:c>
      <x:c r="I166" s="186">
        <x:f>IF(AND(B166="",C166="",D166="",E166="",F166=""),"",IF(OR(B166="",C166="",E166=""),"БЛОК: нужны дата, тип операции и сумма",IF(N(E166)&lt;=0,"БЛОК: сумма должна быть больше нуля",IF(AND(H166&lt;&gt;0,F166=""),"БЛОК: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отделить",IF(AND(G166&lt;&gt;0,F166=""),"БЛОК: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нельзя",IF(AND(F166&lt;&gt;"",COUNTIF('Долг по актам'!$B$5:$B$34,F166)=0),"БЛОК: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договору")&gt;0)*($C$5:$C$504&lt;&gt;C166)*($E$5:$E$504=E166)*(($D$5:$D$504=D166)*(D166&lt;&gt;"")+($B$5:$B$504=B166)*(B166&lt;&gt;"")&gt;0))&gt;0,"БЛОК: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операцию",IF(AND(C166="Оплата",K166&lt;&gt;"Отдельный платёж — не сам аванс (сверено с выпиской банка)",OR(COUNTIFS($C$5:$C$504,"Зачёт аванса по договору",$E$5:$E$504,E166)&gt;0,ROUND(E166-$M$6,2)=0)),"БЛОК: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6" s="185" t="str">
        <x:f>IF(AND(B166="",C166="",E166=""),"",SUM($G$5:G166))</x:f>
        <x:v/>
      </x:c>
      <x:c r="K166" s="178"/>
      <x:c r="L166" s="46"/>
      <x:c r="M166" s="46"/>
    </x:row>
    <x:row r="167" ht="29" customHeight="1">
      <x:c r="A167" s="199">
        <x:v>163</x:v>
      </x:c>
      <x:c r="B167" s="162"/>
      <x:c r="C167" s="163"/>
      <x:c r="D167" s="163"/>
      <x:c r="E167" s="164"/>
      <x:c r="F167" s="163"/>
      <x:c r="G167" s="185">
        <x:f t="shared" si="4"/>
        <x:v>0</x:v>
      </x:c>
      <x:c r="H167" s="185">
        <x:f t="shared" si="5"/>
        <x:v>0</x:v>
      </x:c>
      <x:c r="I167" s="186">
        <x:f>IF(AND(B167="",C167="",D167="",E167="",F167=""),"",IF(OR(B167="",C167="",E167=""),"БЛОК: нужны дата, тип операции и сумма",IF(N(E167)&lt;=0,"БЛОК: сумма должна быть больше нуля",IF(AND(H167&lt;&gt;0,F167=""),"БЛОК: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отделить",IF(AND(G167&lt;&gt;0,F167=""),"БЛОК: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нельзя",IF(AND(F167&lt;&gt;"",COUNTIF('Долг по актам'!$B$5:$B$34,F167)=0),"БЛОК: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договору")&gt;0)*($C$5:$C$504&lt;&gt;C167)*($E$5:$E$504=E167)*(($D$5:$D$504=D167)*(D167&lt;&gt;"")+($B$5:$B$504=B167)*(B167&lt;&gt;"")&gt;0))&gt;0,"БЛОК: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операцию",IF(AND(C167="Оплата",K167&lt;&gt;"Отдельный платёж — не сам аванс (сверено с выпиской банка)",OR(COUNTIFS($C$5:$C$504,"Зачёт аванса по договору",$E$5:$E$504,E167)&gt;0,ROUND(E167-$M$6,2)=0)),"БЛОК: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7" s="185" t="str">
        <x:f>IF(AND(B167="",C167="",E167=""),"",SUM($G$5:G167))</x:f>
        <x:v/>
      </x:c>
      <x:c r="K167" s="178"/>
      <x:c r="L167" s="46"/>
      <x:c r="M167" s="46"/>
    </x:row>
    <x:row r="168" ht="29" customHeight="1">
      <x:c r="A168" s="199">
        <x:v>164</x:v>
      </x:c>
      <x:c r="B168" s="162"/>
      <x:c r="C168" s="163"/>
      <x:c r="D168" s="163"/>
      <x:c r="E168" s="164"/>
      <x:c r="F168" s="163"/>
      <x:c r="G168" s="185">
        <x:f t="shared" si="4"/>
        <x:v>0</x:v>
      </x:c>
      <x:c r="H168" s="185">
        <x:f t="shared" si="5"/>
        <x:v>0</x:v>
      </x:c>
      <x:c r="I168" s="186">
        <x:f>IF(AND(B168="",C168="",D168="",E168="",F168=""),"",IF(OR(B168="",C168="",E168=""),"БЛОК: нужны дата, тип операции и сумма",IF(N(E168)&lt;=0,"БЛОК: сумма должна быть больше нуля",IF(AND(H168&lt;&gt;0,F168=""),"БЛОК: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отделить",IF(AND(G168&lt;&gt;0,F168=""),"БЛОК: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нельзя",IF(AND(F168&lt;&gt;"",COUNTIF('Долг по актам'!$B$5:$B$34,F168)=0),"БЛОК: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договору")&gt;0)*($C$5:$C$504&lt;&gt;C168)*($E$5:$E$504=E168)*(($D$5:$D$504=D168)*(D168&lt;&gt;"")+($B$5:$B$504=B168)*(B168&lt;&gt;"")&gt;0))&gt;0,"БЛОК: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операцию",IF(AND(C168="Оплата",K168&lt;&gt;"Отдельный платёж — не сам аванс (сверено с выпиской банка)",OR(COUNTIFS($C$5:$C$504,"Зачёт аванса по договору",$E$5:$E$504,E168)&gt;0,ROUND(E168-$M$6,2)=0)),"БЛОК: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8" s="185" t="str">
        <x:f>IF(AND(B168="",C168="",E168=""),"",SUM($G$5:G168))</x:f>
        <x:v/>
      </x:c>
      <x:c r="K168" s="178"/>
      <x:c r="L168" s="46"/>
      <x:c r="M168" s="46"/>
    </x:row>
    <x:row r="169" ht="29" customHeight="1">
      <x:c r="A169" s="199">
        <x:v>165</x:v>
      </x:c>
      <x:c r="B169" s="162"/>
      <x:c r="C169" s="163"/>
      <x:c r="D169" s="163"/>
      <x:c r="E169" s="164"/>
      <x:c r="F169" s="163"/>
      <x:c r="G169" s="185">
        <x:f t="shared" si="4"/>
        <x:v>0</x:v>
      </x:c>
      <x:c r="H169" s="185">
        <x:f t="shared" si="5"/>
        <x:v>0</x:v>
      </x:c>
      <x:c r="I169" s="186">
        <x:f>IF(AND(B169="",C169="",D169="",E169="",F169=""),"",IF(OR(B169="",C169="",E169=""),"БЛОК: нужны дата, тип операции и сумма",IF(N(E169)&lt;=0,"БЛОК: сумма должна быть больше нуля",IF(AND(H169&lt;&gt;0,F169=""),"БЛОК: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отделить",IF(AND(G169&lt;&gt;0,F169=""),"БЛОК: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нельзя",IF(AND(F169&lt;&gt;"",COUNTIF('Долг по актам'!$B$5:$B$34,F169)=0),"БЛОК: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договору")&gt;0)*($C$5:$C$504&lt;&gt;C169)*($E$5:$E$504=E169)*(($D$5:$D$504=D169)*(D169&lt;&gt;"")+($B$5:$B$504=B169)*(B169&lt;&gt;"")&gt;0))&gt;0,"БЛОК: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операцию",IF(AND(C169="Оплата",K169&lt;&gt;"Отдельный платёж — не сам аванс (сверено с выпиской банка)",OR(COUNTIFS($C$5:$C$504,"Зачёт аванса по договору",$E$5:$E$504,E169)&gt;0,ROUND(E169-$M$6,2)=0)),"БЛОК: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69" s="185" t="str">
        <x:f>IF(AND(B169="",C169="",E169=""),"",SUM($G$5:G169))</x:f>
        <x:v/>
      </x:c>
      <x:c r="K169" s="178"/>
      <x:c r="L169" s="46"/>
      <x:c r="M169" s="46"/>
    </x:row>
    <x:row r="170" ht="29" customHeight="1">
      <x:c r="A170" s="199">
        <x:v>166</x:v>
      </x:c>
      <x:c r="B170" s="162"/>
      <x:c r="C170" s="163"/>
      <x:c r="D170" s="163"/>
      <x:c r="E170" s="164"/>
      <x:c r="F170" s="163"/>
      <x:c r="G170" s="185">
        <x:f t="shared" si="4"/>
        <x:v>0</x:v>
      </x:c>
      <x:c r="H170" s="185">
        <x:f t="shared" si="5"/>
        <x:v>0</x:v>
      </x:c>
      <x:c r="I170" s="186">
        <x:f>IF(AND(B170="",C170="",D170="",E170="",F170=""),"",IF(OR(B170="",C170="",E170=""),"БЛОК: нужны дата, тип операции и сумма",IF(N(E170)&lt;=0,"БЛОК: сумма должна быть больше нуля",IF(AND(H170&lt;&gt;0,F170=""),"БЛОК: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отделить",IF(AND(G170&lt;&gt;0,F170=""),"БЛОК: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нельзя",IF(AND(F170&lt;&gt;"",COUNTIF('Долг по актам'!$B$5:$B$34,F170)=0),"БЛОК: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договору")&gt;0)*($C$5:$C$504&lt;&gt;C170)*($E$5:$E$504=E170)*(($D$5:$D$504=D170)*(D170&lt;&gt;"")+($B$5:$B$504=B170)*(B170&lt;&gt;"")&gt;0))&gt;0,"БЛОК: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операцию",IF(AND(C170="Оплата",K170&lt;&gt;"Отдельный платёж — не сам аванс (сверено с выпиской банка)",OR(COUNTIFS($C$5:$C$504,"Зачёт аванса по договору",$E$5:$E$504,E170)&gt;0,ROUND(E170-$M$6,2)=0)),"БЛОК: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0" s="185" t="str">
        <x:f>IF(AND(B170="",C170="",E170=""),"",SUM($G$5:G170))</x:f>
        <x:v/>
      </x:c>
      <x:c r="K170" s="178"/>
      <x:c r="L170" s="46"/>
      <x:c r="M170" s="46"/>
    </x:row>
    <x:row r="171" ht="29" customHeight="1">
      <x:c r="A171" s="199">
        <x:v>167</x:v>
      </x:c>
      <x:c r="B171" s="162"/>
      <x:c r="C171" s="163"/>
      <x:c r="D171" s="163"/>
      <x:c r="E171" s="164"/>
      <x:c r="F171" s="163"/>
      <x:c r="G171" s="185">
        <x:f t="shared" si="4"/>
        <x:v>0</x:v>
      </x:c>
      <x:c r="H171" s="185">
        <x:f t="shared" si="5"/>
        <x:v>0</x:v>
      </x:c>
      <x:c r="I171" s="186">
        <x:f>IF(AND(B171="",C171="",D171="",E171="",F171=""),"",IF(OR(B171="",C171="",E171=""),"БЛОК: нужны дата, тип операции и сумма",IF(N(E171)&lt;=0,"БЛОК: сумма должна быть больше нуля",IF(AND(H171&lt;&gt;0,F171=""),"БЛОК: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отделить",IF(AND(G171&lt;&gt;0,F171=""),"БЛОК: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нельзя",IF(AND(F171&lt;&gt;"",COUNTIF('Долг по актам'!$B$5:$B$34,F171)=0),"БЛОК: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договору")&gt;0)*($C$5:$C$504&lt;&gt;C171)*($E$5:$E$504=E171)*(($D$5:$D$504=D171)*(D171&lt;&gt;"")+($B$5:$B$504=B171)*(B171&lt;&gt;"")&gt;0))&gt;0,"БЛОК: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операцию",IF(AND(C171="Оплата",K171&lt;&gt;"Отдельный платёж — не сам аванс (сверено с выпиской банка)",OR(COUNTIFS($C$5:$C$504,"Зачёт аванса по договору",$E$5:$E$504,E171)&gt;0,ROUND(E171-$M$6,2)=0)),"БЛОК: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1" s="185" t="str">
        <x:f>IF(AND(B171="",C171="",E171=""),"",SUM($G$5:G171))</x:f>
        <x:v/>
      </x:c>
      <x:c r="K171" s="178"/>
      <x:c r="L171" s="46"/>
      <x:c r="M171" s="46"/>
    </x:row>
    <x:row r="172" ht="29" customHeight="1">
      <x:c r="A172" s="199">
        <x:v>168</x:v>
      </x:c>
      <x:c r="B172" s="162"/>
      <x:c r="C172" s="163"/>
      <x:c r="D172" s="163"/>
      <x:c r="E172" s="164"/>
      <x:c r="F172" s="163"/>
      <x:c r="G172" s="185">
        <x:f t="shared" si="4"/>
        <x:v>0</x:v>
      </x:c>
      <x:c r="H172" s="185">
        <x:f t="shared" si="5"/>
        <x:v>0</x:v>
      </x:c>
      <x:c r="I172" s="186">
        <x:f>IF(AND(B172="",C172="",D172="",E172="",F172=""),"",IF(OR(B172="",C172="",E172=""),"БЛОК: нужны дата, тип операции и сумма",IF(N(E172)&lt;=0,"БЛОК: сумма должна быть больше нуля",IF(AND(H172&lt;&gt;0,F172=""),"БЛОК: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отделить",IF(AND(G172&lt;&gt;0,F172=""),"БЛОК: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нельзя",IF(AND(F172&lt;&gt;"",COUNTIF('Долг по актам'!$B$5:$B$34,F172)=0),"БЛОК: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договору")&gt;0)*($C$5:$C$504&lt;&gt;C172)*($E$5:$E$504=E172)*(($D$5:$D$504=D172)*(D172&lt;&gt;"")+($B$5:$B$504=B172)*(B172&lt;&gt;"")&gt;0))&gt;0,"БЛОК: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операцию",IF(AND(C172="Оплата",K172&lt;&gt;"Отдельный платёж — не сам аванс (сверено с выпиской банка)",OR(COUNTIFS($C$5:$C$504,"Зачёт аванса по договору",$E$5:$E$504,E172)&gt;0,ROUND(E172-$M$6,2)=0)),"БЛОК: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2" s="185" t="str">
        <x:f>IF(AND(B172="",C172="",E172=""),"",SUM($G$5:G172))</x:f>
        <x:v/>
      </x:c>
      <x:c r="K172" s="178"/>
      <x:c r="L172" s="46"/>
      <x:c r="M172" s="46"/>
    </x:row>
    <x:row r="173" ht="29" customHeight="1">
      <x:c r="A173" s="199">
        <x:v>169</x:v>
      </x:c>
      <x:c r="B173" s="162"/>
      <x:c r="C173" s="163"/>
      <x:c r="D173" s="163"/>
      <x:c r="E173" s="164"/>
      <x:c r="F173" s="163"/>
      <x:c r="G173" s="185">
        <x:f t="shared" si="4"/>
        <x:v>0</x:v>
      </x:c>
      <x:c r="H173" s="185">
        <x:f t="shared" si="5"/>
        <x:v>0</x:v>
      </x:c>
      <x:c r="I173" s="186">
        <x:f>IF(AND(B173="",C173="",D173="",E173="",F173=""),"",IF(OR(B173="",C173="",E173=""),"БЛОК: нужны дата, тип операции и сумма",IF(N(E173)&lt;=0,"БЛОК: сумма должна быть больше нуля",IF(AND(H173&lt;&gt;0,F173=""),"БЛОК: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отделить",IF(AND(G173&lt;&gt;0,F173=""),"БЛОК: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нельзя",IF(AND(F173&lt;&gt;"",COUNTIF('Долг по актам'!$B$5:$B$34,F173)=0),"БЛОК: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договору")&gt;0)*($C$5:$C$504&lt;&gt;C173)*($E$5:$E$504=E173)*(($D$5:$D$504=D173)*(D173&lt;&gt;"")+($B$5:$B$504=B173)*(B173&lt;&gt;"")&gt;0))&gt;0,"БЛОК: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операцию",IF(AND(C173="Оплата",K173&lt;&gt;"Отдельный платёж — не сам аванс (сверено с выпиской банка)",OR(COUNTIFS($C$5:$C$504,"Зачёт аванса по договору",$E$5:$E$504,E173)&gt;0,ROUND(E173-$M$6,2)=0)),"БЛОК: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3" s="185" t="str">
        <x:f>IF(AND(B173="",C173="",E173=""),"",SUM($G$5:G173))</x:f>
        <x:v/>
      </x:c>
      <x:c r="K173" s="178"/>
      <x:c r="L173" s="46"/>
      <x:c r="M173" s="46"/>
    </x:row>
    <x:row r="174" ht="29" customHeight="1">
      <x:c r="A174" s="199">
        <x:v>170</x:v>
      </x:c>
      <x:c r="B174" s="162"/>
      <x:c r="C174" s="163"/>
      <x:c r="D174" s="163"/>
      <x:c r="E174" s="164"/>
      <x:c r="F174" s="163"/>
      <x:c r="G174" s="185">
        <x:f t="shared" si="4"/>
        <x:v>0</x:v>
      </x:c>
      <x:c r="H174" s="185">
        <x:f t="shared" si="5"/>
        <x:v>0</x:v>
      </x:c>
      <x:c r="I174" s="186">
        <x:f>IF(AND(B174="",C174="",D174="",E174="",F174=""),"",IF(OR(B174="",C174="",E174=""),"БЛОК: нужны дата, тип операции и сумма",IF(N(E174)&lt;=0,"БЛОК: сумма должна быть больше нуля",IF(AND(H174&lt;&gt;0,F174=""),"БЛОК: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отделить",IF(AND(G174&lt;&gt;0,F174=""),"БЛОК: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нельзя",IF(AND(F174&lt;&gt;"",COUNTIF('Долг по актам'!$B$5:$B$34,F174)=0),"БЛОК: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договору")&gt;0)*($C$5:$C$504&lt;&gt;C174)*($E$5:$E$504=E174)*(($D$5:$D$504=D174)*(D174&lt;&gt;"")+($B$5:$B$504=B174)*(B174&lt;&gt;"")&gt;0))&gt;0,"БЛОК: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операцию",IF(AND(C174="Оплата",K174&lt;&gt;"Отдельный платёж — не сам аванс (сверено с выпиской банка)",OR(COUNTIFS($C$5:$C$504,"Зачёт аванса по договору",$E$5:$E$504,E174)&gt;0,ROUND(E174-$M$6,2)=0)),"БЛОК: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4" s="185" t="str">
        <x:f>IF(AND(B174="",C174="",E174=""),"",SUM($G$5:G174))</x:f>
        <x:v/>
      </x:c>
      <x:c r="K174" s="178"/>
      <x:c r="L174" s="46"/>
      <x:c r="M174" s="46"/>
    </x:row>
    <x:row r="175" ht="29" customHeight="1">
      <x:c r="A175" s="199">
        <x:v>171</x:v>
      </x:c>
      <x:c r="B175" s="162"/>
      <x:c r="C175" s="163"/>
      <x:c r="D175" s="163"/>
      <x:c r="E175" s="164"/>
      <x:c r="F175" s="163"/>
      <x:c r="G175" s="185">
        <x:f t="shared" si="4"/>
        <x:v>0</x:v>
      </x:c>
      <x:c r="H175" s="185">
        <x:f t="shared" si="5"/>
        <x:v>0</x:v>
      </x:c>
      <x:c r="I175" s="186">
        <x:f>IF(AND(B175="",C175="",D175="",E175="",F175=""),"",IF(OR(B175="",C175="",E175=""),"БЛОК: нужны дата, тип операции и сумма",IF(N(E175)&lt;=0,"БЛОК: сумма должна быть больше нуля",IF(AND(H175&lt;&gt;0,F175=""),"БЛОК: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отделить",IF(AND(G175&lt;&gt;0,F175=""),"БЛОК: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нельзя",IF(AND(F175&lt;&gt;"",COUNTIF('Долг по актам'!$B$5:$B$34,F175)=0),"БЛОК: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договору")&gt;0)*($C$5:$C$504&lt;&gt;C175)*($E$5:$E$504=E175)*(($D$5:$D$504=D175)*(D175&lt;&gt;"")+($B$5:$B$504=B175)*(B175&lt;&gt;"")&gt;0))&gt;0,"БЛОК: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операцию",IF(AND(C175="Оплата",K175&lt;&gt;"Отдельный платёж — не сам аванс (сверено с выпиской банка)",OR(COUNTIFS($C$5:$C$504,"Зачёт аванса по договору",$E$5:$E$504,E175)&gt;0,ROUND(E175-$M$6,2)=0)),"БЛОК: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5" s="185" t="str">
        <x:f>IF(AND(B175="",C175="",E175=""),"",SUM($G$5:G175))</x:f>
        <x:v/>
      </x:c>
      <x:c r="K175" s="178"/>
      <x:c r="L175" s="46"/>
      <x:c r="M175" s="46"/>
    </x:row>
    <x:row r="176" ht="29" customHeight="1">
      <x:c r="A176" s="199">
        <x:v>172</x:v>
      </x:c>
      <x:c r="B176" s="162"/>
      <x:c r="C176" s="163"/>
      <x:c r="D176" s="163"/>
      <x:c r="E176" s="164"/>
      <x:c r="F176" s="163"/>
      <x:c r="G176" s="185">
        <x:f t="shared" si="4"/>
        <x:v>0</x:v>
      </x:c>
      <x:c r="H176" s="185">
        <x:f t="shared" si="5"/>
        <x:v>0</x:v>
      </x:c>
      <x:c r="I176" s="186">
        <x:f>IF(AND(B176="",C176="",D176="",E176="",F176=""),"",IF(OR(B176="",C176="",E176=""),"БЛОК: нужны дата, тип операции и сумма",IF(N(E176)&lt;=0,"БЛОК: сумма должна быть больше нуля",IF(AND(H176&lt;&gt;0,F176=""),"БЛОК: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отделить",IF(AND(G176&lt;&gt;0,F176=""),"БЛОК: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нельзя",IF(AND(F176&lt;&gt;"",COUNTIF('Долг по актам'!$B$5:$B$34,F176)=0),"БЛОК: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договору")&gt;0)*($C$5:$C$504&lt;&gt;C176)*($E$5:$E$504=E176)*(($D$5:$D$504=D176)*(D176&lt;&gt;"")+($B$5:$B$504=B176)*(B176&lt;&gt;"")&gt;0))&gt;0,"БЛОК: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операцию",IF(AND(C176="Оплата",K176&lt;&gt;"Отдельный платёж — не сам аванс (сверено с выпиской банка)",OR(COUNTIFS($C$5:$C$504,"Зачёт аванса по договору",$E$5:$E$504,E176)&gt;0,ROUND(E176-$M$6,2)=0)),"БЛОК: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6" s="185" t="str">
        <x:f>IF(AND(B176="",C176="",E176=""),"",SUM($G$5:G176))</x:f>
        <x:v/>
      </x:c>
      <x:c r="K176" s="178"/>
      <x:c r="L176" s="46"/>
      <x:c r="M176" s="46"/>
    </x:row>
    <x:row r="177" ht="29" customHeight="1">
      <x:c r="A177" s="199">
        <x:v>173</x:v>
      </x:c>
      <x:c r="B177" s="162"/>
      <x:c r="C177" s="163"/>
      <x:c r="D177" s="163"/>
      <x:c r="E177" s="164"/>
      <x:c r="F177" s="163"/>
      <x:c r="G177" s="185">
        <x:f t="shared" si="4"/>
        <x:v>0</x:v>
      </x:c>
      <x:c r="H177" s="185">
        <x:f t="shared" si="5"/>
        <x:v>0</x:v>
      </x:c>
      <x:c r="I177" s="186">
        <x:f>IF(AND(B177="",C177="",D177="",E177="",F177=""),"",IF(OR(B177="",C177="",E177=""),"БЛОК: нужны дата, тип операции и сумма",IF(N(E177)&lt;=0,"БЛОК: сумма должна быть больше нуля",IF(AND(H177&lt;&gt;0,F177=""),"БЛОК: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отделить",IF(AND(G177&lt;&gt;0,F177=""),"БЛОК: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нельзя",IF(AND(F177&lt;&gt;"",COUNTIF('Долг по актам'!$B$5:$B$34,F177)=0),"БЛОК: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договору")&gt;0)*($C$5:$C$504&lt;&gt;C177)*($E$5:$E$504=E177)*(($D$5:$D$504=D177)*(D177&lt;&gt;"")+($B$5:$B$504=B177)*(B177&lt;&gt;"")&gt;0))&gt;0,"БЛОК: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операцию",IF(AND(C177="Оплата",K177&lt;&gt;"Отдельный платёж — не сам аванс (сверено с выпиской банка)",OR(COUNTIFS($C$5:$C$504,"Зачёт аванса по договору",$E$5:$E$504,E177)&gt;0,ROUND(E177-$M$6,2)=0)),"БЛОК: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7" s="185" t="str">
        <x:f>IF(AND(B177="",C177="",E177=""),"",SUM($G$5:G177))</x:f>
        <x:v/>
      </x:c>
      <x:c r="K177" s="178"/>
      <x:c r="L177" s="46"/>
      <x:c r="M177" s="46"/>
    </x:row>
    <x:row r="178" ht="29" customHeight="1">
      <x:c r="A178" s="199">
        <x:v>174</x:v>
      </x:c>
      <x:c r="B178" s="162"/>
      <x:c r="C178" s="163"/>
      <x:c r="D178" s="163"/>
      <x:c r="E178" s="164"/>
      <x:c r="F178" s="163"/>
      <x:c r="G178" s="185">
        <x:f t="shared" si="4"/>
        <x:v>0</x:v>
      </x:c>
      <x:c r="H178" s="185">
        <x:f t="shared" si="5"/>
        <x:v>0</x:v>
      </x:c>
      <x:c r="I178" s="186">
        <x:f>IF(AND(B178="",C178="",D178="",E178="",F178=""),"",IF(OR(B178="",C178="",E178=""),"БЛОК: нужны дата, тип операции и сумма",IF(N(E178)&lt;=0,"БЛОК: сумма должна быть больше нуля",IF(AND(H178&lt;&gt;0,F178=""),"БЛОК: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отделить",IF(AND(G178&lt;&gt;0,F178=""),"БЛОК: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нельзя",IF(AND(F178&lt;&gt;"",COUNTIF('Долг по актам'!$B$5:$B$34,F178)=0),"БЛОК: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договору")&gt;0)*($C$5:$C$504&lt;&gt;C178)*($E$5:$E$504=E178)*(($D$5:$D$504=D178)*(D178&lt;&gt;"")+($B$5:$B$504=B178)*(B178&lt;&gt;"")&gt;0))&gt;0,"БЛОК: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операцию",IF(AND(C178="Оплата",K178&lt;&gt;"Отдельный платёж — не сам аванс (сверено с выпиской банка)",OR(COUNTIFS($C$5:$C$504,"Зачёт аванса по договору",$E$5:$E$504,E178)&gt;0,ROUND(E178-$M$6,2)=0)),"БЛОК: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8" s="185" t="str">
        <x:f>IF(AND(B178="",C178="",E178=""),"",SUM($G$5:G178))</x:f>
        <x:v/>
      </x:c>
      <x:c r="K178" s="178"/>
      <x:c r="L178" s="46"/>
      <x:c r="M178" s="46"/>
    </x:row>
    <x:row r="179" ht="29" customHeight="1">
      <x:c r="A179" s="199">
        <x:v>175</x:v>
      </x:c>
      <x:c r="B179" s="162"/>
      <x:c r="C179" s="163"/>
      <x:c r="D179" s="163"/>
      <x:c r="E179" s="164"/>
      <x:c r="F179" s="163"/>
      <x:c r="G179" s="185">
        <x:f t="shared" si="4"/>
        <x:v>0</x:v>
      </x:c>
      <x:c r="H179" s="185">
        <x:f t="shared" si="5"/>
        <x:v>0</x:v>
      </x:c>
      <x:c r="I179" s="186">
        <x:f>IF(AND(B179="",C179="",D179="",E179="",F179=""),"",IF(OR(B179="",C179="",E179=""),"БЛОК: нужны дата, тип операции и сумма",IF(N(E179)&lt;=0,"БЛОК: сумма должна быть больше нуля",IF(AND(H179&lt;&gt;0,F179=""),"БЛОК: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отделить",IF(AND(G179&lt;&gt;0,F179=""),"БЛОК: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нельзя",IF(AND(F179&lt;&gt;"",COUNTIF('Долг по актам'!$B$5:$B$34,F179)=0),"БЛОК: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договору")&gt;0)*($C$5:$C$504&lt;&gt;C179)*($E$5:$E$504=E179)*(($D$5:$D$504=D179)*(D179&lt;&gt;"")+($B$5:$B$504=B179)*(B179&lt;&gt;"")&gt;0))&gt;0,"БЛОК: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операцию",IF(AND(C179="Оплата",K179&lt;&gt;"Отдельный платёж — не сам аванс (сверено с выпиской банка)",OR(COUNTIFS($C$5:$C$504,"Зачёт аванса по договору",$E$5:$E$504,E179)&gt;0,ROUND(E179-$M$6,2)=0)),"БЛОК: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79" s="185" t="str">
        <x:f>IF(AND(B179="",C179="",E179=""),"",SUM($G$5:G179))</x:f>
        <x:v/>
      </x:c>
      <x:c r="K179" s="178"/>
      <x:c r="L179" s="46"/>
      <x:c r="M179" s="46"/>
    </x:row>
    <x:row r="180" ht="29" customHeight="1">
      <x:c r="A180" s="199">
        <x:v>176</x:v>
      </x:c>
      <x:c r="B180" s="162"/>
      <x:c r="C180" s="163"/>
      <x:c r="D180" s="163"/>
      <x:c r="E180" s="164"/>
      <x:c r="F180" s="163"/>
      <x:c r="G180" s="185">
        <x:f t="shared" si="4"/>
        <x:v>0</x:v>
      </x:c>
      <x:c r="H180" s="185">
        <x:f t="shared" si="5"/>
        <x:v>0</x:v>
      </x:c>
      <x:c r="I180" s="186">
        <x:f>IF(AND(B180="",C180="",D180="",E180="",F180=""),"",IF(OR(B180="",C180="",E180=""),"БЛОК: нужны дата, тип операции и сумма",IF(N(E180)&lt;=0,"БЛОК: сумма должна быть больше нуля",IF(AND(H180&lt;&gt;0,F180=""),"БЛОК: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отделить",IF(AND(G180&lt;&gt;0,F180=""),"БЛОК: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нельзя",IF(AND(F180&lt;&gt;"",COUNTIF('Долг по актам'!$B$5:$B$34,F180)=0),"БЛОК: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договору")&gt;0)*($C$5:$C$504&lt;&gt;C180)*($E$5:$E$504=E180)*(($D$5:$D$504=D180)*(D180&lt;&gt;"")+($B$5:$B$504=B180)*(B180&lt;&gt;"")&gt;0))&gt;0,"БЛОК: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операцию",IF(AND(C180="Оплата",K180&lt;&gt;"Отдельный платёж — не сам аванс (сверено с выпиской банка)",OR(COUNTIFS($C$5:$C$504,"Зачёт аванса по договору",$E$5:$E$504,E180)&gt;0,ROUND(E180-$M$6,2)=0)),"БЛОК: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0" s="185" t="str">
        <x:f>IF(AND(B180="",C180="",E180=""),"",SUM($G$5:G180))</x:f>
        <x:v/>
      </x:c>
      <x:c r="K180" s="178"/>
      <x:c r="L180" s="46"/>
      <x:c r="M180" s="46"/>
    </x:row>
    <x:row r="181" ht="29" customHeight="1">
      <x:c r="A181" s="199">
        <x:v>177</x:v>
      </x:c>
      <x:c r="B181" s="162"/>
      <x:c r="C181" s="163"/>
      <x:c r="D181" s="163"/>
      <x:c r="E181" s="164"/>
      <x:c r="F181" s="163"/>
      <x:c r="G181" s="185">
        <x:f t="shared" si="4"/>
        <x:v>0</x:v>
      </x:c>
      <x:c r="H181" s="185">
        <x:f t="shared" si="5"/>
        <x:v>0</x:v>
      </x:c>
      <x:c r="I181" s="186">
        <x:f>IF(AND(B181="",C181="",D181="",E181="",F181=""),"",IF(OR(B181="",C181="",E181=""),"БЛОК: нужны дата, тип операции и сумма",IF(N(E181)&lt;=0,"БЛОК: сумма должна быть больше нуля",IF(AND(H181&lt;&gt;0,F181=""),"БЛОК: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отделить",IF(AND(G181&lt;&gt;0,F181=""),"БЛОК: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нельзя",IF(AND(F181&lt;&gt;"",COUNTIF('Долг по актам'!$B$5:$B$34,F181)=0),"БЛОК: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договору")&gt;0)*($C$5:$C$504&lt;&gt;C181)*($E$5:$E$504=E181)*(($D$5:$D$504=D181)*(D181&lt;&gt;"")+($B$5:$B$504=B181)*(B181&lt;&gt;"")&gt;0))&gt;0,"БЛОК: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операцию",IF(AND(C181="Оплата",K181&lt;&gt;"Отдельный платёж — не сам аванс (сверено с выпиской банка)",OR(COUNTIFS($C$5:$C$504,"Зачёт аванса по договору",$E$5:$E$504,E181)&gt;0,ROUND(E181-$M$6,2)=0)),"БЛОК: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1" s="185" t="str">
        <x:f>IF(AND(B181="",C181="",E181=""),"",SUM($G$5:G181))</x:f>
        <x:v/>
      </x:c>
      <x:c r="K181" s="178"/>
      <x:c r="L181" s="46"/>
      <x:c r="M181" s="46"/>
    </x:row>
    <x:row r="182" ht="29" customHeight="1">
      <x:c r="A182" s="199">
        <x:v>178</x:v>
      </x:c>
      <x:c r="B182" s="162"/>
      <x:c r="C182" s="163"/>
      <x:c r="D182" s="163"/>
      <x:c r="E182" s="164"/>
      <x:c r="F182" s="163"/>
      <x:c r="G182" s="185">
        <x:f t="shared" si="4"/>
        <x:v>0</x:v>
      </x:c>
      <x:c r="H182" s="185">
        <x:f t="shared" si="5"/>
        <x:v>0</x:v>
      </x:c>
      <x:c r="I182" s="186">
        <x:f>IF(AND(B182="",C182="",D182="",E182="",F182=""),"",IF(OR(B182="",C182="",E182=""),"БЛОК: нужны дата, тип операции и сумма",IF(N(E182)&lt;=0,"БЛОК: сумма должна быть больше нуля",IF(AND(H182&lt;&gt;0,F182=""),"БЛОК: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отделить",IF(AND(G182&lt;&gt;0,F182=""),"БЛОК: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нельзя",IF(AND(F182&lt;&gt;"",COUNTIF('Долг по актам'!$B$5:$B$34,F182)=0),"БЛОК: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договору")&gt;0)*($C$5:$C$504&lt;&gt;C182)*($E$5:$E$504=E182)*(($D$5:$D$504=D182)*(D182&lt;&gt;"")+($B$5:$B$504=B182)*(B182&lt;&gt;"")&gt;0))&gt;0,"БЛОК: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операцию",IF(AND(C182="Оплата",K182&lt;&gt;"Отдельный платёж — не сам аванс (сверено с выпиской банка)",OR(COUNTIFS($C$5:$C$504,"Зачёт аванса по договору",$E$5:$E$504,E182)&gt;0,ROUND(E182-$M$6,2)=0)),"БЛОК: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2" s="185" t="str">
        <x:f>IF(AND(B182="",C182="",E182=""),"",SUM($G$5:G182))</x:f>
        <x:v/>
      </x:c>
      <x:c r="K182" s="178"/>
      <x:c r="L182" s="46"/>
      <x:c r="M182" s="46"/>
    </x:row>
    <x:row r="183" ht="29" customHeight="1">
      <x:c r="A183" s="199">
        <x:v>179</x:v>
      </x:c>
      <x:c r="B183" s="162"/>
      <x:c r="C183" s="163"/>
      <x:c r="D183" s="163"/>
      <x:c r="E183" s="164"/>
      <x:c r="F183" s="163"/>
      <x:c r="G183" s="185">
        <x:f t="shared" si="4"/>
        <x:v>0</x:v>
      </x:c>
      <x:c r="H183" s="185">
        <x:f t="shared" si="5"/>
        <x:v>0</x:v>
      </x:c>
      <x:c r="I183" s="186">
        <x:f>IF(AND(B183="",C183="",D183="",E183="",F183=""),"",IF(OR(B183="",C183="",E183=""),"БЛОК: нужны дата, тип операции и сумма",IF(N(E183)&lt;=0,"БЛОК: сумма должна быть больше нуля",IF(AND(H183&lt;&gt;0,F183=""),"БЛОК: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отделить",IF(AND(G183&lt;&gt;0,F183=""),"БЛОК: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нельзя",IF(AND(F183&lt;&gt;"",COUNTIF('Долг по актам'!$B$5:$B$34,F183)=0),"БЛОК: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договору")&gt;0)*($C$5:$C$504&lt;&gt;C183)*($E$5:$E$504=E183)*(($D$5:$D$504=D183)*(D183&lt;&gt;"")+($B$5:$B$504=B183)*(B183&lt;&gt;"")&gt;0))&gt;0,"БЛОК: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операцию",IF(AND(C183="Оплата",K183&lt;&gt;"Отдельный платёж — не сам аванс (сверено с выпиской банка)",OR(COUNTIFS($C$5:$C$504,"Зачёт аванса по договору",$E$5:$E$504,E183)&gt;0,ROUND(E183-$M$6,2)=0)),"БЛОК: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3" s="185" t="str">
        <x:f>IF(AND(B183="",C183="",E183=""),"",SUM($G$5:G183))</x:f>
        <x:v/>
      </x:c>
      <x:c r="K183" s="178"/>
      <x:c r="L183" s="46"/>
      <x:c r="M183" s="46"/>
    </x:row>
    <x:row r="184" ht="29" customHeight="1">
      <x:c r="A184" s="199">
        <x:v>180</x:v>
      </x:c>
      <x:c r="B184" s="162"/>
      <x:c r="C184" s="163"/>
      <x:c r="D184" s="163"/>
      <x:c r="E184" s="164"/>
      <x:c r="F184" s="163"/>
      <x:c r="G184" s="185">
        <x:f t="shared" si="4"/>
        <x:v>0</x:v>
      </x:c>
      <x:c r="H184" s="185">
        <x:f t="shared" si="5"/>
        <x:v>0</x:v>
      </x:c>
      <x:c r="I184" s="186">
        <x:f>IF(AND(B184="",C184="",D184="",E184="",F184=""),"",IF(OR(B184="",C184="",E184=""),"БЛОК: нужны дата, тип операции и сумма",IF(N(E184)&lt;=0,"БЛОК: сумма должна быть больше нуля",IF(AND(H184&lt;&gt;0,F184=""),"БЛОК: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отделить",IF(AND(G184&lt;&gt;0,F184=""),"БЛОК: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нельзя",IF(AND(F184&lt;&gt;"",COUNTIF('Долг по актам'!$B$5:$B$34,F184)=0),"БЛОК: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договору")&gt;0)*($C$5:$C$504&lt;&gt;C184)*($E$5:$E$504=E184)*(($D$5:$D$504=D184)*(D184&lt;&gt;"")+($B$5:$B$504=B184)*(B184&lt;&gt;"")&gt;0))&gt;0,"БЛОК: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операцию",IF(AND(C184="Оплата",K184&lt;&gt;"Отдельный платёж — не сам аванс (сверено с выпиской банка)",OR(COUNTIFS($C$5:$C$504,"Зачёт аванса по договору",$E$5:$E$504,E184)&gt;0,ROUND(E184-$M$6,2)=0)),"БЛОК: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4" s="185" t="str">
        <x:f>IF(AND(B184="",C184="",E184=""),"",SUM($G$5:G184))</x:f>
        <x:v/>
      </x:c>
      <x:c r="K184" s="178"/>
      <x:c r="L184" s="46"/>
      <x:c r="M184" s="46"/>
    </x:row>
    <x:row r="185" ht="29" customHeight="1">
      <x:c r="A185" s="199">
        <x:v>181</x:v>
      </x:c>
      <x:c r="B185" s="162"/>
      <x:c r="C185" s="163"/>
      <x:c r="D185" s="163"/>
      <x:c r="E185" s="164"/>
      <x:c r="F185" s="163"/>
      <x:c r="G185" s="185">
        <x:f t="shared" si="4"/>
        <x:v>0</x:v>
      </x:c>
      <x:c r="H185" s="185">
        <x:f t="shared" si="5"/>
        <x:v>0</x:v>
      </x:c>
      <x:c r="I185" s="186">
        <x:f>IF(AND(B185="",C185="",D185="",E185="",F185=""),"",IF(OR(B185="",C185="",E185=""),"БЛОК: нужны дата, тип операции и сумма",IF(N(E185)&lt;=0,"БЛОК: сумма должна быть больше нуля",IF(AND(H185&lt;&gt;0,F185=""),"БЛОК: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отделить",IF(AND(G185&lt;&gt;0,F185=""),"БЛОК: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нельзя",IF(AND(F185&lt;&gt;"",COUNTIF('Долг по актам'!$B$5:$B$34,F185)=0),"БЛОК: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договору")&gt;0)*($C$5:$C$504&lt;&gt;C185)*($E$5:$E$504=E185)*(($D$5:$D$504=D185)*(D185&lt;&gt;"")+($B$5:$B$504=B185)*(B185&lt;&gt;"")&gt;0))&gt;0,"БЛОК: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операцию",IF(AND(C185="Оплата",K185&lt;&gt;"Отдельный платёж — не сам аванс (сверено с выпиской банка)",OR(COUNTIFS($C$5:$C$504,"Зачёт аванса по договору",$E$5:$E$504,E185)&gt;0,ROUND(E185-$M$6,2)=0)),"БЛОК: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5" s="185" t="str">
        <x:f>IF(AND(B185="",C185="",E185=""),"",SUM($G$5:G185))</x:f>
        <x:v/>
      </x:c>
      <x:c r="K185" s="178"/>
      <x:c r="L185" s="46"/>
      <x:c r="M185" s="46"/>
    </x:row>
    <x:row r="186" ht="29" customHeight="1">
      <x:c r="A186" s="199">
        <x:v>182</x:v>
      </x:c>
      <x:c r="B186" s="162"/>
      <x:c r="C186" s="163"/>
      <x:c r="D186" s="163"/>
      <x:c r="E186" s="164"/>
      <x:c r="F186" s="163"/>
      <x:c r="G186" s="185">
        <x:f t="shared" si="4"/>
        <x:v>0</x:v>
      </x:c>
      <x:c r="H186" s="185">
        <x:f t="shared" si="5"/>
        <x:v>0</x:v>
      </x:c>
      <x:c r="I186" s="186">
        <x:f>IF(AND(B186="",C186="",D186="",E186="",F186=""),"",IF(OR(B186="",C186="",E186=""),"БЛОК: нужны дата, тип операции и сумма",IF(N(E186)&lt;=0,"БЛОК: сумма должна быть больше нуля",IF(AND(H186&lt;&gt;0,F186=""),"БЛОК: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отделить",IF(AND(G186&lt;&gt;0,F186=""),"БЛОК: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нельзя",IF(AND(F186&lt;&gt;"",COUNTIF('Долг по актам'!$B$5:$B$34,F186)=0),"БЛОК: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договору")&gt;0)*($C$5:$C$504&lt;&gt;C186)*($E$5:$E$504=E186)*(($D$5:$D$504=D186)*(D186&lt;&gt;"")+($B$5:$B$504=B186)*(B186&lt;&gt;"")&gt;0))&gt;0,"БЛОК: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операцию",IF(AND(C186="Оплата",K186&lt;&gt;"Отдельный платёж — не сам аванс (сверено с выпиской банка)",OR(COUNTIFS($C$5:$C$504,"Зачёт аванса по договору",$E$5:$E$504,E186)&gt;0,ROUND(E186-$M$6,2)=0)),"БЛОК: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6" s="185" t="str">
        <x:f>IF(AND(B186="",C186="",E186=""),"",SUM($G$5:G186))</x:f>
        <x:v/>
      </x:c>
      <x:c r="K186" s="178"/>
      <x:c r="L186" s="46"/>
      <x:c r="M186" s="46"/>
    </x:row>
    <x:row r="187" ht="29" customHeight="1">
      <x:c r="A187" s="199">
        <x:v>183</x:v>
      </x:c>
      <x:c r="B187" s="162"/>
      <x:c r="C187" s="163"/>
      <x:c r="D187" s="163"/>
      <x:c r="E187" s="164"/>
      <x:c r="F187" s="163"/>
      <x:c r="G187" s="185">
        <x:f t="shared" si="4"/>
        <x:v>0</x:v>
      </x:c>
      <x:c r="H187" s="185">
        <x:f t="shared" si="5"/>
        <x:v>0</x:v>
      </x:c>
      <x:c r="I187" s="186">
        <x:f>IF(AND(B187="",C187="",D187="",E187="",F187=""),"",IF(OR(B187="",C187="",E187=""),"БЛОК: нужны дата, тип операции и сумма",IF(N(E187)&lt;=0,"БЛОК: сумма должна быть больше нуля",IF(AND(H187&lt;&gt;0,F187=""),"БЛОК: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отделить",IF(AND(G187&lt;&gt;0,F187=""),"БЛОК: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нельзя",IF(AND(F187&lt;&gt;"",COUNTIF('Долг по актам'!$B$5:$B$34,F187)=0),"БЛОК: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договору")&gt;0)*($C$5:$C$504&lt;&gt;C187)*($E$5:$E$504=E187)*(($D$5:$D$504=D187)*(D187&lt;&gt;"")+($B$5:$B$504=B187)*(B187&lt;&gt;"")&gt;0))&gt;0,"БЛОК: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операцию",IF(AND(C187="Оплата",K187&lt;&gt;"Отдельный платёж — не сам аванс (сверено с выпиской банка)",OR(COUNTIFS($C$5:$C$504,"Зачёт аванса по договору",$E$5:$E$504,E187)&gt;0,ROUND(E187-$M$6,2)=0)),"БЛОК: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7" s="185" t="str">
        <x:f>IF(AND(B187="",C187="",E187=""),"",SUM($G$5:G187))</x:f>
        <x:v/>
      </x:c>
      <x:c r="K187" s="178"/>
      <x:c r="L187" s="46"/>
      <x:c r="M187" s="46"/>
    </x:row>
    <x:row r="188" ht="29" customHeight="1">
      <x:c r="A188" s="199">
        <x:v>184</x:v>
      </x:c>
      <x:c r="B188" s="162"/>
      <x:c r="C188" s="163"/>
      <x:c r="D188" s="163"/>
      <x:c r="E188" s="164"/>
      <x:c r="F188" s="163"/>
      <x:c r="G188" s="185">
        <x:f t="shared" si="4"/>
        <x:v>0</x:v>
      </x:c>
      <x:c r="H188" s="185">
        <x:f t="shared" si="5"/>
        <x:v>0</x:v>
      </x:c>
      <x:c r="I188" s="186">
        <x:f>IF(AND(B188="",C188="",D188="",E188="",F188=""),"",IF(OR(B188="",C188="",E188=""),"БЛОК: нужны дата, тип операции и сумма",IF(N(E188)&lt;=0,"БЛОК: сумма должна быть больше нуля",IF(AND(H188&lt;&gt;0,F188=""),"БЛОК: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отделить",IF(AND(G188&lt;&gt;0,F188=""),"БЛОК: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нельзя",IF(AND(F188&lt;&gt;"",COUNTIF('Долг по актам'!$B$5:$B$34,F188)=0),"БЛОК: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договору")&gt;0)*($C$5:$C$504&lt;&gt;C188)*($E$5:$E$504=E188)*(($D$5:$D$504=D188)*(D188&lt;&gt;"")+($B$5:$B$504=B188)*(B188&lt;&gt;"")&gt;0))&gt;0,"БЛОК: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операцию",IF(AND(C188="Оплата",K188&lt;&gt;"Отдельный платёж — не сам аванс (сверено с выпиской банка)",OR(COUNTIFS($C$5:$C$504,"Зачёт аванса по договору",$E$5:$E$504,E188)&gt;0,ROUND(E188-$M$6,2)=0)),"БЛОК: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8" s="185" t="str">
        <x:f>IF(AND(B188="",C188="",E188=""),"",SUM($G$5:G188))</x:f>
        <x:v/>
      </x:c>
      <x:c r="K188" s="178"/>
      <x:c r="L188" s="46"/>
      <x:c r="M188" s="46"/>
    </x:row>
    <x:row r="189" ht="29" customHeight="1">
      <x:c r="A189" s="199">
        <x:v>185</x:v>
      </x:c>
      <x:c r="B189" s="162"/>
      <x:c r="C189" s="163"/>
      <x:c r="D189" s="163"/>
      <x:c r="E189" s="164"/>
      <x:c r="F189" s="163"/>
      <x:c r="G189" s="185">
        <x:f t="shared" si="4"/>
        <x:v>0</x:v>
      </x:c>
      <x:c r="H189" s="185">
        <x:f t="shared" si="5"/>
        <x:v>0</x:v>
      </x:c>
      <x:c r="I189" s="186">
        <x:f>IF(AND(B189="",C189="",D189="",E189="",F189=""),"",IF(OR(B189="",C189="",E189=""),"БЛОК: нужны дата, тип операции и сумма",IF(N(E189)&lt;=0,"БЛОК: сумма должна быть больше нуля",IF(AND(H189&lt;&gt;0,F189=""),"БЛОК: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отделить",IF(AND(G189&lt;&gt;0,F189=""),"БЛОК: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нельзя",IF(AND(F189&lt;&gt;"",COUNTIF('Долг по актам'!$B$5:$B$34,F189)=0),"БЛОК: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договору")&gt;0)*($C$5:$C$504&lt;&gt;C189)*($E$5:$E$504=E189)*(($D$5:$D$504=D189)*(D189&lt;&gt;"")+($B$5:$B$504=B189)*(B189&lt;&gt;"")&gt;0))&gt;0,"БЛОК: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операцию",IF(AND(C189="Оплата",K189&lt;&gt;"Отдельный платёж — не сам аванс (сверено с выпиской банка)",OR(COUNTIFS($C$5:$C$504,"Зачёт аванса по договору",$E$5:$E$504,E189)&gt;0,ROUND(E189-$M$6,2)=0)),"БЛОК: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89" s="185" t="str">
        <x:f>IF(AND(B189="",C189="",E189=""),"",SUM($G$5:G189))</x:f>
        <x:v/>
      </x:c>
      <x:c r="K189" s="178"/>
      <x:c r="L189" s="46"/>
      <x:c r="M189" s="46"/>
    </x:row>
    <x:row r="190" ht="29" customHeight="1">
      <x:c r="A190" s="199">
        <x:v>186</x:v>
      </x:c>
      <x:c r="B190" s="162"/>
      <x:c r="C190" s="163"/>
      <x:c r="D190" s="163"/>
      <x:c r="E190" s="164"/>
      <x:c r="F190" s="163"/>
      <x:c r="G190" s="185">
        <x:f t="shared" si="4"/>
        <x:v>0</x:v>
      </x:c>
      <x:c r="H190" s="185">
        <x:f t="shared" si="5"/>
        <x:v>0</x:v>
      </x:c>
      <x:c r="I190" s="186">
        <x:f>IF(AND(B190="",C190="",D190="",E190="",F190=""),"",IF(OR(B190="",C190="",E190=""),"БЛОК: нужны дата, тип операции и сумма",IF(N(E190)&lt;=0,"БЛОК: сумма должна быть больше нуля",IF(AND(H190&lt;&gt;0,F190=""),"БЛОК: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отделить",IF(AND(G190&lt;&gt;0,F190=""),"БЛОК: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нельзя",IF(AND(F190&lt;&gt;"",COUNTIF('Долг по актам'!$B$5:$B$34,F190)=0),"БЛОК: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договору")&gt;0)*($C$5:$C$504&lt;&gt;C190)*($E$5:$E$504=E190)*(($D$5:$D$504=D190)*(D190&lt;&gt;"")+($B$5:$B$504=B190)*(B190&lt;&gt;"")&gt;0))&gt;0,"БЛОК: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операцию",IF(AND(C190="Оплата",K190&lt;&gt;"Отдельный платёж — не сам аванс (сверено с выпиской банка)",OR(COUNTIFS($C$5:$C$504,"Зачёт аванса по договору",$E$5:$E$504,E190)&gt;0,ROUND(E190-$M$6,2)=0)),"БЛОК: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0" s="185" t="str">
        <x:f>IF(AND(B190="",C190="",E190=""),"",SUM($G$5:G190))</x:f>
        <x:v/>
      </x:c>
      <x:c r="K190" s="178"/>
      <x:c r="L190" s="46"/>
      <x:c r="M190" s="46"/>
    </x:row>
    <x:row r="191" ht="29" customHeight="1">
      <x:c r="A191" s="199">
        <x:v>187</x:v>
      </x:c>
      <x:c r="B191" s="162"/>
      <x:c r="C191" s="163"/>
      <x:c r="D191" s="163"/>
      <x:c r="E191" s="164"/>
      <x:c r="F191" s="163"/>
      <x:c r="G191" s="185">
        <x:f t="shared" si="4"/>
        <x:v>0</x:v>
      </x:c>
      <x:c r="H191" s="185">
        <x:f t="shared" si="5"/>
        <x:v>0</x:v>
      </x:c>
      <x:c r="I191" s="186">
        <x:f>IF(AND(B191="",C191="",D191="",E191="",F191=""),"",IF(OR(B191="",C191="",E191=""),"БЛОК: нужны дата, тип операции и сумма",IF(N(E191)&lt;=0,"БЛОК: сумма должна быть больше нуля",IF(AND(H191&lt;&gt;0,F191=""),"БЛОК: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отделить",IF(AND(G191&lt;&gt;0,F191=""),"БЛОК: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нельзя",IF(AND(F191&lt;&gt;"",COUNTIF('Долг по актам'!$B$5:$B$34,F191)=0),"БЛОК: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договору")&gt;0)*($C$5:$C$504&lt;&gt;C191)*($E$5:$E$504=E191)*(($D$5:$D$504=D191)*(D191&lt;&gt;"")+($B$5:$B$504=B191)*(B191&lt;&gt;"")&gt;0))&gt;0,"БЛОК: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операцию",IF(AND(C191="Оплата",K191&lt;&gt;"Отдельный платёж — не сам аванс (сверено с выпиской банка)",OR(COUNTIFS($C$5:$C$504,"Зачёт аванса по договору",$E$5:$E$504,E191)&gt;0,ROUND(E191-$M$6,2)=0)),"БЛОК: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1" s="185" t="str">
        <x:f>IF(AND(B191="",C191="",E191=""),"",SUM($G$5:G191))</x:f>
        <x:v/>
      </x:c>
      <x:c r="K191" s="178"/>
      <x:c r="L191" s="46"/>
      <x:c r="M191" s="46"/>
    </x:row>
    <x:row r="192" ht="29" customHeight="1">
      <x:c r="A192" s="199">
        <x:v>188</x:v>
      </x:c>
      <x:c r="B192" s="162"/>
      <x:c r="C192" s="163"/>
      <x:c r="D192" s="163"/>
      <x:c r="E192" s="164"/>
      <x:c r="F192" s="163"/>
      <x:c r="G192" s="185">
        <x:f t="shared" si="4"/>
        <x:v>0</x:v>
      </x:c>
      <x:c r="H192" s="185">
        <x:f t="shared" si="5"/>
        <x:v>0</x:v>
      </x:c>
      <x:c r="I192" s="186">
        <x:f>IF(AND(B192="",C192="",D192="",E192="",F192=""),"",IF(OR(B192="",C192="",E192=""),"БЛОК: нужны дата, тип операции и сумма",IF(N(E192)&lt;=0,"БЛОК: сумма должна быть больше нуля",IF(AND(H192&lt;&gt;0,F192=""),"БЛОК: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отделить",IF(AND(G192&lt;&gt;0,F192=""),"БЛОК: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нельзя",IF(AND(F192&lt;&gt;"",COUNTIF('Долг по актам'!$B$5:$B$34,F192)=0),"БЛОК: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договору")&gt;0)*($C$5:$C$504&lt;&gt;C192)*($E$5:$E$504=E192)*(($D$5:$D$504=D192)*(D192&lt;&gt;"")+($B$5:$B$504=B192)*(B192&lt;&gt;"")&gt;0))&gt;0,"БЛОК: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операцию",IF(AND(C192="Оплата",K192&lt;&gt;"Отдельный платёж — не сам аванс (сверено с выпиской банка)",OR(COUNTIFS($C$5:$C$504,"Зачёт аванса по договору",$E$5:$E$504,E192)&gt;0,ROUND(E192-$M$6,2)=0)),"БЛОК: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2" s="185" t="str">
        <x:f>IF(AND(B192="",C192="",E192=""),"",SUM($G$5:G192))</x:f>
        <x:v/>
      </x:c>
      <x:c r="K192" s="178"/>
      <x:c r="L192" s="46"/>
      <x:c r="M192" s="46"/>
    </x:row>
    <x:row r="193" ht="29" customHeight="1">
      <x:c r="A193" s="199">
        <x:v>189</x:v>
      </x:c>
      <x:c r="B193" s="162"/>
      <x:c r="C193" s="163"/>
      <x:c r="D193" s="163"/>
      <x:c r="E193" s="164"/>
      <x:c r="F193" s="163"/>
      <x:c r="G193" s="185">
        <x:f t="shared" si="4"/>
        <x:v>0</x:v>
      </x:c>
      <x:c r="H193" s="185">
        <x:f t="shared" si="5"/>
        <x:v>0</x:v>
      </x:c>
      <x:c r="I193" s="186">
        <x:f>IF(AND(B193="",C193="",D193="",E193="",F193=""),"",IF(OR(B193="",C193="",E193=""),"БЛОК: нужны дата, тип операции и сумма",IF(N(E193)&lt;=0,"БЛОК: сумма должна быть больше нуля",IF(AND(H193&lt;&gt;0,F193=""),"БЛОК: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отделить",IF(AND(G193&lt;&gt;0,F193=""),"БЛОК: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нельзя",IF(AND(F193&lt;&gt;"",COUNTIF('Долг по актам'!$B$5:$B$34,F193)=0),"БЛОК: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договору")&gt;0)*($C$5:$C$504&lt;&gt;C193)*($E$5:$E$504=E193)*(($D$5:$D$504=D193)*(D193&lt;&gt;"")+($B$5:$B$504=B193)*(B193&lt;&gt;"")&gt;0))&gt;0,"БЛОК: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операцию",IF(AND(C193="Оплата",K193&lt;&gt;"Отдельный платёж — не сам аванс (сверено с выпиской банка)",OR(COUNTIFS($C$5:$C$504,"Зачёт аванса по договору",$E$5:$E$504,E193)&gt;0,ROUND(E193-$M$6,2)=0)),"БЛОК: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3" s="185" t="str">
        <x:f>IF(AND(B193="",C193="",E193=""),"",SUM($G$5:G193))</x:f>
        <x:v/>
      </x:c>
      <x:c r="K193" s="178"/>
      <x:c r="L193" s="46"/>
      <x:c r="M193" s="46"/>
    </x:row>
    <x:row r="194" ht="29" customHeight="1">
      <x:c r="A194" s="199">
        <x:v>190</x:v>
      </x:c>
      <x:c r="B194" s="162"/>
      <x:c r="C194" s="163"/>
      <x:c r="D194" s="163"/>
      <x:c r="E194" s="164"/>
      <x:c r="F194" s="163"/>
      <x:c r="G194" s="185">
        <x:f t="shared" si="4"/>
        <x:v>0</x:v>
      </x:c>
      <x:c r="H194" s="185">
        <x:f t="shared" si="5"/>
        <x:v>0</x:v>
      </x:c>
      <x:c r="I194" s="186">
        <x:f>IF(AND(B194="",C194="",D194="",E194="",F194=""),"",IF(OR(B194="",C194="",E194=""),"БЛОК: нужны дата, тип операции и сумма",IF(N(E194)&lt;=0,"БЛОК: сумма должна быть больше нуля",IF(AND(H194&lt;&gt;0,F194=""),"БЛОК: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отделить",IF(AND(G194&lt;&gt;0,F194=""),"БЛОК: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нельзя",IF(AND(F194&lt;&gt;"",COUNTIF('Долг по актам'!$B$5:$B$34,F194)=0),"БЛОК: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договору")&gt;0)*($C$5:$C$504&lt;&gt;C194)*($E$5:$E$504=E194)*(($D$5:$D$504=D194)*(D194&lt;&gt;"")+($B$5:$B$504=B194)*(B194&lt;&gt;"")&gt;0))&gt;0,"БЛОК: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операцию",IF(AND(C194="Оплата",K194&lt;&gt;"Отдельный платёж — не сам аванс (сверено с выпиской банка)",OR(COUNTIFS($C$5:$C$504,"Зачёт аванса по договору",$E$5:$E$504,E194)&gt;0,ROUND(E194-$M$6,2)=0)),"БЛОК: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4" s="185" t="str">
        <x:f>IF(AND(B194="",C194="",E194=""),"",SUM($G$5:G194))</x:f>
        <x:v/>
      </x:c>
      <x:c r="K194" s="178"/>
      <x:c r="L194" s="46"/>
      <x:c r="M194" s="46"/>
    </x:row>
    <x:row r="195" ht="29" customHeight="1">
      <x:c r="A195" s="199">
        <x:v>191</x:v>
      </x:c>
      <x:c r="B195" s="162"/>
      <x:c r="C195" s="163"/>
      <x:c r="D195" s="163"/>
      <x:c r="E195" s="164"/>
      <x:c r="F195" s="163"/>
      <x:c r="G195" s="185">
        <x:f t="shared" si="4"/>
        <x:v>0</x:v>
      </x:c>
      <x:c r="H195" s="185">
        <x:f t="shared" si="5"/>
        <x:v>0</x:v>
      </x:c>
      <x:c r="I195" s="186">
        <x:f>IF(AND(B195="",C195="",D195="",E195="",F195=""),"",IF(OR(B195="",C195="",E195=""),"БЛОК: нужны дата, тип операции и сумма",IF(N(E195)&lt;=0,"БЛОК: сумма должна быть больше нуля",IF(AND(H195&lt;&gt;0,F195=""),"БЛОК: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отделить",IF(AND(G195&lt;&gt;0,F195=""),"БЛОК: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нельзя",IF(AND(F195&lt;&gt;"",COUNTIF('Долг по актам'!$B$5:$B$34,F195)=0),"БЛОК: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договору")&gt;0)*($C$5:$C$504&lt;&gt;C195)*($E$5:$E$504=E195)*(($D$5:$D$504=D195)*(D195&lt;&gt;"")+($B$5:$B$504=B195)*(B195&lt;&gt;"")&gt;0))&gt;0,"БЛОК: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операцию",IF(AND(C195="Оплата",K195&lt;&gt;"Отдельный платёж — не сам аванс (сверено с выпиской банка)",OR(COUNTIFS($C$5:$C$504,"Зачёт аванса по договору",$E$5:$E$504,E195)&gt;0,ROUND(E195-$M$6,2)=0)),"БЛОК: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5" s="185" t="str">
        <x:f>IF(AND(B195="",C195="",E195=""),"",SUM($G$5:G195))</x:f>
        <x:v/>
      </x:c>
      <x:c r="K195" s="178"/>
      <x:c r="L195" s="46"/>
      <x:c r="M195" s="46"/>
    </x:row>
    <x:row r="196" ht="29" customHeight="1">
      <x:c r="A196" s="199">
        <x:v>192</x:v>
      </x:c>
      <x:c r="B196" s="162"/>
      <x:c r="C196" s="163"/>
      <x:c r="D196" s="163"/>
      <x:c r="E196" s="164"/>
      <x:c r="F196" s="163"/>
      <x:c r="G196" s="185">
        <x:f t="shared" si="4"/>
        <x:v>0</x:v>
      </x:c>
      <x:c r="H196" s="185">
        <x:f t="shared" si="5"/>
        <x:v>0</x:v>
      </x:c>
      <x:c r="I196" s="186">
        <x:f>IF(AND(B196="",C196="",D196="",E196="",F196=""),"",IF(OR(B196="",C196="",E196=""),"БЛОК: нужны дата, тип операции и сумма",IF(N(E196)&lt;=0,"БЛОК: сумма должна быть больше нуля",IF(AND(H196&lt;&gt;0,F196=""),"БЛОК: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отделить",IF(AND(G196&lt;&gt;0,F196=""),"БЛОК: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нельзя",IF(AND(F196&lt;&gt;"",COUNTIF('Долг по актам'!$B$5:$B$34,F196)=0),"БЛОК: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договору")&gt;0)*($C$5:$C$504&lt;&gt;C196)*($E$5:$E$504=E196)*(($D$5:$D$504=D196)*(D196&lt;&gt;"")+($B$5:$B$504=B196)*(B196&lt;&gt;"")&gt;0))&gt;0,"БЛОК: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операцию",IF(AND(C196="Оплата",K196&lt;&gt;"Отдельный платёж — не сам аванс (сверено с выпиской банка)",OR(COUNTIFS($C$5:$C$504,"Зачёт аванса по договору",$E$5:$E$504,E196)&gt;0,ROUND(E196-$M$6,2)=0)),"БЛОК: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6" s="185" t="str">
        <x:f>IF(AND(B196="",C196="",E196=""),"",SUM($G$5:G196))</x:f>
        <x:v/>
      </x:c>
      <x:c r="K196" s="178"/>
      <x:c r="L196" s="46"/>
      <x:c r="M196" s="46"/>
    </x:row>
    <x:row r="197" ht="29" customHeight="1">
      <x:c r="A197" s="199">
        <x:v>193</x:v>
      </x:c>
      <x:c r="B197" s="162"/>
      <x:c r="C197" s="163"/>
      <x:c r="D197" s="163"/>
      <x:c r="E197" s="164"/>
      <x:c r="F197" s="163"/>
      <x:c r="G197" s="185">
        <x:f t="shared" ref="G197:G260" si="6">IF(OR(C197="",E197=""),0,IF(C197="Начисление по акту",E197,IF(OR(C197="Оплата",C197="Зачёт аванса по договору"),-E197,IF(C197="Корректировка (подписана обеими сторонами)",E197,0))))</x:f>
        <x:v>0</x:v>
      </x:c>
      <x:c r="H197" s="185">
        <x:f t="shared" ref="H197:H260" si="7">IF(OR(C197="Удержание",C197="Зачёт встречного требования",C197="Неустойка заявлена",C197="Допработы без соглашения (спорно)"),N(E197),0)</x:f>
        <x:v>0</x:v>
      </x:c>
      <x:c r="I197" s="186">
        <x:f>IF(AND(B197="",C197="",D197="",E197="",F197=""),"",IF(OR(B197="",C197="",E197=""),"БЛОК: нужны дата, тип операции и сумма",IF(N(E197)&lt;=0,"БЛОК: сумма должна быть больше нуля",IF(AND(H197&lt;&gt;0,F197=""),"БЛОК: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отделить",IF(AND(G197&lt;&gt;0,F197=""),"БЛОК: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нельзя",IF(AND(F197&lt;&gt;"",COUNTIF('Долг по актам'!$B$5:$B$34,F197)=0),"БЛОК: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договору")&gt;0)*($C$5:$C$504&lt;&gt;C197)*($E$5:$E$504=E197)*(($D$5:$D$504=D197)*(D197&lt;&gt;"")+($B$5:$B$504=B197)*(B197&lt;&gt;"")&gt;0))&gt;0,"БЛОК: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операцию",IF(AND(C197="Оплата",K197&lt;&gt;"Отдельный платёж — не сам аванс (сверено с выпиской банка)",OR(COUNTIFS($C$5:$C$504,"Зачёт аванса по договору",$E$5:$E$504,E197)&gt;0,ROUND(E197-$M$6,2)=0)),"БЛОК: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7" s="185" t="str">
        <x:f>IF(AND(B197="",C197="",E197=""),"",SUM($G$5:G197))</x:f>
        <x:v/>
      </x:c>
      <x:c r="K197" s="178"/>
      <x:c r="L197" s="46"/>
      <x:c r="M197" s="46"/>
    </x:row>
    <x:row r="198" ht="29" customHeight="1">
      <x:c r="A198" s="199">
        <x:v>194</x:v>
      </x:c>
      <x:c r="B198" s="162"/>
      <x:c r="C198" s="163"/>
      <x:c r="D198" s="163"/>
      <x:c r="E198" s="164"/>
      <x:c r="F198" s="163"/>
      <x:c r="G198" s="185">
        <x:f t="shared" si="6"/>
        <x:v>0</x:v>
      </x:c>
      <x:c r="H198" s="185">
        <x:f t="shared" si="7"/>
        <x:v>0</x:v>
      </x:c>
      <x:c r="I198" s="186">
        <x:f>IF(AND(B198="",C198="",D198="",E198="",F198=""),"",IF(OR(B198="",C198="",E198=""),"БЛОК: нужны дата, тип операции и сумма",IF(N(E198)&lt;=0,"БЛОК: сумма должна быть больше нуля",IF(AND(H198&lt;&gt;0,F198=""),"БЛОК: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отделить",IF(AND(G198&lt;&gt;0,F198=""),"БЛОК: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нельзя",IF(AND(F198&lt;&gt;"",COUNTIF('Долг по актам'!$B$5:$B$34,F198)=0),"БЛОК: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договору")&gt;0)*($C$5:$C$504&lt;&gt;C198)*($E$5:$E$504=E198)*(($D$5:$D$504=D198)*(D198&lt;&gt;"")+($B$5:$B$504=B198)*(B198&lt;&gt;"")&gt;0))&gt;0,"БЛОК: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операцию",IF(AND(C198="Оплата",K198&lt;&gt;"Отдельный платёж — не сам аванс (сверено с выпиской банка)",OR(COUNTIFS($C$5:$C$504,"Зачёт аванса по договору",$E$5:$E$504,E198)&gt;0,ROUND(E198-$M$6,2)=0)),"БЛОК: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8" s="185" t="str">
        <x:f>IF(AND(B198="",C198="",E198=""),"",SUM($G$5:G198))</x:f>
        <x:v/>
      </x:c>
      <x:c r="K198" s="178"/>
      <x:c r="L198" s="46"/>
      <x:c r="M198" s="46"/>
    </x:row>
    <x:row r="199" ht="29" customHeight="1">
      <x:c r="A199" s="199">
        <x:v>195</x:v>
      </x:c>
      <x:c r="B199" s="162"/>
      <x:c r="C199" s="163"/>
      <x:c r="D199" s="163"/>
      <x:c r="E199" s="164"/>
      <x:c r="F199" s="163"/>
      <x:c r="G199" s="185">
        <x:f t="shared" si="6"/>
        <x:v>0</x:v>
      </x:c>
      <x:c r="H199" s="185">
        <x:f t="shared" si="7"/>
        <x:v>0</x:v>
      </x:c>
      <x:c r="I199" s="186">
        <x:f>IF(AND(B199="",C199="",D199="",E199="",F199=""),"",IF(OR(B199="",C199="",E199=""),"БЛОК: нужны дата, тип операции и сумма",IF(N(E199)&lt;=0,"БЛОК: сумма должна быть больше нуля",IF(AND(H199&lt;&gt;0,F199=""),"БЛОК: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отделить",IF(AND(G199&lt;&gt;0,F199=""),"БЛОК: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нельзя",IF(AND(F199&lt;&gt;"",COUNTIF('Долг по актам'!$B$5:$B$34,F199)=0),"БЛОК: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договору")&gt;0)*($C$5:$C$504&lt;&gt;C199)*($E$5:$E$504=E199)*(($D$5:$D$504=D199)*(D199&lt;&gt;"")+($B$5:$B$504=B199)*(B199&lt;&gt;"")&gt;0))&gt;0,"БЛОК: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операцию",IF(AND(C199="Оплата",K199&lt;&gt;"Отдельный платёж — не сам аванс (сверено с выпиской банка)",OR(COUNTIFS($C$5:$C$504,"Зачёт аванса по договору",$E$5:$E$504,E199)&gt;0,ROUND(E199-$M$6,2)=0)),"БЛОК: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199" s="185" t="str">
        <x:f>IF(AND(B199="",C199="",E199=""),"",SUM($G$5:G199))</x:f>
        <x:v/>
      </x:c>
      <x:c r="K199" s="178"/>
      <x:c r="L199" s="46"/>
      <x:c r="M199" s="46"/>
    </x:row>
    <x:row r="200" ht="29" customHeight="1">
      <x:c r="A200" s="199">
        <x:v>196</x:v>
      </x:c>
      <x:c r="B200" s="162"/>
      <x:c r="C200" s="163"/>
      <x:c r="D200" s="163"/>
      <x:c r="E200" s="164"/>
      <x:c r="F200" s="163"/>
      <x:c r="G200" s="185">
        <x:f t="shared" si="6"/>
        <x:v>0</x:v>
      </x:c>
      <x:c r="H200" s="185">
        <x:f t="shared" si="7"/>
        <x:v>0</x:v>
      </x:c>
      <x:c r="I200" s="186">
        <x:f>IF(AND(B200="",C200="",D200="",E200="",F200=""),"",IF(OR(B200="",C200="",E200=""),"БЛОК: нужны дата, тип операции и сумма",IF(N(E200)&lt;=0,"БЛОК: сумма должна быть больше нуля",IF(AND(H200&lt;&gt;0,F200=""),"БЛОК: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отделить",IF(AND(G200&lt;&gt;0,F200=""),"БЛОК: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нельзя",IF(AND(F200&lt;&gt;"",COUNTIF('Долг по актам'!$B$5:$B$34,F200)=0),"БЛОК: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договору")&gt;0)*($C$5:$C$504&lt;&gt;C200)*($E$5:$E$504=E200)*(($D$5:$D$504=D200)*(D200&lt;&gt;"")+($B$5:$B$504=B200)*(B200&lt;&gt;"")&gt;0))&gt;0,"БЛОК: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операцию",IF(AND(C200="Оплата",K200&lt;&gt;"Отдельный платёж — не сам аванс (сверено с выпиской банка)",OR(COUNTIFS($C$5:$C$504,"Зачёт аванса по договору",$E$5:$E$504,E200)&gt;0,ROUND(E200-$M$6,2)=0)),"БЛОК: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0" s="185" t="str">
        <x:f>IF(AND(B200="",C200="",E200=""),"",SUM($G$5:G200))</x:f>
        <x:v/>
      </x:c>
      <x:c r="K200" s="178"/>
      <x:c r="L200" s="46"/>
      <x:c r="M200" s="46"/>
    </x:row>
    <x:row r="201" ht="29" customHeight="1">
      <x:c r="A201" s="199">
        <x:v>197</x:v>
      </x:c>
      <x:c r="B201" s="162"/>
      <x:c r="C201" s="163"/>
      <x:c r="D201" s="163"/>
      <x:c r="E201" s="164"/>
      <x:c r="F201" s="163"/>
      <x:c r="G201" s="185">
        <x:f t="shared" si="6"/>
        <x:v>0</x:v>
      </x:c>
      <x:c r="H201" s="185">
        <x:f t="shared" si="7"/>
        <x:v>0</x:v>
      </x:c>
      <x:c r="I201" s="186">
        <x:f>IF(AND(B201="",C201="",D201="",E201="",F201=""),"",IF(OR(B201="",C201="",E201=""),"БЛОК: нужны дата, тип операции и сумма",IF(N(E201)&lt;=0,"БЛОК: сумма должна быть больше нуля",IF(AND(H201&lt;&gt;0,F201=""),"БЛОК: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отделить",IF(AND(G201&lt;&gt;0,F201=""),"БЛОК: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нельзя",IF(AND(F201&lt;&gt;"",COUNTIF('Долг по актам'!$B$5:$B$34,F201)=0),"БЛОК: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договору")&gt;0)*($C$5:$C$504&lt;&gt;C201)*($E$5:$E$504=E201)*(($D$5:$D$504=D201)*(D201&lt;&gt;"")+($B$5:$B$504=B201)*(B201&lt;&gt;"")&gt;0))&gt;0,"БЛОК: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операцию",IF(AND(C201="Оплата",K201&lt;&gt;"Отдельный платёж — не сам аванс (сверено с выпиской банка)",OR(COUNTIFS($C$5:$C$504,"Зачёт аванса по договору",$E$5:$E$504,E201)&gt;0,ROUND(E201-$M$6,2)=0)),"БЛОК: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1" s="185" t="str">
        <x:f>IF(AND(B201="",C201="",E201=""),"",SUM($G$5:G201))</x:f>
        <x:v/>
      </x:c>
      <x:c r="K201" s="178"/>
      <x:c r="L201" s="46"/>
      <x:c r="M201" s="46"/>
    </x:row>
    <x:row r="202" ht="29" customHeight="1">
      <x:c r="A202" s="199">
        <x:v>198</x:v>
      </x:c>
      <x:c r="B202" s="162"/>
      <x:c r="C202" s="163"/>
      <x:c r="D202" s="163"/>
      <x:c r="E202" s="164"/>
      <x:c r="F202" s="163"/>
      <x:c r="G202" s="185">
        <x:f t="shared" si="6"/>
        <x:v>0</x:v>
      </x:c>
      <x:c r="H202" s="185">
        <x:f t="shared" si="7"/>
        <x:v>0</x:v>
      </x:c>
      <x:c r="I202" s="186">
        <x:f>IF(AND(B202="",C202="",D202="",E202="",F202=""),"",IF(OR(B202="",C202="",E202=""),"БЛОК: нужны дата, тип операции и сумма",IF(N(E202)&lt;=0,"БЛОК: сумма должна быть больше нуля",IF(AND(H202&lt;&gt;0,F202=""),"БЛОК: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отделить",IF(AND(G202&lt;&gt;0,F202=""),"БЛОК: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нельзя",IF(AND(F202&lt;&gt;"",COUNTIF('Долг по актам'!$B$5:$B$34,F202)=0),"БЛОК: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договору")&gt;0)*($C$5:$C$504&lt;&gt;C202)*($E$5:$E$504=E202)*(($D$5:$D$504=D202)*(D202&lt;&gt;"")+($B$5:$B$504=B202)*(B202&lt;&gt;"")&gt;0))&gt;0,"БЛОК: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операцию",IF(AND(C202="Оплата",K202&lt;&gt;"Отдельный платёж — не сам аванс (сверено с выпиской банка)",OR(COUNTIFS($C$5:$C$504,"Зачёт аванса по договору",$E$5:$E$504,E202)&gt;0,ROUND(E202-$M$6,2)=0)),"БЛОК: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2" s="185" t="str">
        <x:f>IF(AND(B202="",C202="",E202=""),"",SUM($G$5:G202))</x:f>
        <x:v/>
      </x:c>
      <x:c r="K202" s="178"/>
      <x:c r="L202" s="46"/>
      <x:c r="M202" s="46"/>
    </x:row>
    <x:row r="203" ht="29" customHeight="1">
      <x:c r="A203" s="199">
        <x:v>199</x:v>
      </x:c>
      <x:c r="B203" s="162"/>
      <x:c r="C203" s="163"/>
      <x:c r="D203" s="163"/>
      <x:c r="E203" s="164"/>
      <x:c r="F203" s="163"/>
      <x:c r="G203" s="185">
        <x:f t="shared" si="6"/>
        <x:v>0</x:v>
      </x:c>
      <x:c r="H203" s="185">
        <x:f t="shared" si="7"/>
        <x:v>0</x:v>
      </x:c>
      <x:c r="I203" s="186">
        <x:f>IF(AND(B203="",C203="",D203="",E203="",F203=""),"",IF(OR(B203="",C203="",E203=""),"БЛОК: нужны дата, тип операции и сумма",IF(N(E203)&lt;=0,"БЛОК: сумма должна быть больше нуля",IF(AND(H203&lt;&gt;0,F203=""),"БЛОК: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отделить",IF(AND(G203&lt;&gt;0,F203=""),"БЛОК: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нельзя",IF(AND(F203&lt;&gt;"",COUNTIF('Долг по актам'!$B$5:$B$34,F203)=0),"БЛОК: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договору")&gt;0)*($C$5:$C$504&lt;&gt;C203)*($E$5:$E$504=E203)*(($D$5:$D$504=D203)*(D203&lt;&gt;"")+($B$5:$B$504=B203)*(B203&lt;&gt;"")&gt;0))&gt;0,"БЛОК: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операцию",IF(AND(C203="Оплата",K203&lt;&gt;"Отдельный платёж — не сам аванс (сверено с выпиской банка)",OR(COUNTIFS($C$5:$C$504,"Зачёт аванса по договору",$E$5:$E$504,E203)&gt;0,ROUND(E203-$M$6,2)=0)),"БЛОК: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3" s="185" t="str">
        <x:f>IF(AND(B203="",C203="",E203=""),"",SUM($G$5:G203))</x:f>
        <x:v/>
      </x:c>
      <x:c r="K203" s="178"/>
      <x:c r="L203" s="46"/>
      <x:c r="M203" s="46"/>
    </x:row>
    <x:row r="204" ht="29" customHeight="1">
      <x:c r="A204" s="199">
        <x:v>200</x:v>
      </x:c>
      <x:c r="B204" s="162"/>
      <x:c r="C204" s="163"/>
      <x:c r="D204" s="163"/>
      <x:c r="E204" s="164"/>
      <x:c r="F204" s="163"/>
      <x:c r="G204" s="185">
        <x:f t="shared" si="6"/>
        <x:v>0</x:v>
      </x:c>
      <x:c r="H204" s="185">
        <x:f t="shared" si="7"/>
        <x:v>0</x:v>
      </x:c>
      <x:c r="I204" s="186">
        <x:f>IF(AND(B204="",C204="",D204="",E204="",F204=""),"",IF(OR(B204="",C204="",E204=""),"БЛОК: нужны дата, тип операции и сумма",IF(N(E204)&lt;=0,"БЛОК: сумма должна быть больше нуля",IF(AND(H204&lt;&gt;0,F204=""),"БЛОК: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отделить",IF(AND(G204&lt;&gt;0,F204=""),"БЛОК: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нельзя",IF(AND(F204&lt;&gt;"",COUNTIF('Долг по актам'!$B$5:$B$34,F204)=0),"БЛОК: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договору")&gt;0)*($C$5:$C$504&lt;&gt;C204)*($E$5:$E$504=E204)*(($D$5:$D$504=D204)*(D204&lt;&gt;"")+($B$5:$B$504=B204)*(B204&lt;&gt;"")&gt;0))&gt;0,"БЛОК: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операцию",IF(AND(C204="Оплата",K204&lt;&gt;"Отдельный платёж — не сам аванс (сверено с выпиской банка)",OR(COUNTIFS($C$5:$C$504,"Зачёт аванса по договору",$E$5:$E$504,E204)&gt;0,ROUND(E204-$M$6,2)=0)),"БЛОК: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4" s="185" t="str">
        <x:f>IF(AND(B204="",C204="",E204=""),"",SUM($G$5:G204))</x:f>
        <x:v/>
      </x:c>
      <x:c r="K204" s="178"/>
      <x:c r="L204" s="46"/>
      <x:c r="M204" s="46"/>
    </x:row>
    <x:row r="205" ht="29" customHeight="1">
      <x:c r="A205" s="199">
        <x:v>201</x:v>
      </x:c>
      <x:c r="B205" s="162"/>
      <x:c r="C205" s="163"/>
      <x:c r="D205" s="163"/>
      <x:c r="E205" s="164"/>
      <x:c r="F205" s="163"/>
      <x:c r="G205" s="185">
        <x:f t="shared" si="6"/>
        <x:v>0</x:v>
      </x:c>
      <x:c r="H205" s="185">
        <x:f t="shared" si="7"/>
        <x:v>0</x:v>
      </x:c>
      <x:c r="I205" s="186">
        <x:f>IF(AND(B205="",C205="",D205="",E205="",F205=""),"",IF(OR(B205="",C205="",E205=""),"БЛОК: нужны дата, тип операции и сумма",IF(N(E205)&lt;=0,"БЛОК: сумма должна быть больше нуля",IF(AND(H205&lt;&gt;0,F205=""),"БЛОК: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отделить",IF(AND(G205&lt;&gt;0,F205=""),"БЛОК: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нельзя",IF(AND(F205&lt;&gt;"",COUNTIF('Долг по актам'!$B$5:$B$34,F205)=0),"БЛОК: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договору")&gt;0)*($C$5:$C$504&lt;&gt;C205)*($E$5:$E$504=E205)*(($D$5:$D$504=D205)*(D205&lt;&gt;"")+($B$5:$B$504=B205)*(B205&lt;&gt;"")&gt;0))&gt;0,"БЛОК: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операцию",IF(AND(C205="Оплата",K205&lt;&gt;"Отдельный платёж — не сам аванс (сверено с выпиской банка)",OR(COUNTIFS($C$5:$C$504,"Зачёт аванса по договору",$E$5:$E$504,E205)&gt;0,ROUND(E205-$M$6,2)=0)),"БЛОК: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5" s="185" t="str">
        <x:f>IF(AND(B205="",C205="",E205=""),"",SUM($G$5:G205))</x:f>
        <x:v/>
      </x:c>
      <x:c r="K205" s="178"/>
      <x:c r="L205" s="46"/>
      <x:c r="M205" s="46"/>
    </x:row>
    <x:row r="206" ht="29" customHeight="1">
      <x:c r="A206" s="199">
        <x:v>202</x:v>
      </x:c>
      <x:c r="B206" s="162"/>
      <x:c r="C206" s="163"/>
      <x:c r="D206" s="163"/>
      <x:c r="E206" s="164"/>
      <x:c r="F206" s="163"/>
      <x:c r="G206" s="185">
        <x:f t="shared" si="6"/>
        <x:v>0</x:v>
      </x:c>
      <x:c r="H206" s="185">
        <x:f t="shared" si="7"/>
        <x:v>0</x:v>
      </x:c>
      <x:c r="I206" s="186">
        <x:f>IF(AND(B206="",C206="",D206="",E206="",F206=""),"",IF(OR(B206="",C206="",E206=""),"БЛОК: нужны дата, тип операции и сумма",IF(N(E206)&lt;=0,"БЛОК: сумма должна быть больше нуля",IF(AND(H206&lt;&gt;0,F206=""),"БЛОК: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отделить",IF(AND(G206&lt;&gt;0,F206=""),"БЛОК: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нельзя",IF(AND(F206&lt;&gt;"",COUNTIF('Долг по актам'!$B$5:$B$34,F206)=0),"БЛОК: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договору")&gt;0)*($C$5:$C$504&lt;&gt;C206)*($E$5:$E$504=E206)*(($D$5:$D$504=D206)*(D206&lt;&gt;"")+($B$5:$B$504=B206)*(B206&lt;&gt;"")&gt;0))&gt;0,"БЛОК: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операцию",IF(AND(C206="Оплата",K206&lt;&gt;"Отдельный платёж — не сам аванс (сверено с выпиской банка)",OR(COUNTIFS($C$5:$C$504,"Зачёт аванса по договору",$E$5:$E$504,E206)&gt;0,ROUND(E206-$M$6,2)=0)),"БЛОК: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6" s="185" t="str">
        <x:f>IF(AND(B206="",C206="",E206=""),"",SUM($G$5:G206))</x:f>
        <x:v/>
      </x:c>
      <x:c r="K206" s="178"/>
      <x:c r="L206" s="46"/>
      <x:c r="M206" s="46"/>
    </x:row>
    <x:row r="207" ht="29" customHeight="1">
      <x:c r="A207" s="199">
        <x:v>203</x:v>
      </x:c>
      <x:c r="B207" s="162"/>
      <x:c r="C207" s="163"/>
      <x:c r="D207" s="163"/>
      <x:c r="E207" s="164"/>
      <x:c r="F207" s="163"/>
      <x:c r="G207" s="185">
        <x:f t="shared" si="6"/>
        <x:v>0</x:v>
      </x:c>
      <x:c r="H207" s="185">
        <x:f t="shared" si="7"/>
        <x:v>0</x:v>
      </x:c>
      <x:c r="I207" s="186">
        <x:f>IF(AND(B207="",C207="",D207="",E207="",F207=""),"",IF(OR(B207="",C207="",E207=""),"БЛОК: нужны дата, тип операции и сумма",IF(N(E207)&lt;=0,"БЛОК: сумма должна быть больше нуля",IF(AND(H207&lt;&gt;0,F207=""),"БЛОК: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отделить",IF(AND(G207&lt;&gt;0,F207=""),"БЛОК: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нельзя",IF(AND(F207&lt;&gt;"",COUNTIF('Долг по актам'!$B$5:$B$34,F207)=0),"БЛОК: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договору")&gt;0)*($C$5:$C$504&lt;&gt;C207)*($E$5:$E$504=E207)*(($D$5:$D$504=D207)*(D207&lt;&gt;"")+($B$5:$B$504=B207)*(B207&lt;&gt;"")&gt;0))&gt;0,"БЛОК: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операцию",IF(AND(C207="Оплата",K207&lt;&gt;"Отдельный платёж — не сам аванс (сверено с выпиской банка)",OR(COUNTIFS($C$5:$C$504,"Зачёт аванса по договору",$E$5:$E$504,E207)&gt;0,ROUND(E207-$M$6,2)=0)),"БЛОК: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7" s="185" t="str">
        <x:f>IF(AND(B207="",C207="",E207=""),"",SUM($G$5:G207))</x:f>
        <x:v/>
      </x:c>
      <x:c r="K207" s="178"/>
      <x:c r="L207" s="46"/>
      <x:c r="M207" s="46"/>
    </x:row>
    <x:row r="208" ht="29" customHeight="1">
      <x:c r="A208" s="199">
        <x:v>204</x:v>
      </x:c>
      <x:c r="B208" s="162"/>
      <x:c r="C208" s="163"/>
      <x:c r="D208" s="163"/>
      <x:c r="E208" s="164"/>
      <x:c r="F208" s="163"/>
      <x:c r="G208" s="185">
        <x:f t="shared" si="6"/>
        <x:v>0</x:v>
      </x:c>
      <x:c r="H208" s="185">
        <x:f t="shared" si="7"/>
        <x:v>0</x:v>
      </x:c>
      <x:c r="I208" s="186">
        <x:f>IF(AND(B208="",C208="",D208="",E208="",F208=""),"",IF(OR(B208="",C208="",E208=""),"БЛОК: нужны дата, тип операции и сумма",IF(N(E208)&lt;=0,"БЛОК: сумма должна быть больше нуля",IF(AND(H208&lt;&gt;0,F208=""),"БЛОК: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отделить",IF(AND(G208&lt;&gt;0,F208=""),"БЛОК: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нельзя",IF(AND(F208&lt;&gt;"",COUNTIF('Долг по актам'!$B$5:$B$34,F208)=0),"БЛОК: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договору")&gt;0)*($C$5:$C$504&lt;&gt;C208)*($E$5:$E$504=E208)*(($D$5:$D$504=D208)*(D208&lt;&gt;"")+($B$5:$B$504=B208)*(B208&lt;&gt;"")&gt;0))&gt;0,"БЛОК: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операцию",IF(AND(C208="Оплата",K208&lt;&gt;"Отдельный платёж — не сам аванс (сверено с выпиской банка)",OR(COUNTIFS($C$5:$C$504,"Зачёт аванса по договору",$E$5:$E$504,E208)&gt;0,ROUND(E208-$M$6,2)=0)),"БЛОК: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8" s="185" t="str">
        <x:f>IF(AND(B208="",C208="",E208=""),"",SUM($G$5:G208))</x:f>
        <x:v/>
      </x:c>
      <x:c r="K208" s="178"/>
      <x:c r="L208" s="46"/>
      <x:c r="M208" s="46"/>
    </x:row>
    <x:row r="209" ht="29" customHeight="1">
      <x:c r="A209" s="199">
        <x:v>205</x:v>
      </x:c>
      <x:c r="B209" s="162"/>
      <x:c r="C209" s="163"/>
      <x:c r="D209" s="163"/>
      <x:c r="E209" s="164"/>
      <x:c r="F209" s="163"/>
      <x:c r="G209" s="185">
        <x:f t="shared" si="6"/>
        <x:v>0</x:v>
      </x:c>
      <x:c r="H209" s="185">
        <x:f t="shared" si="7"/>
        <x:v>0</x:v>
      </x:c>
      <x:c r="I209" s="186">
        <x:f>IF(AND(B209="",C209="",D209="",E209="",F209=""),"",IF(OR(B209="",C209="",E209=""),"БЛОК: нужны дата, тип операции и сумма",IF(N(E209)&lt;=0,"БЛОК: сумма должна быть больше нуля",IF(AND(H209&lt;&gt;0,F209=""),"БЛОК: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отделить",IF(AND(G209&lt;&gt;0,F209=""),"БЛОК: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нельзя",IF(AND(F209&lt;&gt;"",COUNTIF('Долг по актам'!$B$5:$B$34,F209)=0),"БЛОК: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договору")&gt;0)*($C$5:$C$504&lt;&gt;C209)*($E$5:$E$504=E209)*(($D$5:$D$504=D209)*(D209&lt;&gt;"")+($B$5:$B$504=B209)*(B209&lt;&gt;"")&gt;0))&gt;0,"БЛОК: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операцию",IF(AND(C209="Оплата",K209&lt;&gt;"Отдельный платёж — не сам аванс (сверено с выпиской банка)",OR(COUNTIFS($C$5:$C$504,"Зачёт аванса по договору",$E$5:$E$504,E209)&gt;0,ROUND(E209-$M$6,2)=0)),"БЛОК: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09" s="185" t="str">
        <x:f>IF(AND(B209="",C209="",E209=""),"",SUM($G$5:G209))</x:f>
        <x:v/>
      </x:c>
      <x:c r="K209" s="178"/>
      <x:c r="L209" s="46"/>
      <x:c r="M209" s="46"/>
    </x:row>
    <x:row r="210" ht="29" customHeight="1">
      <x:c r="A210" s="199">
        <x:v>206</x:v>
      </x:c>
      <x:c r="B210" s="162"/>
      <x:c r="C210" s="163"/>
      <x:c r="D210" s="163"/>
      <x:c r="E210" s="164"/>
      <x:c r="F210" s="163"/>
      <x:c r="G210" s="185">
        <x:f t="shared" si="6"/>
        <x:v>0</x:v>
      </x:c>
      <x:c r="H210" s="185">
        <x:f t="shared" si="7"/>
        <x:v>0</x:v>
      </x:c>
      <x:c r="I210" s="186">
        <x:f>IF(AND(B210="",C210="",D210="",E210="",F210=""),"",IF(OR(B210="",C210="",E210=""),"БЛОК: нужны дата, тип операции и сумма",IF(N(E210)&lt;=0,"БЛОК: сумма должна быть больше нуля",IF(AND(H210&lt;&gt;0,F210=""),"БЛОК: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отделить",IF(AND(G210&lt;&gt;0,F210=""),"БЛОК: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нельзя",IF(AND(F210&lt;&gt;"",COUNTIF('Долг по актам'!$B$5:$B$34,F210)=0),"БЛОК: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договору")&gt;0)*($C$5:$C$504&lt;&gt;C210)*($E$5:$E$504=E210)*(($D$5:$D$504=D210)*(D210&lt;&gt;"")+($B$5:$B$504=B210)*(B210&lt;&gt;"")&gt;0))&gt;0,"БЛОК: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операцию",IF(AND(C210="Оплата",K210&lt;&gt;"Отдельный платёж — не сам аванс (сверено с выпиской банка)",OR(COUNTIFS($C$5:$C$504,"Зачёт аванса по договору",$E$5:$E$504,E210)&gt;0,ROUND(E210-$M$6,2)=0)),"БЛОК: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0" s="185" t="str">
        <x:f>IF(AND(B210="",C210="",E210=""),"",SUM($G$5:G210))</x:f>
        <x:v/>
      </x:c>
      <x:c r="K210" s="178"/>
      <x:c r="L210" s="46"/>
      <x:c r="M210" s="46"/>
    </x:row>
    <x:row r="211" ht="29" customHeight="1">
      <x:c r="A211" s="199">
        <x:v>207</x:v>
      </x:c>
      <x:c r="B211" s="162"/>
      <x:c r="C211" s="163"/>
      <x:c r="D211" s="163"/>
      <x:c r="E211" s="164"/>
      <x:c r="F211" s="163"/>
      <x:c r="G211" s="185">
        <x:f t="shared" si="6"/>
        <x:v>0</x:v>
      </x:c>
      <x:c r="H211" s="185">
        <x:f t="shared" si="7"/>
        <x:v>0</x:v>
      </x:c>
      <x:c r="I211" s="186">
        <x:f>IF(AND(B211="",C211="",D211="",E211="",F211=""),"",IF(OR(B211="",C211="",E211=""),"БЛОК: нужны дата, тип операции и сумма",IF(N(E211)&lt;=0,"БЛОК: сумма должна быть больше нуля",IF(AND(H211&lt;&gt;0,F211=""),"БЛОК: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отделить",IF(AND(G211&lt;&gt;0,F211=""),"БЛОК: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нельзя",IF(AND(F211&lt;&gt;"",COUNTIF('Долг по актам'!$B$5:$B$34,F211)=0),"БЛОК: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договору")&gt;0)*($C$5:$C$504&lt;&gt;C211)*($E$5:$E$504=E211)*(($D$5:$D$504=D211)*(D211&lt;&gt;"")+($B$5:$B$504=B211)*(B211&lt;&gt;"")&gt;0))&gt;0,"БЛОК: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операцию",IF(AND(C211="Оплата",K211&lt;&gt;"Отдельный платёж — не сам аванс (сверено с выпиской банка)",OR(COUNTIFS($C$5:$C$504,"Зачёт аванса по договору",$E$5:$E$504,E211)&gt;0,ROUND(E211-$M$6,2)=0)),"БЛОК: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1" s="185" t="str">
        <x:f>IF(AND(B211="",C211="",E211=""),"",SUM($G$5:G211))</x:f>
        <x:v/>
      </x:c>
      <x:c r="K211" s="178"/>
      <x:c r="L211" s="46"/>
      <x:c r="M211" s="46"/>
    </x:row>
    <x:row r="212" ht="29" customHeight="1">
      <x:c r="A212" s="199">
        <x:v>208</x:v>
      </x:c>
      <x:c r="B212" s="162"/>
      <x:c r="C212" s="163"/>
      <x:c r="D212" s="163"/>
      <x:c r="E212" s="164"/>
      <x:c r="F212" s="163"/>
      <x:c r="G212" s="185">
        <x:f t="shared" si="6"/>
        <x:v>0</x:v>
      </x:c>
      <x:c r="H212" s="185">
        <x:f t="shared" si="7"/>
        <x:v>0</x:v>
      </x:c>
      <x:c r="I212" s="186">
        <x:f>IF(AND(B212="",C212="",D212="",E212="",F212=""),"",IF(OR(B212="",C212="",E212=""),"БЛОК: нужны дата, тип операции и сумма",IF(N(E212)&lt;=0,"БЛОК: сумма должна быть больше нуля",IF(AND(H212&lt;&gt;0,F212=""),"БЛОК: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отделить",IF(AND(G212&lt;&gt;0,F212=""),"БЛОК: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нельзя",IF(AND(F212&lt;&gt;"",COUNTIF('Долг по актам'!$B$5:$B$34,F212)=0),"БЛОК: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договору")&gt;0)*($C$5:$C$504&lt;&gt;C212)*($E$5:$E$504=E212)*(($D$5:$D$504=D212)*(D212&lt;&gt;"")+($B$5:$B$504=B212)*(B212&lt;&gt;"")&gt;0))&gt;0,"БЛОК: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операцию",IF(AND(C212="Оплата",K212&lt;&gt;"Отдельный платёж — не сам аванс (сверено с выпиской банка)",OR(COUNTIFS($C$5:$C$504,"Зачёт аванса по договору",$E$5:$E$504,E212)&gt;0,ROUND(E212-$M$6,2)=0)),"БЛОК: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2" s="185" t="str">
        <x:f>IF(AND(B212="",C212="",E212=""),"",SUM($G$5:G212))</x:f>
        <x:v/>
      </x:c>
      <x:c r="K212" s="178"/>
      <x:c r="L212" s="46"/>
      <x:c r="M212" s="46"/>
    </x:row>
    <x:row r="213" ht="29" customHeight="1">
      <x:c r="A213" s="199">
        <x:v>209</x:v>
      </x:c>
      <x:c r="B213" s="162"/>
      <x:c r="C213" s="163"/>
      <x:c r="D213" s="163"/>
      <x:c r="E213" s="164"/>
      <x:c r="F213" s="163"/>
      <x:c r="G213" s="185">
        <x:f t="shared" si="6"/>
        <x:v>0</x:v>
      </x:c>
      <x:c r="H213" s="185">
        <x:f t="shared" si="7"/>
        <x:v>0</x:v>
      </x:c>
      <x:c r="I213" s="186">
        <x:f>IF(AND(B213="",C213="",D213="",E213="",F213=""),"",IF(OR(B213="",C213="",E213=""),"БЛОК: нужны дата, тип операции и сумма",IF(N(E213)&lt;=0,"БЛОК: сумма должна быть больше нуля",IF(AND(H213&lt;&gt;0,F213=""),"БЛОК: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отделить",IF(AND(G213&lt;&gt;0,F213=""),"БЛОК: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нельзя",IF(AND(F213&lt;&gt;"",COUNTIF('Долг по актам'!$B$5:$B$34,F213)=0),"БЛОК: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договору")&gt;0)*($C$5:$C$504&lt;&gt;C213)*($E$5:$E$504=E213)*(($D$5:$D$504=D213)*(D213&lt;&gt;"")+($B$5:$B$504=B213)*(B213&lt;&gt;"")&gt;0))&gt;0,"БЛОК: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операцию",IF(AND(C213="Оплата",K213&lt;&gt;"Отдельный платёж — не сам аванс (сверено с выпиской банка)",OR(COUNTIFS($C$5:$C$504,"Зачёт аванса по договору",$E$5:$E$504,E213)&gt;0,ROUND(E213-$M$6,2)=0)),"БЛОК: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3" s="185" t="str">
        <x:f>IF(AND(B213="",C213="",E213=""),"",SUM($G$5:G213))</x:f>
        <x:v/>
      </x:c>
      <x:c r="K213" s="178"/>
      <x:c r="L213" s="46"/>
      <x:c r="M213" s="46"/>
    </x:row>
    <x:row r="214" ht="29" customHeight="1">
      <x:c r="A214" s="199">
        <x:v>210</x:v>
      </x:c>
      <x:c r="B214" s="162"/>
      <x:c r="C214" s="163"/>
      <x:c r="D214" s="163"/>
      <x:c r="E214" s="164"/>
      <x:c r="F214" s="163"/>
      <x:c r="G214" s="185">
        <x:f t="shared" si="6"/>
        <x:v>0</x:v>
      </x:c>
      <x:c r="H214" s="185">
        <x:f t="shared" si="7"/>
        <x:v>0</x:v>
      </x:c>
      <x:c r="I214" s="186">
        <x:f>IF(AND(B214="",C214="",D214="",E214="",F214=""),"",IF(OR(B214="",C214="",E214=""),"БЛОК: нужны дата, тип операции и сумма",IF(N(E214)&lt;=0,"БЛОК: сумма должна быть больше нуля",IF(AND(H214&lt;&gt;0,F214=""),"БЛОК: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отделить",IF(AND(G214&lt;&gt;0,F214=""),"БЛОК: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нельзя",IF(AND(F214&lt;&gt;"",COUNTIF('Долг по актам'!$B$5:$B$34,F214)=0),"БЛОК: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договору")&gt;0)*($C$5:$C$504&lt;&gt;C214)*($E$5:$E$504=E214)*(($D$5:$D$504=D214)*(D214&lt;&gt;"")+($B$5:$B$504=B214)*(B214&lt;&gt;"")&gt;0))&gt;0,"БЛОК: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операцию",IF(AND(C214="Оплата",K214&lt;&gt;"Отдельный платёж — не сам аванс (сверено с выпиской банка)",OR(COUNTIFS($C$5:$C$504,"Зачёт аванса по договору",$E$5:$E$504,E214)&gt;0,ROUND(E214-$M$6,2)=0)),"БЛОК: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4" s="185" t="str">
        <x:f>IF(AND(B214="",C214="",E214=""),"",SUM($G$5:G214))</x:f>
        <x:v/>
      </x:c>
      <x:c r="K214" s="178"/>
      <x:c r="L214" s="46"/>
      <x:c r="M214" s="46"/>
    </x:row>
    <x:row r="215" ht="29" customHeight="1">
      <x:c r="A215" s="199">
        <x:v>211</x:v>
      </x:c>
      <x:c r="B215" s="162"/>
      <x:c r="C215" s="163"/>
      <x:c r="D215" s="163"/>
      <x:c r="E215" s="164"/>
      <x:c r="F215" s="163"/>
      <x:c r="G215" s="185">
        <x:f t="shared" si="6"/>
        <x:v>0</x:v>
      </x:c>
      <x:c r="H215" s="185">
        <x:f t="shared" si="7"/>
        <x:v>0</x:v>
      </x:c>
      <x:c r="I215" s="186">
        <x:f>IF(AND(B215="",C215="",D215="",E215="",F215=""),"",IF(OR(B215="",C215="",E215=""),"БЛОК: нужны дата, тип операции и сумма",IF(N(E215)&lt;=0,"БЛОК: сумма должна быть больше нуля",IF(AND(H215&lt;&gt;0,F215=""),"БЛОК: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отделить",IF(AND(G215&lt;&gt;0,F215=""),"БЛОК: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нельзя",IF(AND(F215&lt;&gt;"",COUNTIF('Долг по актам'!$B$5:$B$34,F215)=0),"БЛОК: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договору")&gt;0)*($C$5:$C$504&lt;&gt;C215)*($E$5:$E$504=E215)*(($D$5:$D$504=D215)*(D215&lt;&gt;"")+($B$5:$B$504=B215)*(B215&lt;&gt;"")&gt;0))&gt;0,"БЛОК: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операцию",IF(AND(C215="Оплата",K215&lt;&gt;"Отдельный платёж — не сам аванс (сверено с выпиской банка)",OR(COUNTIFS($C$5:$C$504,"Зачёт аванса по договору",$E$5:$E$504,E215)&gt;0,ROUND(E215-$M$6,2)=0)),"БЛОК: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5" s="185" t="str">
        <x:f>IF(AND(B215="",C215="",E215=""),"",SUM($G$5:G215))</x:f>
        <x:v/>
      </x:c>
      <x:c r="K215" s="178"/>
      <x:c r="L215" s="46"/>
      <x:c r="M215" s="46"/>
    </x:row>
    <x:row r="216" ht="29" customHeight="1">
      <x:c r="A216" s="199">
        <x:v>212</x:v>
      </x:c>
      <x:c r="B216" s="162"/>
      <x:c r="C216" s="163"/>
      <x:c r="D216" s="163"/>
      <x:c r="E216" s="164"/>
      <x:c r="F216" s="163"/>
      <x:c r="G216" s="185">
        <x:f t="shared" si="6"/>
        <x:v>0</x:v>
      </x:c>
      <x:c r="H216" s="185">
        <x:f t="shared" si="7"/>
        <x:v>0</x:v>
      </x:c>
      <x:c r="I216" s="186">
        <x:f>IF(AND(B216="",C216="",D216="",E216="",F216=""),"",IF(OR(B216="",C216="",E216=""),"БЛОК: нужны дата, тип операции и сумма",IF(N(E216)&lt;=0,"БЛОК: сумма должна быть больше нуля",IF(AND(H216&lt;&gt;0,F216=""),"БЛОК: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отделить",IF(AND(G216&lt;&gt;0,F216=""),"БЛОК: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нельзя",IF(AND(F216&lt;&gt;"",COUNTIF('Долг по актам'!$B$5:$B$34,F216)=0),"БЛОК: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договору")&gt;0)*($C$5:$C$504&lt;&gt;C216)*($E$5:$E$504=E216)*(($D$5:$D$504=D216)*(D216&lt;&gt;"")+($B$5:$B$504=B216)*(B216&lt;&gt;"")&gt;0))&gt;0,"БЛОК: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операцию",IF(AND(C216="Оплата",K216&lt;&gt;"Отдельный платёж — не сам аванс (сверено с выпиской банка)",OR(COUNTIFS($C$5:$C$504,"Зачёт аванса по договору",$E$5:$E$504,E216)&gt;0,ROUND(E216-$M$6,2)=0)),"БЛОК: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6" s="185" t="str">
        <x:f>IF(AND(B216="",C216="",E216=""),"",SUM($G$5:G216))</x:f>
        <x:v/>
      </x:c>
      <x:c r="K216" s="178"/>
      <x:c r="L216" s="46"/>
      <x:c r="M216" s="46"/>
    </x:row>
    <x:row r="217" ht="29" customHeight="1">
      <x:c r="A217" s="199">
        <x:v>213</x:v>
      </x:c>
      <x:c r="B217" s="162"/>
      <x:c r="C217" s="163"/>
      <x:c r="D217" s="163"/>
      <x:c r="E217" s="164"/>
      <x:c r="F217" s="163"/>
      <x:c r="G217" s="185">
        <x:f t="shared" si="6"/>
        <x:v>0</x:v>
      </x:c>
      <x:c r="H217" s="185">
        <x:f t="shared" si="7"/>
        <x:v>0</x:v>
      </x:c>
      <x:c r="I217" s="186">
        <x:f>IF(AND(B217="",C217="",D217="",E217="",F217=""),"",IF(OR(B217="",C217="",E217=""),"БЛОК: нужны дата, тип операции и сумма",IF(N(E217)&lt;=0,"БЛОК: сумма должна быть больше нуля",IF(AND(H217&lt;&gt;0,F217=""),"БЛОК: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отделить",IF(AND(G217&lt;&gt;0,F217=""),"БЛОК: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нельзя",IF(AND(F217&lt;&gt;"",COUNTIF('Долг по актам'!$B$5:$B$34,F217)=0),"БЛОК: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договору")&gt;0)*($C$5:$C$504&lt;&gt;C217)*($E$5:$E$504=E217)*(($D$5:$D$504=D217)*(D217&lt;&gt;"")+($B$5:$B$504=B217)*(B217&lt;&gt;"")&gt;0))&gt;0,"БЛОК: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операцию",IF(AND(C217="Оплата",K217&lt;&gt;"Отдельный платёж — не сам аванс (сверено с выпиской банка)",OR(COUNTIFS($C$5:$C$504,"Зачёт аванса по договору",$E$5:$E$504,E217)&gt;0,ROUND(E217-$M$6,2)=0)),"БЛОК: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7" s="185" t="str">
        <x:f>IF(AND(B217="",C217="",E217=""),"",SUM($G$5:G217))</x:f>
        <x:v/>
      </x:c>
      <x:c r="K217" s="178"/>
      <x:c r="L217" s="46"/>
      <x:c r="M217" s="46"/>
    </x:row>
    <x:row r="218" ht="29" customHeight="1">
      <x:c r="A218" s="199">
        <x:v>214</x:v>
      </x:c>
      <x:c r="B218" s="162"/>
      <x:c r="C218" s="163"/>
      <x:c r="D218" s="163"/>
      <x:c r="E218" s="164"/>
      <x:c r="F218" s="163"/>
      <x:c r="G218" s="185">
        <x:f t="shared" si="6"/>
        <x:v>0</x:v>
      </x:c>
      <x:c r="H218" s="185">
        <x:f t="shared" si="7"/>
        <x:v>0</x:v>
      </x:c>
      <x:c r="I218" s="186">
        <x:f>IF(AND(B218="",C218="",D218="",E218="",F218=""),"",IF(OR(B218="",C218="",E218=""),"БЛОК: нужны дата, тип операции и сумма",IF(N(E218)&lt;=0,"БЛОК: сумма должна быть больше нуля",IF(AND(H218&lt;&gt;0,F218=""),"БЛОК: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отделить",IF(AND(G218&lt;&gt;0,F218=""),"БЛОК: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нельзя",IF(AND(F218&lt;&gt;"",COUNTIF('Долг по актам'!$B$5:$B$34,F218)=0),"БЛОК: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договору")&gt;0)*($C$5:$C$504&lt;&gt;C218)*($E$5:$E$504=E218)*(($D$5:$D$504=D218)*(D218&lt;&gt;"")+($B$5:$B$504=B218)*(B218&lt;&gt;"")&gt;0))&gt;0,"БЛОК: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операцию",IF(AND(C218="Оплата",K218&lt;&gt;"Отдельный платёж — не сам аванс (сверено с выпиской банка)",OR(COUNTIFS($C$5:$C$504,"Зачёт аванса по договору",$E$5:$E$504,E218)&gt;0,ROUND(E218-$M$6,2)=0)),"БЛОК: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8" s="185" t="str">
        <x:f>IF(AND(B218="",C218="",E218=""),"",SUM($G$5:G218))</x:f>
        <x:v/>
      </x:c>
      <x:c r="K218" s="178"/>
      <x:c r="L218" s="46"/>
      <x:c r="M218" s="46"/>
    </x:row>
    <x:row r="219" ht="29" customHeight="1">
      <x:c r="A219" s="199">
        <x:v>215</x:v>
      </x:c>
      <x:c r="B219" s="162"/>
      <x:c r="C219" s="163"/>
      <x:c r="D219" s="163"/>
      <x:c r="E219" s="164"/>
      <x:c r="F219" s="163"/>
      <x:c r="G219" s="185">
        <x:f t="shared" si="6"/>
        <x:v>0</x:v>
      </x:c>
      <x:c r="H219" s="185">
        <x:f t="shared" si="7"/>
        <x:v>0</x:v>
      </x:c>
      <x:c r="I219" s="186">
        <x:f>IF(AND(B219="",C219="",D219="",E219="",F219=""),"",IF(OR(B219="",C219="",E219=""),"БЛОК: нужны дата, тип операции и сумма",IF(N(E219)&lt;=0,"БЛОК: сумма должна быть больше нуля",IF(AND(H219&lt;&gt;0,F219=""),"БЛОК: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отделить",IF(AND(G219&lt;&gt;0,F219=""),"БЛОК: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нельзя",IF(AND(F219&lt;&gt;"",COUNTIF('Долг по актам'!$B$5:$B$34,F219)=0),"БЛОК: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договору")&gt;0)*($C$5:$C$504&lt;&gt;C219)*($E$5:$E$504=E219)*(($D$5:$D$504=D219)*(D219&lt;&gt;"")+($B$5:$B$504=B219)*(B219&lt;&gt;"")&gt;0))&gt;0,"БЛОК: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операцию",IF(AND(C219="Оплата",K219&lt;&gt;"Отдельный платёж — не сам аванс (сверено с выпиской банка)",OR(COUNTIFS($C$5:$C$504,"Зачёт аванса по договору",$E$5:$E$504,E219)&gt;0,ROUND(E219-$M$6,2)=0)),"БЛОК: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19" s="185" t="str">
        <x:f>IF(AND(B219="",C219="",E219=""),"",SUM($G$5:G219))</x:f>
        <x:v/>
      </x:c>
      <x:c r="K219" s="178"/>
      <x:c r="L219" s="46"/>
      <x:c r="M219" s="46"/>
    </x:row>
    <x:row r="220" ht="29" customHeight="1">
      <x:c r="A220" s="199">
        <x:v>216</x:v>
      </x:c>
      <x:c r="B220" s="162"/>
      <x:c r="C220" s="163"/>
      <x:c r="D220" s="163"/>
      <x:c r="E220" s="164"/>
      <x:c r="F220" s="163"/>
      <x:c r="G220" s="185">
        <x:f t="shared" si="6"/>
        <x:v>0</x:v>
      </x:c>
      <x:c r="H220" s="185">
        <x:f t="shared" si="7"/>
        <x:v>0</x:v>
      </x:c>
      <x:c r="I220" s="186">
        <x:f>IF(AND(B220="",C220="",D220="",E220="",F220=""),"",IF(OR(B220="",C220="",E220=""),"БЛОК: нужны дата, тип операции и сумма",IF(N(E220)&lt;=0,"БЛОК: сумма должна быть больше нуля",IF(AND(H220&lt;&gt;0,F220=""),"БЛОК: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отделить",IF(AND(G220&lt;&gt;0,F220=""),"БЛОК: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нельзя",IF(AND(F220&lt;&gt;"",COUNTIF('Долг по актам'!$B$5:$B$34,F220)=0),"БЛОК: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договору")&gt;0)*($C$5:$C$504&lt;&gt;C220)*($E$5:$E$504=E220)*(($D$5:$D$504=D220)*(D220&lt;&gt;"")+($B$5:$B$504=B220)*(B220&lt;&gt;"")&gt;0))&gt;0,"БЛОК: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операцию",IF(AND(C220="Оплата",K220&lt;&gt;"Отдельный платёж — не сам аванс (сверено с выпиской банка)",OR(COUNTIFS($C$5:$C$504,"Зачёт аванса по договору",$E$5:$E$504,E220)&gt;0,ROUND(E220-$M$6,2)=0)),"БЛОК: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0" s="185" t="str">
        <x:f>IF(AND(B220="",C220="",E220=""),"",SUM($G$5:G220))</x:f>
        <x:v/>
      </x:c>
      <x:c r="K220" s="178"/>
      <x:c r="L220" s="46"/>
      <x:c r="M220" s="46"/>
    </x:row>
    <x:row r="221" ht="29" customHeight="1">
      <x:c r="A221" s="199">
        <x:v>217</x:v>
      </x:c>
      <x:c r="B221" s="162"/>
      <x:c r="C221" s="163"/>
      <x:c r="D221" s="163"/>
      <x:c r="E221" s="164"/>
      <x:c r="F221" s="163"/>
      <x:c r="G221" s="185">
        <x:f t="shared" si="6"/>
        <x:v>0</x:v>
      </x:c>
      <x:c r="H221" s="185">
        <x:f t="shared" si="7"/>
        <x:v>0</x:v>
      </x:c>
      <x:c r="I221" s="186">
        <x:f>IF(AND(B221="",C221="",D221="",E221="",F221=""),"",IF(OR(B221="",C221="",E221=""),"БЛОК: нужны дата, тип операции и сумма",IF(N(E221)&lt;=0,"БЛОК: сумма должна быть больше нуля",IF(AND(H221&lt;&gt;0,F221=""),"БЛОК: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отделить",IF(AND(G221&lt;&gt;0,F221=""),"БЛОК: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нельзя",IF(AND(F221&lt;&gt;"",COUNTIF('Долг по актам'!$B$5:$B$34,F221)=0),"БЛОК: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договору")&gt;0)*($C$5:$C$504&lt;&gt;C221)*($E$5:$E$504=E221)*(($D$5:$D$504=D221)*(D221&lt;&gt;"")+($B$5:$B$504=B221)*(B221&lt;&gt;"")&gt;0))&gt;0,"БЛОК: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операцию",IF(AND(C221="Оплата",K221&lt;&gt;"Отдельный платёж — не сам аванс (сверено с выпиской банка)",OR(COUNTIFS($C$5:$C$504,"Зачёт аванса по договору",$E$5:$E$504,E221)&gt;0,ROUND(E221-$M$6,2)=0)),"БЛОК: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1" s="185" t="str">
        <x:f>IF(AND(B221="",C221="",E221=""),"",SUM($G$5:G221))</x:f>
        <x:v/>
      </x:c>
      <x:c r="K221" s="178"/>
      <x:c r="L221" s="46"/>
      <x:c r="M221" s="46"/>
    </x:row>
    <x:row r="222" ht="29" customHeight="1">
      <x:c r="A222" s="199">
        <x:v>218</x:v>
      </x:c>
      <x:c r="B222" s="162"/>
      <x:c r="C222" s="163"/>
      <x:c r="D222" s="163"/>
      <x:c r="E222" s="164"/>
      <x:c r="F222" s="163"/>
      <x:c r="G222" s="185">
        <x:f t="shared" si="6"/>
        <x:v>0</x:v>
      </x:c>
      <x:c r="H222" s="185">
        <x:f t="shared" si="7"/>
        <x:v>0</x:v>
      </x:c>
      <x:c r="I222" s="186">
        <x:f>IF(AND(B222="",C222="",D222="",E222="",F222=""),"",IF(OR(B222="",C222="",E222=""),"БЛОК: нужны дата, тип операции и сумма",IF(N(E222)&lt;=0,"БЛОК: сумма должна быть больше нуля",IF(AND(H222&lt;&gt;0,F222=""),"БЛОК: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отделить",IF(AND(G222&lt;&gt;0,F222=""),"БЛОК: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нельзя",IF(AND(F222&lt;&gt;"",COUNTIF('Долг по актам'!$B$5:$B$34,F222)=0),"БЛОК: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договору")&gt;0)*($C$5:$C$504&lt;&gt;C222)*($E$5:$E$504=E222)*(($D$5:$D$504=D222)*(D222&lt;&gt;"")+($B$5:$B$504=B222)*(B222&lt;&gt;"")&gt;0))&gt;0,"БЛОК: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операцию",IF(AND(C222="Оплата",K222&lt;&gt;"Отдельный платёж — не сам аванс (сверено с выпиской банка)",OR(COUNTIFS($C$5:$C$504,"Зачёт аванса по договору",$E$5:$E$504,E222)&gt;0,ROUND(E222-$M$6,2)=0)),"БЛОК: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2" s="185" t="str">
        <x:f>IF(AND(B222="",C222="",E222=""),"",SUM($G$5:G222))</x:f>
        <x:v/>
      </x:c>
      <x:c r="K222" s="178"/>
      <x:c r="L222" s="46"/>
      <x:c r="M222" s="46"/>
    </x:row>
    <x:row r="223" ht="29" customHeight="1">
      <x:c r="A223" s="199">
        <x:v>219</x:v>
      </x:c>
      <x:c r="B223" s="162"/>
      <x:c r="C223" s="163"/>
      <x:c r="D223" s="163"/>
      <x:c r="E223" s="164"/>
      <x:c r="F223" s="163"/>
      <x:c r="G223" s="185">
        <x:f t="shared" si="6"/>
        <x:v>0</x:v>
      </x:c>
      <x:c r="H223" s="185">
        <x:f t="shared" si="7"/>
        <x:v>0</x:v>
      </x:c>
      <x:c r="I223" s="186">
        <x:f>IF(AND(B223="",C223="",D223="",E223="",F223=""),"",IF(OR(B223="",C223="",E223=""),"БЛОК: нужны дата, тип операции и сумма",IF(N(E223)&lt;=0,"БЛОК: сумма должна быть больше нуля",IF(AND(H223&lt;&gt;0,F223=""),"БЛОК: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отделить",IF(AND(G223&lt;&gt;0,F223=""),"БЛОК: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нельзя",IF(AND(F223&lt;&gt;"",COUNTIF('Долг по актам'!$B$5:$B$34,F223)=0),"БЛОК: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договору")&gt;0)*($C$5:$C$504&lt;&gt;C223)*($E$5:$E$504=E223)*(($D$5:$D$504=D223)*(D223&lt;&gt;"")+($B$5:$B$504=B223)*(B223&lt;&gt;"")&gt;0))&gt;0,"БЛОК: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операцию",IF(AND(C223="Оплата",K223&lt;&gt;"Отдельный платёж — не сам аванс (сверено с выпиской банка)",OR(COUNTIFS($C$5:$C$504,"Зачёт аванса по договору",$E$5:$E$504,E223)&gt;0,ROUND(E223-$M$6,2)=0)),"БЛОК: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3" s="185" t="str">
        <x:f>IF(AND(B223="",C223="",E223=""),"",SUM($G$5:G223))</x:f>
        <x:v/>
      </x:c>
      <x:c r="K223" s="178"/>
      <x:c r="L223" s="46"/>
      <x:c r="M223" s="46"/>
    </x:row>
    <x:row r="224" ht="29" customHeight="1">
      <x:c r="A224" s="199">
        <x:v>220</x:v>
      </x:c>
      <x:c r="B224" s="162"/>
      <x:c r="C224" s="163"/>
      <x:c r="D224" s="163"/>
      <x:c r="E224" s="164"/>
      <x:c r="F224" s="163"/>
      <x:c r="G224" s="185">
        <x:f t="shared" si="6"/>
        <x:v>0</x:v>
      </x:c>
      <x:c r="H224" s="185">
        <x:f t="shared" si="7"/>
        <x:v>0</x:v>
      </x:c>
      <x:c r="I224" s="186">
        <x:f>IF(AND(B224="",C224="",D224="",E224="",F224=""),"",IF(OR(B224="",C224="",E224=""),"БЛОК: нужны дата, тип операции и сумма",IF(N(E224)&lt;=0,"БЛОК: сумма должна быть больше нуля",IF(AND(H224&lt;&gt;0,F224=""),"БЛОК: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отделить",IF(AND(G224&lt;&gt;0,F224=""),"БЛОК: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нельзя",IF(AND(F224&lt;&gt;"",COUNTIF('Долг по актам'!$B$5:$B$34,F224)=0),"БЛОК: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договору")&gt;0)*($C$5:$C$504&lt;&gt;C224)*($E$5:$E$504=E224)*(($D$5:$D$504=D224)*(D224&lt;&gt;"")+($B$5:$B$504=B224)*(B224&lt;&gt;"")&gt;0))&gt;0,"БЛОК: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операцию",IF(AND(C224="Оплата",K224&lt;&gt;"Отдельный платёж — не сам аванс (сверено с выпиской банка)",OR(COUNTIFS($C$5:$C$504,"Зачёт аванса по договору",$E$5:$E$504,E224)&gt;0,ROUND(E224-$M$6,2)=0)),"БЛОК: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4" s="185" t="str">
        <x:f>IF(AND(B224="",C224="",E224=""),"",SUM($G$5:G224))</x:f>
        <x:v/>
      </x:c>
      <x:c r="K224" s="178"/>
      <x:c r="L224" s="46"/>
      <x:c r="M224" s="46"/>
    </x:row>
    <x:row r="225" ht="29" customHeight="1">
      <x:c r="A225" s="199">
        <x:v>221</x:v>
      </x:c>
      <x:c r="B225" s="162"/>
      <x:c r="C225" s="163"/>
      <x:c r="D225" s="163"/>
      <x:c r="E225" s="164"/>
      <x:c r="F225" s="163"/>
      <x:c r="G225" s="185">
        <x:f t="shared" si="6"/>
        <x:v>0</x:v>
      </x:c>
      <x:c r="H225" s="185">
        <x:f t="shared" si="7"/>
        <x:v>0</x:v>
      </x:c>
      <x:c r="I225" s="186">
        <x:f>IF(AND(B225="",C225="",D225="",E225="",F225=""),"",IF(OR(B225="",C225="",E225=""),"БЛОК: нужны дата, тип операции и сумма",IF(N(E225)&lt;=0,"БЛОК: сумма должна быть больше нуля",IF(AND(H225&lt;&gt;0,F225=""),"БЛОК: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отделить",IF(AND(G225&lt;&gt;0,F225=""),"БЛОК: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нельзя",IF(AND(F225&lt;&gt;"",COUNTIF('Долг по актам'!$B$5:$B$34,F225)=0),"БЛОК: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договору")&gt;0)*($C$5:$C$504&lt;&gt;C225)*($E$5:$E$504=E225)*(($D$5:$D$504=D225)*(D225&lt;&gt;"")+($B$5:$B$504=B225)*(B225&lt;&gt;"")&gt;0))&gt;0,"БЛОК: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операцию",IF(AND(C225="Оплата",K225&lt;&gt;"Отдельный платёж — не сам аванс (сверено с выпиской банка)",OR(COUNTIFS($C$5:$C$504,"Зачёт аванса по договору",$E$5:$E$504,E225)&gt;0,ROUND(E225-$M$6,2)=0)),"БЛОК: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5" s="185" t="str">
        <x:f>IF(AND(B225="",C225="",E225=""),"",SUM($G$5:G225))</x:f>
        <x:v/>
      </x:c>
      <x:c r="K225" s="178"/>
      <x:c r="L225" s="46"/>
      <x:c r="M225" s="46"/>
    </x:row>
    <x:row r="226" ht="29" customHeight="1">
      <x:c r="A226" s="199">
        <x:v>222</x:v>
      </x:c>
      <x:c r="B226" s="162"/>
      <x:c r="C226" s="163"/>
      <x:c r="D226" s="163"/>
      <x:c r="E226" s="164"/>
      <x:c r="F226" s="163"/>
      <x:c r="G226" s="185">
        <x:f t="shared" si="6"/>
        <x:v>0</x:v>
      </x:c>
      <x:c r="H226" s="185">
        <x:f t="shared" si="7"/>
        <x:v>0</x:v>
      </x:c>
      <x:c r="I226" s="186">
        <x:f>IF(AND(B226="",C226="",D226="",E226="",F226=""),"",IF(OR(B226="",C226="",E226=""),"БЛОК: нужны дата, тип операции и сумма",IF(N(E226)&lt;=0,"БЛОК: сумма должна быть больше нуля",IF(AND(H226&lt;&gt;0,F226=""),"БЛОК: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отделить",IF(AND(G226&lt;&gt;0,F226=""),"БЛОК: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нельзя",IF(AND(F226&lt;&gt;"",COUNTIF('Долг по актам'!$B$5:$B$34,F226)=0),"БЛОК: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договору")&gt;0)*($C$5:$C$504&lt;&gt;C226)*($E$5:$E$504=E226)*(($D$5:$D$504=D226)*(D226&lt;&gt;"")+($B$5:$B$504=B226)*(B226&lt;&gt;"")&gt;0))&gt;0,"БЛОК: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операцию",IF(AND(C226="Оплата",K226&lt;&gt;"Отдельный платёж — не сам аванс (сверено с выпиской банка)",OR(COUNTIFS($C$5:$C$504,"Зачёт аванса по договору",$E$5:$E$504,E226)&gt;0,ROUND(E226-$M$6,2)=0)),"БЛОК: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6" s="185" t="str">
        <x:f>IF(AND(B226="",C226="",E226=""),"",SUM($G$5:G226))</x:f>
        <x:v/>
      </x:c>
      <x:c r="K226" s="178"/>
      <x:c r="L226" s="46"/>
      <x:c r="M226" s="46"/>
    </x:row>
    <x:row r="227" ht="29" customHeight="1">
      <x:c r="A227" s="199">
        <x:v>223</x:v>
      </x:c>
      <x:c r="B227" s="162"/>
      <x:c r="C227" s="163"/>
      <x:c r="D227" s="163"/>
      <x:c r="E227" s="164"/>
      <x:c r="F227" s="163"/>
      <x:c r="G227" s="185">
        <x:f t="shared" si="6"/>
        <x:v>0</x:v>
      </x:c>
      <x:c r="H227" s="185">
        <x:f t="shared" si="7"/>
        <x:v>0</x:v>
      </x:c>
      <x:c r="I227" s="186">
        <x:f>IF(AND(B227="",C227="",D227="",E227="",F227=""),"",IF(OR(B227="",C227="",E227=""),"БЛОК: нужны дата, тип операции и сумма",IF(N(E227)&lt;=0,"БЛОК: сумма должна быть больше нуля",IF(AND(H227&lt;&gt;0,F227=""),"БЛОК: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отделить",IF(AND(G227&lt;&gt;0,F227=""),"БЛОК: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нельзя",IF(AND(F227&lt;&gt;"",COUNTIF('Долг по актам'!$B$5:$B$34,F227)=0),"БЛОК: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договору")&gt;0)*($C$5:$C$504&lt;&gt;C227)*($E$5:$E$504=E227)*(($D$5:$D$504=D227)*(D227&lt;&gt;"")+($B$5:$B$504=B227)*(B227&lt;&gt;"")&gt;0))&gt;0,"БЛОК: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операцию",IF(AND(C227="Оплата",K227&lt;&gt;"Отдельный платёж — не сам аванс (сверено с выпиской банка)",OR(COUNTIFS($C$5:$C$504,"Зачёт аванса по договору",$E$5:$E$504,E227)&gt;0,ROUND(E227-$M$6,2)=0)),"БЛОК: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7" s="185" t="str">
        <x:f>IF(AND(B227="",C227="",E227=""),"",SUM($G$5:G227))</x:f>
        <x:v/>
      </x:c>
      <x:c r="K227" s="178"/>
      <x:c r="L227" s="46"/>
      <x:c r="M227" s="46"/>
    </x:row>
    <x:row r="228" ht="29" customHeight="1">
      <x:c r="A228" s="199">
        <x:v>224</x:v>
      </x:c>
      <x:c r="B228" s="162"/>
      <x:c r="C228" s="163"/>
      <x:c r="D228" s="163"/>
      <x:c r="E228" s="164"/>
      <x:c r="F228" s="163"/>
      <x:c r="G228" s="185">
        <x:f t="shared" si="6"/>
        <x:v>0</x:v>
      </x:c>
      <x:c r="H228" s="185">
        <x:f t="shared" si="7"/>
        <x:v>0</x:v>
      </x:c>
      <x:c r="I228" s="186">
        <x:f>IF(AND(B228="",C228="",D228="",E228="",F228=""),"",IF(OR(B228="",C228="",E228=""),"БЛОК: нужны дата, тип операции и сумма",IF(N(E228)&lt;=0,"БЛОК: сумма должна быть больше нуля",IF(AND(H228&lt;&gt;0,F228=""),"БЛОК: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отделить",IF(AND(G228&lt;&gt;0,F228=""),"БЛОК: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нельзя",IF(AND(F228&lt;&gt;"",COUNTIF('Долг по актам'!$B$5:$B$34,F228)=0),"БЛОК: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договору")&gt;0)*($C$5:$C$504&lt;&gt;C228)*($E$5:$E$504=E228)*(($D$5:$D$504=D228)*(D228&lt;&gt;"")+($B$5:$B$504=B228)*(B228&lt;&gt;"")&gt;0))&gt;0,"БЛОК: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операцию",IF(AND(C228="Оплата",K228&lt;&gt;"Отдельный платёж — не сам аванс (сверено с выпиской банка)",OR(COUNTIFS($C$5:$C$504,"Зачёт аванса по договору",$E$5:$E$504,E228)&gt;0,ROUND(E228-$M$6,2)=0)),"БЛОК: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8" s="185" t="str">
        <x:f>IF(AND(B228="",C228="",E228=""),"",SUM($G$5:G228))</x:f>
        <x:v/>
      </x:c>
      <x:c r="K228" s="178"/>
      <x:c r="L228" s="46"/>
      <x:c r="M228" s="46"/>
    </x:row>
    <x:row r="229" ht="29" customHeight="1">
      <x:c r="A229" s="199">
        <x:v>225</x:v>
      </x:c>
      <x:c r="B229" s="162"/>
      <x:c r="C229" s="163"/>
      <x:c r="D229" s="163"/>
      <x:c r="E229" s="164"/>
      <x:c r="F229" s="163"/>
      <x:c r="G229" s="185">
        <x:f t="shared" si="6"/>
        <x:v>0</x:v>
      </x:c>
      <x:c r="H229" s="185">
        <x:f t="shared" si="7"/>
        <x:v>0</x:v>
      </x:c>
      <x:c r="I229" s="186">
        <x:f>IF(AND(B229="",C229="",D229="",E229="",F229=""),"",IF(OR(B229="",C229="",E229=""),"БЛОК: нужны дата, тип операции и сумма",IF(N(E229)&lt;=0,"БЛОК: сумма должна быть больше нуля",IF(AND(H229&lt;&gt;0,F229=""),"БЛОК: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отделить",IF(AND(G229&lt;&gt;0,F229=""),"БЛОК: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нельзя",IF(AND(F229&lt;&gt;"",COUNTIF('Долг по актам'!$B$5:$B$34,F229)=0),"БЛОК: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договору")&gt;0)*($C$5:$C$504&lt;&gt;C229)*($E$5:$E$504=E229)*(($D$5:$D$504=D229)*(D229&lt;&gt;"")+($B$5:$B$504=B229)*(B229&lt;&gt;"")&gt;0))&gt;0,"БЛОК: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операцию",IF(AND(C229="Оплата",K229&lt;&gt;"Отдельный платёж — не сам аванс (сверено с выпиской банка)",OR(COUNTIFS($C$5:$C$504,"Зачёт аванса по договору",$E$5:$E$504,E229)&gt;0,ROUND(E229-$M$6,2)=0)),"БЛОК: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29" s="185" t="str">
        <x:f>IF(AND(B229="",C229="",E229=""),"",SUM($G$5:G229))</x:f>
        <x:v/>
      </x:c>
      <x:c r="K229" s="178"/>
      <x:c r="L229" s="46"/>
      <x:c r="M229" s="46"/>
    </x:row>
    <x:row r="230" ht="29" customHeight="1">
      <x:c r="A230" s="199">
        <x:v>226</x:v>
      </x:c>
      <x:c r="B230" s="162"/>
      <x:c r="C230" s="163"/>
      <x:c r="D230" s="163"/>
      <x:c r="E230" s="164"/>
      <x:c r="F230" s="163"/>
      <x:c r="G230" s="185">
        <x:f t="shared" si="6"/>
        <x:v>0</x:v>
      </x:c>
      <x:c r="H230" s="185">
        <x:f t="shared" si="7"/>
        <x:v>0</x:v>
      </x:c>
      <x:c r="I230" s="186">
        <x:f>IF(AND(B230="",C230="",D230="",E230="",F230=""),"",IF(OR(B230="",C230="",E230=""),"БЛОК: нужны дата, тип операции и сумма",IF(N(E230)&lt;=0,"БЛОК: сумма должна быть больше нуля",IF(AND(H230&lt;&gt;0,F230=""),"БЛОК: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отделить",IF(AND(G230&lt;&gt;0,F230=""),"БЛОК: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нельзя",IF(AND(F230&lt;&gt;"",COUNTIF('Долг по актам'!$B$5:$B$34,F230)=0),"БЛОК: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договору")&gt;0)*($C$5:$C$504&lt;&gt;C230)*($E$5:$E$504=E230)*(($D$5:$D$504=D230)*(D230&lt;&gt;"")+($B$5:$B$504=B230)*(B230&lt;&gt;"")&gt;0))&gt;0,"БЛОК: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операцию",IF(AND(C230="Оплата",K230&lt;&gt;"Отдельный платёж — не сам аванс (сверено с выпиской банка)",OR(COUNTIFS($C$5:$C$504,"Зачёт аванса по договору",$E$5:$E$504,E230)&gt;0,ROUND(E230-$M$6,2)=0)),"БЛОК: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0" s="185" t="str">
        <x:f>IF(AND(B230="",C230="",E230=""),"",SUM($G$5:G230))</x:f>
        <x:v/>
      </x:c>
      <x:c r="K230" s="178"/>
      <x:c r="L230" s="46"/>
      <x:c r="M230" s="46"/>
    </x:row>
    <x:row r="231" ht="29" customHeight="1">
      <x:c r="A231" s="199">
        <x:v>227</x:v>
      </x:c>
      <x:c r="B231" s="162"/>
      <x:c r="C231" s="163"/>
      <x:c r="D231" s="163"/>
      <x:c r="E231" s="164"/>
      <x:c r="F231" s="163"/>
      <x:c r="G231" s="185">
        <x:f t="shared" si="6"/>
        <x:v>0</x:v>
      </x:c>
      <x:c r="H231" s="185">
        <x:f t="shared" si="7"/>
        <x:v>0</x:v>
      </x:c>
      <x:c r="I231" s="186">
        <x:f>IF(AND(B231="",C231="",D231="",E231="",F231=""),"",IF(OR(B231="",C231="",E231=""),"БЛОК: нужны дата, тип операции и сумма",IF(N(E231)&lt;=0,"БЛОК: сумма должна быть больше нуля",IF(AND(H231&lt;&gt;0,F231=""),"БЛОК: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отделить",IF(AND(G231&lt;&gt;0,F231=""),"БЛОК: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нельзя",IF(AND(F231&lt;&gt;"",COUNTIF('Долг по актам'!$B$5:$B$34,F231)=0),"БЛОК: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договору")&gt;0)*($C$5:$C$504&lt;&gt;C231)*($E$5:$E$504=E231)*(($D$5:$D$504=D231)*(D231&lt;&gt;"")+($B$5:$B$504=B231)*(B231&lt;&gt;"")&gt;0))&gt;0,"БЛОК: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операцию",IF(AND(C231="Оплата",K231&lt;&gt;"Отдельный платёж — не сам аванс (сверено с выпиской банка)",OR(COUNTIFS($C$5:$C$504,"Зачёт аванса по договору",$E$5:$E$504,E231)&gt;0,ROUND(E231-$M$6,2)=0)),"БЛОК: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1" s="185" t="str">
        <x:f>IF(AND(B231="",C231="",E231=""),"",SUM($G$5:G231))</x:f>
        <x:v/>
      </x:c>
      <x:c r="K231" s="178"/>
      <x:c r="L231" s="46"/>
      <x:c r="M231" s="46"/>
    </x:row>
    <x:row r="232" ht="29" customHeight="1">
      <x:c r="A232" s="199">
        <x:v>228</x:v>
      </x:c>
      <x:c r="B232" s="162"/>
      <x:c r="C232" s="163"/>
      <x:c r="D232" s="163"/>
      <x:c r="E232" s="164"/>
      <x:c r="F232" s="163"/>
      <x:c r="G232" s="185">
        <x:f t="shared" si="6"/>
        <x:v>0</x:v>
      </x:c>
      <x:c r="H232" s="185">
        <x:f t="shared" si="7"/>
        <x:v>0</x:v>
      </x:c>
      <x:c r="I232" s="186">
        <x:f>IF(AND(B232="",C232="",D232="",E232="",F232=""),"",IF(OR(B232="",C232="",E232=""),"БЛОК: нужны дата, тип операции и сумма",IF(N(E232)&lt;=0,"БЛОК: сумма должна быть больше нуля",IF(AND(H232&lt;&gt;0,F232=""),"БЛОК: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отделить",IF(AND(G232&lt;&gt;0,F232=""),"БЛОК: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нельзя",IF(AND(F232&lt;&gt;"",COUNTIF('Долг по актам'!$B$5:$B$34,F232)=0),"БЛОК: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договору")&gt;0)*($C$5:$C$504&lt;&gt;C232)*($E$5:$E$504=E232)*(($D$5:$D$504=D232)*(D232&lt;&gt;"")+($B$5:$B$504=B232)*(B232&lt;&gt;"")&gt;0))&gt;0,"БЛОК: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операцию",IF(AND(C232="Оплата",K232&lt;&gt;"Отдельный платёж — не сам аванс (сверено с выпиской банка)",OR(COUNTIFS($C$5:$C$504,"Зачёт аванса по договору",$E$5:$E$504,E232)&gt;0,ROUND(E232-$M$6,2)=0)),"БЛОК: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2" s="185" t="str">
        <x:f>IF(AND(B232="",C232="",E232=""),"",SUM($G$5:G232))</x:f>
        <x:v/>
      </x:c>
      <x:c r="K232" s="178"/>
      <x:c r="L232" s="46"/>
      <x:c r="M232" s="46"/>
    </x:row>
    <x:row r="233" ht="29" customHeight="1">
      <x:c r="A233" s="199">
        <x:v>229</x:v>
      </x:c>
      <x:c r="B233" s="162"/>
      <x:c r="C233" s="163"/>
      <x:c r="D233" s="163"/>
      <x:c r="E233" s="164"/>
      <x:c r="F233" s="163"/>
      <x:c r="G233" s="185">
        <x:f t="shared" si="6"/>
        <x:v>0</x:v>
      </x:c>
      <x:c r="H233" s="185">
        <x:f t="shared" si="7"/>
        <x:v>0</x:v>
      </x:c>
      <x:c r="I233" s="186">
        <x:f>IF(AND(B233="",C233="",D233="",E233="",F233=""),"",IF(OR(B233="",C233="",E233=""),"БЛОК: нужны дата, тип операции и сумма",IF(N(E233)&lt;=0,"БЛОК: сумма должна быть больше нуля",IF(AND(H233&lt;&gt;0,F233=""),"БЛОК: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отделить",IF(AND(G233&lt;&gt;0,F233=""),"БЛОК: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нельзя",IF(AND(F233&lt;&gt;"",COUNTIF('Долг по актам'!$B$5:$B$34,F233)=0),"БЛОК: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договору")&gt;0)*($C$5:$C$504&lt;&gt;C233)*($E$5:$E$504=E233)*(($D$5:$D$504=D233)*(D233&lt;&gt;"")+($B$5:$B$504=B233)*(B233&lt;&gt;"")&gt;0))&gt;0,"БЛОК: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операцию",IF(AND(C233="Оплата",K233&lt;&gt;"Отдельный платёж — не сам аванс (сверено с выпиской банка)",OR(COUNTIFS($C$5:$C$504,"Зачёт аванса по договору",$E$5:$E$504,E233)&gt;0,ROUND(E233-$M$6,2)=0)),"БЛОК: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3" s="185" t="str">
        <x:f>IF(AND(B233="",C233="",E233=""),"",SUM($G$5:G233))</x:f>
        <x:v/>
      </x:c>
      <x:c r="K233" s="178"/>
      <x:c r="L233" s="46"/>
      <x:c r="M233" s="46"/>
    </x:row>
    <x:row r="234" ht="29" customHeight="1">
      <x:c r="A234" s="199">
        <x:v>230</x:v>
      </x:c>
      <x:c r="B234" s="162"/>
      <x:c r="C234" s="163"/>
      <x:c r="D234" s="163"/>
      <x:c r="E234" s="164"/>
      <x:c r="F234" s="163"/>
      <x:c r="G234" s="185">
        <x:f t="shared" si="6"/>
        <x:v>0</x:v>
      </x:c>
      <x:c r="H234" s="185">
        <x:f t="shared" si="7"/>
        <x:v>0</x:v>
      </x:c>
      <x:c r="I234" s="186">
        <x:f>IF(AND(B234="",C234="",D234="",E234="",F234=""),"",IF(OR(B234="",C234="",E234=""),"БЛОК: нужны дата, тип операции и сумма",IF(N(E234)&lt;=0,"БЛОК: сумма должна быть больше нуля",IF(AND(H234&lt;&gt;0,F234=""),"БЛОК: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отделить",IF(AND(G234&lt;&gt;0,F234=""),"БЛОК: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нельзя",IF(AND(F234&lt;&gt;"",COUNTIF('Долг по актам'!$B$5:$B$34,F234)=0),"БЛОК: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договору")&gt;0)*($C$5:$C$504&lt;&gt;C234)*($E$5:$E$504=E234)*(($D$5:$D$504=D234)*(D234&lt;&gt;"")+($B$5:$B$504=B234)*(B234&lt;&gt;"")&gt;0))&gt;0,"БЛОК: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операцию",IF(AND(C234="Оплата",K234&lt;&gt;"Отдельный платёж — не сам аванс (сверено с выпиской банка)",OR(COUNTIFS($C$5:$C$504,"Зачёт аванса по договору",$E$5:$E$504,E234)&gt;0,ROUND(E234-$M$6,2)=0)),"БЛОК: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4" s="185" t="str">
        <x:f>IF(AND(B234="",C234="",E234=""),"",SUM($G$5:G234))</x:f>
        <x:v/>
      </x:c>
      <x:c r="K234" s="178"/>
      <x:c r="L234" s="46"/>
      <x:c r="M234" s="46"/>
    </x:row>
    <x:row r="235" ht="29" customHeight="1">
      <x:c r="A235" s="199">
        <x:v>231</x:v>
      </x:c>
      <x:c r="B235" s="162"/>
      <x:c r="C235" s="163"/>
      <x:c r="D235" s="163"/>
      <x:c r="E235" s="164"/>
      <x:c r="F235" s="163"/>
      <x:c r="G235" s="185">
        <x:f t="shared" si="6"/>
        <x:v>0</x:v>
      </x:c>
      <x:c r="H235" s="185">
        <x:f t="shared" si="7"/>
        <x:v>0</x:v>
      </x:c>
      <x:c r="I235" s="186">
        <x:f>IF(AND(B235="",C235="",D235="",E235="",F235=""),"",IF(OR(B235="",C235="",E235=""),"БЛОК: нужны дата, тип операции и сумма",IF(N(E235)&lt;=0,"БЛОК: сумма должна быть больше нуля",IF(AND(H235&lt;&gt;0,F235=""),"БЛОК: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отделить",IF(AND(G235&lt;&gt;0,F235=""),"БЛОК: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нельзя",IF(AND(F235&lt;&gt;"",COUNTIF('Долг по актам'!$B$5:$B$34,F235)=0),"БЛОК: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договору")&gt;0)*($C$5:$C$504&lt;&gt;C235)*($E$5:$E$504=E235)*(($D$5:$D$504=D235)*(D235&lt;&gt;"")+($B$5:$B$504=B235)*(B235&lt;&gt;"")&gt;0))&gt;0,"БЛОК: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операцию",IF(AND(C235="Оплата",K235&lt;&gt;"Отдельный платёж — не сам аванс (сверено с выпиской банка)",OR(COUNTIFS($C$5:$C$504,"Зачёт аванса по договору",$E$5:$E$504,E235)&gt;0,ROUND(E235-$M$6,2)=0)),"БЛОК: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5" s="185" t="str">
        <x:f>IF(AND(B235="",C235="",E235=""),"",SUM($G$5:G235))</x:f>
        <x:v/>
      </x:c>
      <x:c r="K235" s="178"/>
      <x:c r="L235" s="46"/>
      <x:c r="M235" s="46"/>
    </x:row>
    <x:row r="236" ht="29" customHeight="1">
      <x:c r="A236" s="199">
        <x:v>232</x:v>
      </x:c>
      <x:c r="B236" s="162"/>
      <x:c r="C236" s="163"/>
      <x:c r="D236" s="163"/>
      <x:c r="E236" s="164"/>
      <x:c r="F236" s="163"/>
      <x:c r="G236" s="185">
        <x:f t="shared" si="6"/>
        <x:v>0</x:v>
      </x:c>
      <x:c r="H236" s="185">
        <x:f t="shared" si="7"/>
        <x:v>0</x:v>
      </x:c>
      <x:c r="I236" s="186">
        <x:f>IF(AND(B236="",C236="",D236="",E236="",F236=""),"",IF(OR(B236="",C236="",E236=""),"БЛОК: нужны дата, тип операции и сумма",IF(N(E236)&lt;=0,"БЛОК: сумма должна быть больше нуля",IF(AND(H236&lt;&gt;0,F236=""),"БЛОК: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отделить",IF(AND(G236&lt;&gt;0,F236=""),"БЛОК: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нельзя",IF(AND(F236&lt;&gt;"",COUNTIF('Долг по актам'!$B$5:$B$34,F236)=0),"БЛОК: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договору")&gt;0)*($C$5:$C$504&lt;&gt;C236)*($E$5:$E$504=E236)*(($D$5:$D$504=D236)*(D236&lt;&gt;"")+($B$5:$B$504=B236)*(B236&lt;&gt;"")&gt;0))&gt;0,"БЛОК: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операцию",IF(AND(C236="Оплата",K236&lt;&gt;"Отдельный платёж — не сам аванс (сверено с выпиской банка)",OR(COUNTIFS($C$5:$C$504,"Зачёт аванса по договору",$E$5:$E$504,E236)&gt;0,ROUND(E236-$M$6,2)=0)),"БЛОК: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6" s="185" t="str">
        <x:f>IF(AND(B236="",C236="",E236=""),"",SUM($G$5:G236))</x:f>
        <x:v/>
      </x:c>
      <x:c r="K236" s="178"/>
      <x:c r="L236" s="46"/>
      <x:c r="M236" s="46"/>
    </x:row>
    <x:row r="237" ht="29" customHeight="1">
      <x:c r="A237" s="199">
        <x:v>233</x:v>
      </x:c>
      <x:c r="B237" s="162"/>
      <x:c r="C237" s="163"/>
      <x:c r="D237" s="163"/>
      <x:c r="E237" s="164"/>
      <x:c r="F237" s="163"/>
      <x:c r="G237" s="185">
        <x:f t="shared" si="6"/>
        <x:v>0</x:v>
      </x:c>
      <x:c r="H237" s="185">
        <x:f t="shared" si="7"/>
        <x:v>0</x:v>
      </x:c>
      <x:c r="I237" s="186">
        <x:f>IF(AND(B237="",C237="",D237="",E237="",F237=""),"",IF(OR(B237="",C237="",E237=""),"БЛОК: нужны дата, тип операции и сумма",IF(N(E237)&lt;=0,"БЛОК: сумма должна быть больше нуля",IF(AND(H237&lt;&gt;0,F237=""),"БЛОК: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отделить",IF(AND(G237&lt;&gt;0,F237=""),"БЛОК: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нельзя",IF(AND(F237&lt;&gt;"",COUNTIF('Долг по актам'!$B$5:$B$34,F237)=0),"БЛОК: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договору")&gt;0)*($C$5:$C$504&lt;&gt;C237)*($E$5:$E$504=E237)*(($D$5:$D$504=D237)*(D237&lt;&gt;"")+($B$5:$B$504=B237)*(B237&lt;&gt;"")&gt;0))&gt;0,"БЛОК: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операцию",IF(AND(C237="Оплата",K237&lt;&gt;"Отдельный платёж — не сам аванс (сверено с выпиской банка)",OR(COUNTIFS($C$5:$C$504,"Зачёт аванса по договору",$E$5:$E$504,E237)&gt;0,ROUND(E237-$M$6,2)=0)),"БЛОК: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7" s="185" t="str">
        <x:f>IF(AND(B237="",C237="",E237=""),"",SUM($G$5:G237))</x:f>
        <x:v/>
      </x:c>
      <x:c r="K237" s="178"/>
      <x:c r="L237" s="46"/>
      <x:c r="M237" s="46"/>
    </x:row>
    <x:row r="238" ht="29" customHeight="1">
      <x:c r="A238" s="199">
        <x:v>234</x:v>
      </x:c>
      <x:c r="B238" s="162"/>
      <x:c r="C238" s="163"/>
      <x:c r="D238" s="163"/>
      <x:c r="E238" s="164"/>
      <x:c r="F238" s="163"/>
      <x:c r="G238" s="185">
        <x:f t="shared" si="6"/>
        <x:v>0</x:v>
      </x:c>
      <x:c r="H238" s="185">
        <x:f t="shared" si="7"/>
        <x:v>0</x:v>
      </x:c>
      <x:c r="I238" s="186">
        <x:f>IF(AND(B238="",C238="",D238="",E238="",F238=""),"",IF(OR(B238="",C238="",E238=""),"БЛОК: нужны дата, тип операции и сумма",IF(N(E238)&lt;=0,"БЛОК: сумма должна быть больше нуля",IF(AND(H238&lt;&gt;0,F238=""),"БЛОК: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отделить",IF(AND(G238&lt;&gt;0,F238=""),"БЛОК: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нельзя",IF(AND(F238&lt;&gt;"",COUNTIF('Долг по актам'!$B$5:$B$34,F238)=0),"БЛОК: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договору")&gt;0)*($C$5:$C$504&lt;&gt;C238)*($E$5:$E$504=E238)*(($D$5:$D$504=D238)*(D238&lt;&gt;"")+($B$5:$B$504=B238)*(B238&lt;&gt;"")&gt;0))&gt;0,"БЛОК: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операцию",IF(AND(C238="Оплата",K238&lt;&gt;"Отдельный платёж — не сам аванс (сверено с выпиской банка)",OR(COUNTIFS($C$5:$C$504,"Зачёт аванса по договору",$E$5:$E$504,E238)&gt;0,ROUND(E238-$M$6,2)=0)),"БЛОК: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8" s="185" t="str">
        <x:f>IF(AND(B238="",C238="",E238=""),"",SUM($G$5:G238))</x:f>
        <x:v/>
      </x:c>
      <x:c r="K238" s="178"/>
      <x:c r="L238" s="46"/>
      <x:c r="M238" s="46"/>
    </x:row>
    <x:row r="239" ht="29" customHeight="1">
      <x:c r="A239" s="199">
        <x:v>235</x:v>
      </x:c>
      <x:c r="B239" s="162"/>
      <x:c r="C239" s="163"/>
      <x:c r="D239" s="163"/>
      <x:c r="E239" s="164"/>
      <x:c r="F239" s="163"/>
      <x:c r="G239" s="185">
        <x:f t="shared" si="6"/>
        <x:v>0</x:v>
      </x:c>
      <x:c r="H239" s="185">
        <x:f t="shared" si="7"/>
        <x:v>0</x:v>
      </x:c>
      <x:c r="I239" s="186">
        <x:f>IF(AND(B239="",C239="",D239="",E239="",F239=""),"",IF(OR(B239="",C239="",E239=""),"БЛОК: нужны дата, тип операции и сумма",IF(N(E239)&lt;=0,"БЛОК: сумма должна быть больше нуля",IF(AND(H239&lt;&gt;0,F239=""),"БЛОК: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отделить",IF(AND(G239&lt;&gt;0,F239=""),"БЛОК: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нельзя",IF(AND(F239&lt;&gt;"",COUNTIF('Долг по актам'!$B$5:$B$34,F239)=0),"БЛОК: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договору")&gt;0)*($C$5:$C$504&lt;&gt;C239)*($E$5:$E$504=E239)*(($D$5:$D$504=D239)*(D239&lt;&gt;"")+($B$5:$B$504=B239)*(B239&lt;&gt;"")&gt;0))&gt;0,"БЛОК: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операцию",IF(AND(C239="Оплата",K239&lt;&gt;"Отдельный платёж — не сам аванс (сверено с выпиской банка)",OR(COUNTIFS($C$5:$C$504,"Зачёт аванса по договору",$E$5:$E$504,E239)&gt;0,ROUND(E239-$M$6,2)=0)),"БЛОК: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39" s="185" t="str">
        <x:f>IF(AND(B239="",C239="",E239=""),"",SUM($G$5:G239))</x:f>
        <x:v/>
      </x:c>
      <x:c r="K239" s="178"/>
      <x:c r="L239" s="46"/>
      <x:c r="M239" s="46"/>
    </x:row>
    <x:row r="240" ht="29" customHeight="1">
      <x:c r="A240" s="199">
        <x:v>236</x:v>
      </x:c>
      <x:c r="B240" s="162"/>
      <x:c r="C240" s="163"/>
      <x:c r="D240" s="163"/>
      <x:c r="E240" s="164"/>
      <x:c r="F240" s="163"/>
      <x:c r="G240" s="185">
        <x:f t="shared" si="6"/>
        <x:v>0</x:v>
      </x:c>
      <x:c r="H240" s="185">
        <x:f t="shared" si="7"/>
        <x:v>0</x:v>
      </x:c>
      <x:c r="I240" s="186">
        <x:f>IF(AND(B240="",C240="",D240="",E240="",F240=""),"",IF(OR(B240="",C240="",E240=""),"БЛОК: нужны дата, тип операции и сумма",IF(N(E240)&lt;=0,"БЛОК: сумма должна быть больше нуля",IF(AND(H240&lt;&gt;0,F240=""),"БЛОК: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отделить",IF(AND(G240&lt;&gt;0,F240=""),"БЛОК: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нельзя",IF(AND(F240&lt;&gt;"",COUNTIF('Долг по актам'!$B$5:$B$34,F240)=0),"БЛОК: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договору")&gt;0)*($C$5:$C$504&lt;&gt;C240)*($E$5:$E$504=E240)*(($D$5:$D$504=D240)*(D240&lt;&gt;"")+($B$5:$B$504=B240)*(B240&lt;&gt;"")&gt;0))&gt;0,"БЛОК: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операцию",IF(AND(C240="Оплата",K240&lt;&gt;"Отдельный платёж — не сам аванс (сверено с выпиской банка)",OR(COUNTIFS($C$5:$C$504,"Зачёт аванса по договору",$E$5:$E$504,E240)&gt;0,ROUND(E240-$M$6,2)=0)),"БЛОК: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0" s="185" t="str">
        <x:f>IF(AND(B240="",C240="",E240=""),"",SUM($G$5:G240))</x:f>
        <x:v/>
      </x:c>
      <x:c r="K240" s="178"/>
      <x:c r="L240" s="46"/>
      <x:c r="M240" s="46"/>
    </x:row>
    <x:row r="241" ht="29" customHeight="1">
      <x:c r="A241" s="199">
        <x:v>237</x:v>
      </x:c>
      <x:c r="B241" s="162"/>
      <x:c r="C241" s="163"/>
      <x:c r="D241" s="163"/>
      <x:c r="E241" s="164"/>
      <x:c r="F241" s="163"/>
      <x:c r="G241" s="185">
        <x:f t="shared" si="6"/>
        <x:v>0</x:v>
      </x:c>
      <x:c r="H241" s="185">
        <x:f t="shared" si="7"/>
        <x:v>0</x:v>
      </x:c>
      <x:c r="I241" s="186">
        <x:f>IF(AND(B241="",C241="",D241="",E241="",F241=""),"",IF(OR(B241="",C241="",E241=""),"БЛОК: нужны дата, тип операции и сумма",IF(N(E241)&lt;=0,"БЛОК: сумма должна быть больше нуля",IF(AND(H241&lt;&gt;0,F241=""),"БЛОК: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отделить",IF(AND(G241&lt;&gt;0,F241=""),"БЛОК: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нельзя",IF(AND(F241&lt;&gt;"",COUNTIF('Долг по актам'!$B$5:$B$34,F241)=0),"БЛОК: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договору")&gt;0)*($C$5:$C$504&lt;&gt;C241)*($E$5:$E$504=E241)*(($D$5:$D$504=D241)*(D241&lt;&gt;"")+($B$5:$B$504=B241)*(B241&lt;&gt;"")&gt;0))&gt;0,"БЛОК: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операцию",IF(AND(C241="Оплата",K241&lt;&gt;"Отдельный платёж — не сам аванс (сверено с выпиской банка)",OR(COUNTIFS($C$5:$C$504,"Зачёт аванса по договору",$E$5:$E$504,E241)&gt;0,ROUND(E241-$M$6,2)=0)),"БЛОК: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1" s="185" t="str">
        <x:f>IF(AND(B241="",C241="",E241=""),"",SUM($G$5:G241))</x:f>
        <x:v/>
      </x:c>
      <x:c r="K241" s="178"/>
      <x:c r="L241" s="46"/>
      <x:c r="M241" s="46"/>
    </x:row>
    <x:row r="242" ht="29" customHeight="1">
      <x:c r="A242" s="199">
        <x:v>238</x:v>
      </x:c>
      <x:c r="B242" s="162"/>
      <x:c r="C242" s="163"/>
      <x:c r="D242" s="163"/>
      <x:c r="E242" s="164"/>
      <x:c r="F242" s="163"/>
      <x:c r="G242" s="185">
        <x:f t="shared" si="6"/>
        <x:v>0</x:v>
      </x:c>
      <x:c r="H242" s="185">
        <x:f t="shared" si="7"/>
        <x:v>0</x:v>
      </x:c>
      <x:c r="I242" s="186">
        <x:f>IF(AND(B242="",C242="",D242="",E242="",F242=""),"",IF(OR(B242="",C242="",E242=""),"БЛОК: нужны дата, тип операции и сумма",IF(N(E242)&lt;=0,"БЛОК: сумма должна быть больше нуля",IF(AND(H242&lt;&gt;0,F242=""),"БЛОК: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отделить",IF(AND(G242&lt;&gt;0,F242=""),"БЛОК: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нельзя",IF(AND(F242&lt;&gt;"",COUNTIF('Долг по актам'!$B$5:$B$34,F242)=0),"БЛОК: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договору")&gt;0)*($C$5:$C$504&lt;&gt;C242)*($E$5:$E$504=E242)*(($D$5:$D$504=D242)*(D242&lt;&gt;"")+($B$5:$B$504=B242)*(B242&lt;&gt;"")&gt;0))&gt;0,"БЛОК: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операцию",IF(AND(C242="Оплата",K242&lt;&gt;"Отдельный платёж — не сам аванс (сверено с выпиской банка)",OR(COUNTIFS($C$5:$C$504,"Зачёт аванса по договору",$E$5:$E$504,E242)&gt;0,ROUND(E242-$M$6,2)=0)),"БЛОК: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2" s="185" t="str">
        <x:f>IF(AND(B242="",C242="",E242=""),"",SUM($G$5:G242))</x:f>
        <x:v/>
      </x:c>
      <x:c r="K242" s="178"/>
      <x:c r="L242" s="46"/>
      <x:c r="M242" s="46"/>
    </x:row>
    <x:row r="243" ht="29" customHeight="1">
      <x:c r="A243" s="199">
        <x:v>239</x:v>
      </x:c>
      <x:c r="B243" s="162"/>
      <x:c r="C243" s="163"/>
      <x:c r="D243" s="163"/>
      <x:c r="E243" s="164"/>
      <x:c r="F243" s="163"/>
      <x:c r="G243" s="185">
        <x:f t="shared" si="6"/>
        <x:v>0</x:v>
      </x:c>
      <x:c r="H243" s="185">
        <x:f t="shared" si="7"/>
        <x:v>0</x:v>
      </x:c>
      <x:c r="I243" s="186">
        <x:f>IF(AND(B243="",C243="",D243="",E243="",F243=""),"",IF(OR(B243="",C243="",E243=""),"БЛОК: нужны дата, тип операции и сумма",IF(N(E243)&lt;=0,"БЛОК: сумма должна быть больше нуля",IF(AND(H243&lt;&gt;0,F243=""),"БЛОК: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отделить",IF(AND(G243&lt;&gt;0,F243=""),"БЛОК: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нельзя",IF(AND(F243&lt;&gt;"",COUNTIF('Долг по актам'!$B$5:$B$34,F243)=0),"БЛОК: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договору")&gt;0)*($C$5:$C$504&lt;&gt;C243)*($E$5:$E$504=E243)*(($D$5:$D$504=D243)*(D243&lt;&gt;"")+($B$5:$B$504=B243)*(B243&lt;&gt;"")&gt;0))&gt;0,"БЛОК: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операцию",IF(AND(C243="Оплата",K243&lt;&gt;"Отдельный платёж — не сам аванс (сверено с выпиской банка)",OR(COUNTIFS($C$5:$C$504,"Зачёт аванса по договору",$E$5:$E$504,E243)&gt;0,ROUND(E243-$M$6,2)=0)),"БЛОК: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3" s="185" t="str">
        <x:f>IF(AND(B243="",C243="",E243=""),"",SUM($G$5:G243))</x:f>
        <x:v/>
      </x:c>
      <x:c r="K243" s="178"/>
      <x:c r="L243" s="46"/>
      <x:c r="M243" s="46"/>
    </x:row>
    <x:row r="244" ht="29" customHeight="1">
      <x:c r="A244" s="199">
        <x:v>240</x:v>
      </x:c>
      <x:c r="B244" s="162"/>
      <x:c r="C244" s="163"/>
      <x:c r="D244" s="163"/>
      <x:c r="E244" s="164"/>
      <x:c r="F244" s="163"/>
      <x:c r="G244" s="185">
        <x:f t="shared" si="6"/>
        <x:v>0</x:v>
      </x:c>
      <x:c r="H244" s="185">
        <x:f t="shared" si="7"/>
        <x:v>0</x:v>
      </x:c>
      <x:c r="I244" s="186">
        <x:f>IF(AND(B244="",C244="",D244="",E244="",F244=""),"",IF(OR(B244="",C244="",E244=""),"БЛОК: нужны дата, тип операции и сумма",IF(N(E244)&lt;=0,"БЛОК: сумма должна быть больше нуля",IF(AND(H244&lt;&gt;0,F244=""),"БЛОК: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отделить",IF(AND(G244&lt;&gt;0,F244=""),"БЛОК: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нельзя",IF(AND(F244&lt;&gt;"",COUNTIF('Долг по актам'!$B$5:$B$34,F244)=0),"БЛОК: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договору")&gt;0)*($C$5:$C$504&lt;&gt;C244)*($E$5:$E$504=E244)*(($D$5:$D$504=D244)*(D244&lt;&gt;"")+($B$5:$B$504=B244)*(B244&lt;&gt;"")&gt;0))&gt;0,"БЛОК: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операцию",IF(AND(C244="Оплата",K244&lt;&gt;"Отдельный платёж — не сам аванс (сверено с выпиской банка)",OR(COUNTIFS($C$5:$C$504,"Зачёт аванса по договору",$E$5:$E$504,E244)&gt;0,ROUND(E244-$M$6,2)=0)),"БЛОК: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4" s="185" t="str">
        <x:f>IF(AND(B244="",C244="",E244=""),"",SUM($G$5:G244))</x:f>
        <x:v/>
      </x:c>
      <x:c r="K244" s="178"/>
      <x:c r="L244" s="46"/>
      <x:c r="M244" s="46"/>
    </x:row>
    <x:row r="245" ht="29" customHeight="1">
      <x:c r="A245" s="199">
        <x:v>241</x:v>
      </x:c>
      <x:c r="B245" s="162"/>
      <x:c r="C245" s="163"/>
      <x:c r="D245" s="163"/>
      <x:c r="E245" s="164"/>
      <x:c r="F245" s="163"/>
      <x:c r="G245" s="185">
        <x:f t="shared" si="6"/>
        <x:v>0</x:v>
      </x:c>
      <x:c r="H245" s="185">
        <x:f t="shared" si="7"/>
        <x:v>0</x:v>
      </x:c>
      <x:c r="I245" s="186">
        <x:f>IF(AND(B245="",C245="",D245="",E245="",F245=""),"",IF(OR(B245="",C245="",E245=""),"БЛОК: нужны дата, тип операции и сумма",IF(N(E245)&lt;=0,"БЛОК: сумма должна быть больше нуля",IF(AND(H245&lt;&gt;0,F245=""),"БЛОК: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отделить",IF(AND(G245&lt;&gt;0,F245=""),"БЛОК: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нельзя",IF(AND(F245&lt;&gt;"",COUNTIF('Долг по актам'!$B$5:$B$34,F245)=0),"БЛОК: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договору")&gt;0)*($C$5:$C$504&lt;&gt;C245)*($E$5:$E$504=E245)*(($D$5:$D$504=D245)*(D245&lt;&gt;"")+($B$5:$B$504=B245)*(B245&lt;&gt;"")&gt;0))&gt;0,"БЛОК: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операцию",IF(AND(C245="Оплата",K245&lt;&gt;"Отдельный платёж — не сам аванс (сверено с выпиской банка)",OR(COUNTIFS($C$5:$C$504,"Зачёт аванса по договору",$E$5:$E$504,E245)&gt;0,ROUND(E245-$M$6,2)=0)),"БЛОК: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5" s="185" t="str">
        <x:f>IF(AND(B245="",C245="",E245=""),"",SUM($G$5:G245))</x:f>
        <x:v/>
      </x:c>
      <x:c r="K245" s="178"/>
      <x:c r="L245" s="46"/>
      <x:c r="M245" s="46"/>
    </x:row>
    <x:row r="246" ht="29" customHeight="1">
      <x:c r="A246" s="199">
        <x:v>242</x:v>
      </x:c>
      <x:c r="B246" s="162"/>
      <x:c r="C246" s="163"/>
      <x:c r="D246" s="163"/>
      <x:c r="E246" s="164"/>
      <x:c r="F246" s="163"/>
      <x:c r="G246" s="185">
        <x:f t="shared" si="6"/>
        <x:v>0</x:v>
      </x:c>
      <x:c r="H246" s="185">
        <x:f t="shared" si="7"/>
        <x:v>0</x:v>
      </x:c>
      <x:c r="I246" s="186">
        <x:f>IF(AND(B246="",C246="",D246="",E246="",F246=""),"",IF(OR(B246="",C246="",E246=""),"БЛОК: нужны дата, тип операции и сумма",IF(N(E246)&lt;=0,"БЛОК: сумма должна быть больше нуля",IF(AND(H246&lt;&gt;0,F246=""),"БЛОК: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отделить",IF(AND(G246&lt;&gt;0,F246=""),"БЛОК: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нельзя",IF(AND(F246&lt;&gt;"",COUNTIF('Долг по актам'!$B$5:$B$34,F246)=0),"БЛОК: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договору")&gt;0)*($C$5:$C$504&lt;&gt;C246)*($E$5:$E$504=E246)*(($D$5:$D$504=D246)*(D246&lt;&gt;"")+($B$5:$B$504=B246)*(B246&lt;&gt;"")&gt;0))&gt;0,"БЛОК: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операцию",IF(AND(C246="Оплата",K246&lt;&gt;"Отдельный платёж — не сам аванс (сверено с выпиской банка)",OR(COUNTIFS($C$5:$C$504,"Зачёт аванса по договору",$E$5:$E$504,E246)&gt;0,ROUND(E246-$M$6,2)=0)),"БЛОК: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6" s="185" t="str">
        <x:f>IF(AND(B246="",C246="",E246=""),"",SUM($G$5:G246))</x:f>
        <x:v/>
      </x:c>
      <x:c r="K246" s="178"/>
      <x:c r="L246" s="46"/>
      <x:c r="M246" s="46"/>
    </x:row>
    <x:row r="247" ht="29" customHeight="1">
      <x:c r="A247" s="199">
        <x:v>243</x:v>
      </x:c>
      <x:c r="B247" s="162"/>
      <x:c r="C247" s="163"/>
      <x:c r="D247" s="163"/>
      <x:c r="E247" s="164"/>
      <x:c r="F247" s="163"/>
      <x:c r="G247" s="185">
        <x:f t="shared" si="6"/>
        <x:v>0</x:v>
      </x:c>
      <x:c r="H247" s="185">
        <x:f t="shared" si="7"/>
        <x:v>0</x:v>
      </x:c>
      <x:c r="I247" s="186">
        <x:f>IF(AND(B247="",C247="",D247="",E247="",F247=""),"",IF(OR(B247="",C247="",E247=""),"БЛОК: нужны дата, тип операции и сумма",IF(N(E247)&lt;=0,"БЛОК: сумма должна быть больше нуля",IF(AND(H247&lt;&gt;0,F247=""),"БЛОК: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отделить",IF(AND(G247&lt;&gt;0,F247=""),"БЛОК: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нельзя",IF(AND(F247&lt;&gt;"",COUNTIF('Долг по актам'!$B$5:$B$34,F247)=0),"БЛОК: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договору")&gt;0)*($C$5:$C$504&lt;&gt;C247)*($E$5:$E$504=E247)*(($D$5:$D$504=D247)*(D247&lt;&gt;"")+($B$5:$B$504=B247)*(B247&lt;&gt;"")&gt;0))&gt;0,"БЛОК: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операцию",IF(AND(C247="Оплата",K247&lt;&gt;"Отдельный платёж — не сам аванс (сверено с выпиской банка)",OR(COUNTIFS($C$5:$C$504,"Зачёт аванса по договору",$E$5:$E$504,E247)&gt;0,ROUND(E247-$M$6,2)=0)),"БЛОК: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7" s="185" t="str">
        <x:f>IF(AND(B247="",C247="",E247=""),"",SUM($G$5:G247))</x:f>
        <x:v/>
      </x:c>
      <x:c r="K247" s="178"/>
      <x:c r="L247" s="46"/>
      <x:c r="M247" s="46"/>
    </x:row>
    <x:row r="248" ht="29" customHeight="1">
      <x:c r="A248" s="199">
        <x:v>244</x:v>
      </x:c>
      <x:c r="B248" s="162"/>
      <x:c r="C248" s="163"/>
      <x:c r="D248" s="163"/>
      <x:c r="E248" s="164"/>
      <x:c r="F248" s="163"/>
      <x:c r="G248" s="185">
        <x:f t="shared" si="6"/>
        <x:v>0</x:v>
      </x:c>
      <x:c r="H248" s="185">
        <x:f t="shared" si="7"/>
        <x:v>0</x:v>
      </x:c>
      <x:c r="I248" s="186">
        <x:f>IF(AND(B248="",C248="",D248="",E248="",F248=""),"",IF(OR(B248="",C248="",E248=""),"БЛОК: нужны дата, тип операции и сумма",IF(N(E248)&lt;=0,"БЛОК: сумма должна быть больше нуля",IF(AND(H248&lt;&gt;0,F248=""),"БЛОК: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отделить",IF(AND(G248&lt;&gt;0,F248=""),"БЛОК: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нельзя",IF(AND(F248&lt;&gt;"",COUNTIF('Долг по актам'!$B$5:$B$34,F248)=0),"БЛОК: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договору")&gt;0)*($C$5:$C$504&lt;&gt;C248)*($E$5:$E$504=E248)*(($D$5:$D$504=D248)*(D248&lt;&gt;"")+($B$5:$B$504=B248)*(B248&lt;&gt;"")&gt;0))&gt;0,"БЛОК: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операцию",IF(AND(C248="Оплата",K248&lt;&gt;"Отдельный платёж — не сам аванс (сверено с выпиской банка)",OR(COUNTIFS($C$5:$C$504,"Зачёт аванса по договору",$E$5:$E$504,E248)&gt;0,ROUND(E248-$M$6,2)=0)),"БЛОК: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8" s="185" t="str">
        <x:f>IF(AND(B248="",C248="",E248=""),"",SUM($G$5:G248))</x:f>
        <x:v/>
      </x:c>
      <x:c r="K248" s="178"/>
      <x:c r="L248" s="46"/>
      <x:c r="M248" s="46"/>
    </x:row>
    <x:row r="249" ht="29" customHeight="1">
      <x:c r="A249" s="199">
        <x:v>245</x:v>
      </x:c>
      <x:c r="B249" s="162"/>
      <x:c r="C249" s="163"/>
      <x:c r="D249" s="163"/>
      <x:c r="E249" s="164"/>
      <x:c r="F249" s="163"/>
      <x:c r="G249" s="185">
        <x:f t="shared" si="6"/>
        <x:v>0</x:v>
      </x:c>
      <x:c r="H249" s="185">
        <x:f t="shared" si="7"/>
        <x:v>0</x:v>
      </x:c>
      <x:c r="I249" s="186">
        <x:f>IF(AND(B249="",C249="",D249="",E249="",F249=""),"",IF(OR(B249="",C249="",E249=""),"БЛОК: нужны дата, тип операции и сумма",IF(N(E249)&lt;=0,"БЛОК: сумма должна быть больше нуля",IF(AND(H249&lt;&gt;0,F249=""),"БЛОК: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отделить",IF(AND(G249&lt;&gt;0,F249=""),"БЛОК: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нельзя",IF(AND(F249&lt;&gt;"",COUNTIF('Долг по актам'!$B$5:$B$34,F249)=0),"БЛОК: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договору")&gt;0)*($C$5:$C$504&lt;&gt;C249)*($E$5:$E$504=E249)*(($D$5:$D$504=D249)*(D249&lt;&gt;"")+($B$5:$B$504=B249)*(B249&lt;&gt;"")&gt;0))&gt;0,"БЛОК: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операцию",IF(AND(C249="Оплата",K249&lt;&gt;"Отдельный платёж — не сам аванс (сверено с выпиской банка)",OR(COUNTIFS($C$5:$C$504,"Зачёт аванса по договору",$E$5:$E$504,E249)&gt;0,ROUND(E249-$M$6,2)=0)),"БЛОК: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49" s="185" t="str">
        <x:f>IF(AND(B249="",C249="",E249=""),"",SUM($G$5:G249))</x:f>
        <x:v/>
      </x:c>
      <x:c r="K249" s="178"/>
      <x:c r="L249" s="46"/>
      <x:c r="M249" s="46"/>
    </x:row>
    <x:row r="250" ht="29" customHeight="1">
      <x:c r="A250" s="199">
        <x:v>246</x:v>
      </x:c>
      <x:c r="B250" s="162"/>
      <x:c r="C250" s="163"/>
      <x:c r="D250" s="163"/>
      <x:c r="E250" s="164"/>
      <x:c r="F250" s="163"/>
      <x:c r="G250" s="185">
        <x:f t="shared" si="6"/>
        <x:v>0</x:v>
      </x:c>
      <x:c r="H250" s="185">
        <x:f t="shared" si="7"/>
        <x:v>0</x:v>
      </x:c>
      <x:c r="I250" s="186">
        <x:f>IF(AND(B250="",C250="",D250="",E250="",F250=""),"",IF(OR(B250="",C250="",E250=""),"БЛОК: нужны дата, тип операции и сумма",IF(N(E250)&lt;=0,"БЛОК: сумма должна быть больше нуля",IF(AND(H250&lt;&gt;0,F250=""),"БЛОК: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отделить",IF(AND(G250&lt;&gt;0,F250=""),"БЛОК: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нельзя",IF(AND(F250&lt;&gt;"",COUNTIF('Долг по актам'!$B$5:$B$34,F250)=0),"БЛОК: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договору")&gt;0)*($C$5:$C$504&lt;&gt;C250)*($E$5:$E$504=E250)*(($D$5:$D$504=D250)*(D250&lt;&gt;"")+($B$5:$B$504=B250)*(B250&lt;&gt;"")&gt;0))&gt;0,"БЛОК: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операцию",IF(AND(C250="Оплата",K250&lt;&gt;"Отдельный платёж — не сам аванс (сверено с выпиской банка)",OR(COUNTIFS($C$5:$C$504,"Зачёт аванса по договору",$E$5:$E$504,E250)&gt;0,ROUND(E250-$M$6,2)=0)),"БЛОК: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0" s="185" t="str">
        <x:f>IF(AND(B250="",C250="",E250=""),"",SUM($G$5:G250))</x:f>
        <x:v/>
      </x:c>
      <x:c r="K250" s="178"/>
      <x:c r="L250" s="46"/>
      <x:c r="M250" s="46"/>
    </x:row>
    <x:row r="251" ht="29" customHeight="1">
      <x:c r="A251" s="199">
        <x:v>247</x:v>
      </x:c>
      <x:c r="B251" s="162"/>
      <x:c r="C251" s="163"/>
      <x:c r="D251" s="163"/>
      <x:c r="E251" s="164"/>
      <x:c r="F251" s="163"/>
      <x:c r="G251" s="185">
        <x:f t="shared" si="6"/>
        <x:v>0</x:v>
      </x:c>
      <x:c r="H251" s="185">
        <x:f t="shared" si="7"/>
        <x:v>0</x:v>
      </x:c>
      <x:c r="I251" s="186">
        <x:f>IF(AND(B251="",C251="",D251="",E251="",F251=""),"",IF(OR(B251="",C251="",E251=""),"БЛОК: нужны дата, тип операции и сумма",IF(N(E251)&lt;=0,"БЛОК: сумма должна быть больше нуля",IF(AND(H251&lt;&gt;0,F251=""),"БЛОК: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отделить",IF(AND(G251&lt;&gt;0,F251=""),"БЛОК: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нельзя",IF(AND(F251&lt;&gt;"",COUNTIF('Долг по актам'!$B$5:$B$34,F251)=0),"БЛОК: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договору")&gt;0)*($C$5:$C$504&lt;&gt;C251)*($E$5:$E$504=E251)*(($D$5:$D$504=D251)*(D251&lt;&gt;"")+($B$5:$B$504=B251)*(B251&lt;&gt;"")&gt;0))&gt;0,"БЛОК: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операцию",IF(AND(C251="Оплата",K251&lt;&gt;"Отдельный платёж — не сам аванс (сверено с выпиской банка)",OR(COUNTIFS($C$5:$C$504,"Зачёт аванса по договору",$E$5:$E$504,E251)&gt;0,ROUND(E251-$M$6,2)=0)),"БЛОК: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1" s="185" t="str">
        <x:f>IF(AND(B251="",C251="",E251=""),"",SUM($G$5:G251))</x:f>
        <x:v/>
      </x:c>
      <x:c r="K251" s="178"/>
      <x:c r="L251" s="46"/>
      <x:c r="M251" s="46"/>
    </x:row>
    <x:row r="252" ht="29" customHeight="1">
      <x:c r="A252" s="199">
        <x:v>248</x:v>
      </x:c>
      <x:c r="B252" s="162"/>
      <x:c r="C252" s="163"/>
      <x:c r="D252" s="163"/>
      <x:c r="E252" s="164"/>
      <x:c r="F252" s="163"/>
      <x:c r="G252" s="185">
        <x:f t="shared" si="6"/>
        <x:v>0</x:v>
      </x:c>
      <x:c r="H252" s="185">
        <x:f t="shared" si="7"/>
        <x:v>0</x:v>
      </x:c>
      <x:c r="I252" s="186">
        <x:f>IF(AND(B252="",C252="",D252="",E252="",F252=""),"",IF(OR(B252="",C252="",E252=""),"БЛОК: нужны дата, тип операции и сумма",IF(N(E252)&lt;=0,"БЛОК: сумма должна быть больше нуля",IF(AND(H252&lt;&gt;0,F252=""),"БЛОК: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отделить",IF(AND(G252&lt;&gt;0,F252=""),"БЛОК: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нельзя",IF(AND(F252&lt;&gt;"",COUNTIF('Долг по актам'!$B$5:$B$34,F252)=0),"БЛОК: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договору")&gt;0)*($C$5:$C$504&lt;&gt;C252)*($E$5:$E$504=E252)*(($D$5:$D$504=D252)*(D252&lt;&gt;"")+($B$5:$B$504=B252)*(B252&lt;&gt;"")&gt;0))&gt;0,"БЛОК: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операцию",IF(AND(C252="Оплата",K252&lt;&gt;"Отдельный платёж — не сам аванс (сверено с выпиской банка)",OR(COUNTIFS($C$5:$C$504,"Зачёт аванса по договору",$E$5:$E$504,E252)&gt;0,ROUND(E252-$M$6,2)=0)),"БЛОК: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2" s="185" t="str">
        <x:f>IF(AND(B252="",C252="",E252=""),"",SUM($G$5:G252))</x:f>
        <x:v/>
      </x:c>
      <x:c r="K252" s="178"/>
      <x:c r="L252" s="46"/>
      <x:c r="M252" s="46"/>
    </x:row>
    <x:row r="253" ht="29" customHeight="1">
      <x:c r="A253" s="199">
        <x:v>249</x:v>
      </x:c>
      <x:c r="B253" s="162"/>
      <x:c r="C253" s="163"/>
      <x:c r="D253" s="163"/>
      <x:c r="E253" s="164"/>
      <x:c r="F253" s="163"/>
      <x:c r="G253" s="185">
        <x:f t="shared" si="6"/>
        <x:v>0</x:v>
      </x:c>
      <x:c r="H253" s="185">
        <x:f t="shared" si="7"/>
        <x:v>0</x:v>
      </x:c>
      <x:c r="I253" s="186">
        <x:f>IF(AND(B253="",C253="",D253="",E253="",F253=""),"",IF(OR(B253="",C253="",E253=""),"БЛОК: нужны дата, тип операции и сумма",IF(N(E253)&lt;=0,"БЛОК: сумма должна быть больше нуля",IF(AND(H253&lt;&gt;0,F253=""),"БЛОК: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отделить",IF(AND(G253&lt;&gt;0,F253=""),"БЛОК: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нельзя",IF(AND(F253&lt;&gt;"",COUNTIF('Долг по актам'!$B$5:$B$34,F253)=0),"БЛОК: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договору")&gt;0)*($C$5:$C$504&lt;&gt;C253)*($E$5:$E$504=E253)*(($D$5:$D$504=D253)*(D253&lt;&gt;"")+($B$5:$B$504=B253)*(B253&lt;&gt;"")&gt;0))&gt;0,"БЛОК: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операцию",IF(AND(C253="Оплата",K253&lt;&gt;"Отдельный платёж — не сам аванс (сверено с выпиской банка)",OR(COUNTIFS($C$5:$C$504,"Зачёт аванса по договору",$E$5:$E$504,E253)&gt;0,ROUND(E253-$M$6,2)=0)),"БЛОК: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3" s="185" t="str">
        <x:f>IF(AND(B253="",C253="",E253=""),"",SUM($G$5:G253))</x:f>
        <x:v/>
      </x:c>
      <x:c r="K253" s="178"/>
      <x:c r="L253" s="46"/>
      <x:c r="M253" s="46"/>
    </x:row>
    <x:row r="254" ht="29" customHeight="1">
      <x:c r="A254" s="199">
        <x:v>250</x:v>
      </x:c>
      <x:c r="B254" s="162"/>
      <x:c r="C254" s="163"/>
      <x:c r="D254" s="163"/>
      <x:c r="E254" s="164"/>
      <x:c r="F254" s="163"/>
      <x:c r="G254" s="185">
        <x:f t="shared" si="6"/>
        <x:v>0</x:v>
      </x:c>
      <x:c r="H254" s="185">
        <x:f t="shared" si="7"/>
        <x:v>0</x:v>
      </x:c>
      <x:c r="I254" s="186">
        <x:f>IF(AND(B254="",C254="",D254="",E254="",F254=""),"",IF(OR(B254="",C254="",E254=""),"БЛОК: нужны дата, тип операции и сумма",IF(N(E254)&lt;=0,"БЛОК: сумма должна быть больше нуля",IF(AND(H254&lt;&gt;0,F254=""),"БЛОК: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отделить",IF(AND(G254&lt;&gt;0,F254=""),"БЛОК: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нельзя",IF(AND(F254&lt;&gt;"",COUNTIF('Долг по актам'!$B$5:$B$34,F254)=0),"БЛОК: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договору")&gt;0)*($C$5:$C$504&lt;&gt;C254)*($E$5:$E$504=E254)*(($D$5:$D$504=D254)*(D254&lt;&gt;"")+($B$5:$B$504=B254)*(B254&lt;&gt;"")&gt;0))&gt;0,"БЛОК: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операцию",IF(AND(C254="Оплата",K254&lt;&gt;"Отдельный платёж — не сам аванс (сверено с выпиской банка)",OR(COUNTIFS($C$5:$C$504,"Зачёт аванса по договору",$E$5:$E$504,E254)&gt;0,ROUND(E254-$M$6,2)=0)),"БЛОК: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4" s="185" t="str">
        <x:f>IF(AND(B254="",C254="",E254=""),"",SUM($G$5:G254))</x:f>
        <x:v/>
      </x:c>
      <x:c r="K254" s="178"/>
      <x:c r="L254" s="46"/>
      <x:c r="M254" s="46"/>
    </x:row>
    <x:row r="255" ht="29" customHeight="1">
      <x:c r="A255" s="199">
        <x:v>251</x:v>
      </x:c>
      <x:c r="B255" s="162"/>
      <x:c r="C255" s="163"/>
      <x:c r="D255" s="163"/>
      <x:c r="E255" s="164"/>
      <x:c r="F255" s="163"/>
      <x:c r="G255" s="185">
        <x:f t="shared" si="6"/>
        <x:v>0</x:v>
      </x:c>
      <x:c r="H255" s="185">
        <x:f t="shared" si="7"/>
        <x:v>0</x:v>
      </x:c>
      <x:c r="I255" s="186">
        <x:f>IF(AND(B255="",C255="",D255="",E255="",F255=""),"",IF(OR(B255="",C255="",E255=""),"БЛОК: нужны дата, тип операции и сумма",IF(N(E255)&lt;=0,"БЛОК: сумма должна быть больше нуля",IF(AND(H255&lt;&gt;0,F255=""),"БЛОК: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отделить",IF(AND(G255&lt;&gt;0,F255=""),"БЛОК: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нельзя",IF(AND(F255&lt;&gt;"",COUNTIF('Долг по актам'!$B$5:$B$34,F255)=0),"БЛОК: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договору")&gt;0)*($C$5:$C$504&lt;&gt;C255)*($E$5:$E$504=E255)*(($D$5:$D$504=D255)*(D255&lt;&gt;"")+($B$5:$B$504=B255)*(B255&lt;&gt;"")&gt;0))&gt;0,"БЛОК: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операцию",IF(AND(C255="Оплата",K255&lt;&gt;"Отдельный платёж — не сам аванс (сверено с выпиской банка)",OR(COUNTIFS($C$5:$C$504,"Зачёт аванса по договору",$E$5:$E$504,E255)&gt;0,ROUND(E255-$M$6,2)=0)),"БЛОК: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5" s="185" t="str">
        <x:f>IF(AND(B255="",C255="",E255=""),"",SUM($G$5:G255))</x:f>
        <x:v/>
      </x:c>
      <x:c r="K255" s="178"/>
      <x:c r="L255" s="46"/>
      <x:c r="M255" s="46"/>
    </x:row>
    <x:row r="256" ht="29" customHeight="1">
      <x:c r="A256" s="199">
        <x:v>252</x:v>
      </x:c>
      <x:c r="B256" s="162"/>
      <x:c r="C256" s="163"/>
      <x:c r="D256" s="163"/>
      <x:c r="E256" s="164"/>
      <x:c r="F256" s="163"/>
      <x:c r="G256" s="185">
        <x:f t="shared" si="6"/>
        <x:v>0</x:v>
      </x:c>
      <x:c r="H256" s="185">
        <x:f t="shared" si="7"/>
        <x:v>0</x:v>
      </x:c>
      <x:c r="I256" s="186">
        <x:f>IF(AND(B256="",C256="",D256="",E256="",F256=""),"",IF(OR(B256="",C256="",E256=""),"БЛОК: нужны дата, тип операции и сумма",IF(N(E256)&lt;=0,"БЛОК: сумма должна быть больше нуля",IF(AND(H256&lt;&gt;0,F256=""),"БЛОК: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отделить",IF(AND(G256&lt;&gt;0,F256=""),"БЛОК: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нельзя",IF(AND(F256&lt;&gt;"",COUNTIF('Долг по актам'!$B$5:$B$34,F256)=0),"БЛОК: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договору")&gt;0)*($C$5:$C$504&lt;&gt;C256)*($E$5:$E$504=E256)*(($D$5:$D$504=D256)*(D256&lt;&gt;"")+($B$5:$B$504=B256)*(B256&lt;&gt;"")&gt;0))&gt;0,"БЛОК: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операцию",IF(AND(C256="Оплата",K256&lt;&gt;"Отдельный платёж — не сам аванс (сверено с выпиской банка)",OR(COUNTIFS($C$5:$C$504,"Зачёт аванса по договору",$E$5:$E$504,E256)&gt;0,ROUND(E256-$M$6,2)=0)),"БЛОК: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6" s="185" t="str">
        <x:f>IF(AND(B256="",C256="",E256=""),"",SUM($G$5:G256))</x:f>
        <x:v/>
      </x:c>
      <x:c r="K256" s="178"/>
      <x:c r="L256" s="46"/>
      <x:c r="M256" s="46"/>
    </x:row>
    <x:row r="257" ht="29" customHeight="1">
      <x:c r="A257" s="199">
        <x:v>253</x:v>
      </x:c>
      <x:c r="B257" s="162"/>
      <x:c r="C257" s="163"/>
      <x:c r="D257" s="163"/>
      <x:c r="E257" s="164"/>
      <x:c r="F257" s="163"/>
      <x:c r="G257" s="185">
        <x:f t="shared" si="6"/>
        <x:v>0</x:v>
      </x:c>
      <x:c r="H257" s="185">
        <x:f t="shared" si="7"/>
        <x:v>0</x:v>
      </x:c>
      <x:c r="I257" s="186">
        <x:f>IF(AND(B257="",C257="",D257="",E257="",F257=""),"",IF(OR(B257="",C257="",E257=""),"БЛОК: нужны дата, тип операции и сумма",IF(N(E257)&lt;=0,"БЛОК: сумма должна быть больше нуля",IF(AND(H257&lt;&gt;0,F257=""),"БЛОК: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отделить",IF(AND(G257&lt;&gt;0,F257=""),"БЛОК: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нельзя",IF(AND(F257&lt;&gt;"",COUNTIF('Долг по актам'!$B$5:$B$34,F257)=0),"БЛОК: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договору")&gt;0)*($C$5:$C$504&lt;&gt;C257)*($E$5:$E$504=E257)*(($D$5:$D$504=D257)*(D257&lt;&gt;"")+($B$5:$B$504=B257)*(B257&lt;&gt;"")&gt;0))&gt;0,"БЛОК: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операцию",IF(AND(C257="Оплата",K257&lt;&gt;"Отдельный платёж — не сам аванс (сверено с выпиской банка)",OR(COUNTIFS($C$5:$C$504,"Зачёт аванса по договору",$E$5:$E$504,E257)&gt;0,ROUND(E257-$M$6,2)=0)),"БЛОК: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7" s="185" t="str">
        <x:f>IF(AND(B257="",C257="",E257=""),"",SUM($G$5:G257))</x:f>
        <x:v/>
      </x:c>
      <x:c r="K257" s="178"/>
      <x:c r="L257" s="46"/>
      <x:c r="M257" s="46"/>
    </x:row>
    <x:row r="258" ht="29" customHeight="1">
      <x:c r="A258" s="199">
        <x:v>254</x:v>
      </x:c>
      <x:c r="B258" s="162"/>
      <x:c r="C258" s="163"/>
      <x:c r="D258" s="163"/>
      <x:c r="E258" s="164"/>
      <x:c r="F258" s="163"/>
      <x:c r="G258" s="185">
        <x:f t="shared" si="6"/>
        <x:v>0</x:v>
      </x:c>
      <x:c r="H258" s="185">
        <x:f t="shared" si="7"/>
        <x:v>0</x:v>
      </x:c>
      <x:c r="I258" s="186">
        <x:f>IF(AND(B258="",C258="",D258="",E258="",F258=""),"",IF(OR(B258="",C258="",E258=""),"БЛОК: нужны дата, тип операции и сумма",IF(N(E258)&lt;=0,"БЛОК: сумма должна быть больше нуля",IF(AND(H258&lt;&gt;0,F258=""),"БЛОК: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отделить",IF(AND(G258&lt;&gt;0,F258=""),"БЛОК: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нельзя",IF(AND(F258&lt;&gt;"",COUNTIF('Долг по актам'!$B$5:$B$34,F258)=0),"БЛОК: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договору")&gt;0)*($C$5:$C$504&lt;&gt;C258)*($E$5:$E$504=E258)*(($D$5:$D$504=D258)*(D258&lt;&gt;"")+($B$5:$B$504=B258)*(B258&lt;&gt;"")&gt;0))&gt;0,"БЛОК: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операцию",IF(AND(C258="Оплата",K258&lt;&gt;"Отдельный платёж — не сам аванс (сверено с выпиской банка)",OR(COUNTIFS($C$5:$C$504,"Зачёт аванса по договору",$E$5:$E$504,E258)&gt;0,ROUND(E258-$M$6,2)=0)),"БЛОК: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8" s="185" t="str">
        <x:f>IF(AND(B258="",C258="",E258=""),"",SUM($G$5:G258))</x:f>
        <x:v/>
      </x:c>
      <x:c r="K258" s="178"/>
      <x:c r="L258" s="46"/>
      <x:c r="M258" s="46"/>
    </x:row>
    <x:row r="259" ht="29" customHeight="1">
      <x:c r="A259" s="199">
        <x:v>255</x:v>
      </x:c>
      <x:c r="B259" s="162"/>
      <x:c r="C259" s="163"/>
      <x:c r="D259" s="163"/>
      <x:c r="E259" s="164"/>
      <x:c r="F259" s="163"/>
      <x:c r="G259" s="185">
        <x:f t="shared" si="6"/>
        <x:v>0</x:v>
      </x:c>
      <x:c r="H259" s="185">
        <x:f t="shared" si="7"/>
        <x:v>0</x:v>
      </x:c>
      <x:c r="I259" s="186">
        <x:f>IF(AND(B259="",C259="",D259="",E259="",F259=""),"",IF(OR(B259="",C259="",E259=""),"БЛОК: нужны дата, тип операции и сумма",IF(N(E259)&lt;=0,"БЛОК: сумма должна быть больше нуля",IF(AND(H259&lt;&gt;0,F259=""),"БЛОК: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отделить",IF(AND(G259&lt;&gt;0,F259=""),"БЛОК: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нельзя",IF(AND(F259&lt;&gt;"",COUNTIF('Долг по актам'!$B$5:$B$34,F259)=0),"БЛОК: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договору")&gt;0)*($C$5:$C$504&lt;&gt;C259)*($E$5:$E$504=E259)*(($D$5:$D$504=D259)*(D259&lt;&gt;"")+($B$5:$B$504=B259)*(B259&lt;&gt;"")&gt;0))&gt;0,"БЛОК: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операцию",IF(AND(C259="Оплата",K259&lt;&gt;"Отдельный платёж — не сам аванс (сверено с выпиской банка)",OR(COUNTIFS($C$5:$C$504,"Зачёт аванса по договору",$E$5:$E$504,E259)&gt;0,ROUND(E259-$M$6,2)=0)),"БЛОК: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59" s="185" t="str">
        <x:f>IF(AND(B259="",C259="",E259=""),"",SUM($G$5:G259))</x:f>
        <x:v/>
      </x:c>
      <x:c r="K259" s="178"/>
      <x:c r="L259" s="46"/>
      <x:c r="M259" s="46"/>
    </x:row>
    <x:row r="260" ht="29" customHeight="1">
      <x:c r="A260" s="199">
        <x:v>256</x:v>
      </x:c>
      <x:c r="B260" s="162"/>
      <x:c r="C260" s="163"/>
      <x:c r="D260" s="163"/>
      <x:c r="E260" s="164"/>
      <x:c r="F260" s="163"/>
      <x:c r="G260" s="185">
        <x:f t="shared" si="6"/>
        <x:v>0</x:v>
      </x:c>
      <x:c r="H260" s="185">
        <x:f t="shared" si="7"/>
        <x:v>0</x:v>
      </x:c>
      <x:c r="I260" s="186">
        <x:f>IF(AND(B260="",C260="",D260="",E260="",F260=""),"",IF(OR(B260="",C260="",E260=""),"БЛОК: нужны дата, тип операции и сумма",IF(N(E260)&lt;=0,"БЛОК: сумма должна быть больше нуля",IF(AND(H260&lt;&gt;0,F260=""),"БЛОК: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отделить",IF(AND(G260&lt;&gt;0,F260=""),"БЛОК: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нельзя",IF(AND(F260&lt;&gt;"",COUNTIF('Долг по актам'!$B$5:$B$34,F260)=0),"БЛОК: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договору")&gt;0)*($C$5:$C$504&lt;&gt;C260)*($E$5:$E$504=E260)*(($D$5:$D$504=D260)*(D260&lt;&gt;"")+($B$5:$B$504=B260)*(B260&lt;&gt;"")&gt;0))&gt;0,"БЛОК: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операцию",IF(AND(C260="Оплата",K260&lt;&gt;"Отдельный платёж — не сам аванс (сверено с выпиской банка)",OR(COUNTIFS($C$5:$C$504,"Зачёт аванса по договору",$E$5:$E$504,E260)&gt;0,ROUND(E260-$M$6,2)=0)),"БЛОК: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0" s="185" t="str">
        <x:f>IF(AND(B260="",C260="",E260=""),"",SUM($G$5:G260))</x:f>
        <x:v/>
      </x:c>
      <x:c r="K260" s="178"/>
      <x:c r="L260" s="46"/>
      <x:c r="M260" s="46"/>
    </x:row>
    <x:row r="261" ht="29" customHeight="1">
      <x:c r="A261" s="199">
        <x:v>257</x:v>
      </x:c>
      <x:c r="B261" s="162"/>
      <x:c r="C261" s="163"/>
      <x:c r="D261" s="163"/>
      <x:c r="E261" s="164"/>
      <x:c r="F261" s="163"/>
      <x:c r="G261" s="185">
        <x:f t="shared" ref="G261:G324" si="8">IF(OR(C261="",E261=""),0,IF(C261="Начисление по акту",E261,IF(OR(C261="Оплата",C261="Зачёт аванса по договору"),-E261,IF(C261="Корректировка (подписана обеими сторонами)",E261,0))))</x:f>
        <x:v>0</x:v>
      </x:c>
      <x:c r="H261" s="185">
        <x:f t="shared" ref="H261:H324" si="9">IF(OR(C261="Удержание",C261="Зачёт встречного требования",C261="Неустойка заявлена",C261="Допработы без соглашения (спорно)"),N(E261),0)</x:f>
        <x:v>0</x:v>
      </x:c>
      <x:c r="I261" s="186">
        <x:f>IF(AND(B261="",C261="",D261="",E261="",F261=""),"",IF(OR(B261="",C261="",E261=""),"БЛОК: нужны дата, тип операции и сумма",IF(N(E261)&lt;=0,"БЛОК: сумма должна быть больше нуля",IF(AND(H261&lt;&gt;0,F261=""),"БЛОК: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отделить",IF(AND(G261&lt;&gt;0,F261=""),"БЛОК: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нельзя",IF(AND(F261&lt;&gt;"",COUNTIF('Долг по актам'!$B$5:$B$34,F261)=0),"БЛОК: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договору")&gt;0)*($C$5:$C$504&lt;&gt;C261)*($E$5:$E$504=E261)*(($D$5:$D$504=D261)*(D261&lt;&gt;"")+($B$5:$B$504=B261)*(B261&lt;&gt;"")&gt;0))&gt;0,"БЛОК: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операцию",IF(AND(C261="Оплата",K261&lt;&gt;"Отдельный платёж — не сам аванс (сверено с выпиской банка)",OR(COUNTIFS($C$5:$C$504,"Зачёт аванса по договору",$E$5:$E$504,E261)&gt;0,ROUND(E261-$M$6,2)=0)),"БЛОК: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1" s="185" t="str">
        <x:f>IF(AND(B261="",C261="",E261=""),"",SUM($G$5:G261))</x:f>
        <x:v/>
      </x:c>
      <x:c r="K261" s="178"/>
      <x:c r="L261" s="46"/>
      <x:c r="M261" s="46"/>
    </x:row>
    <x:row r="262" ht="29" customHeight="1">
      <x:c r="A262" s="199">
        <x:v>258</x:v>
      </x:c>
      <x:c r="B262" s="162"/>
      <x:c r="C262" s="163"/>
      <x:c r="D262" s="163"/>
      <x:c r="E262" s="164"/>
      <x:c r="F262" s="163"/>
      <x:c r="G262" s="185">
        <x:f t="shared" si="8"/>
        <x:v>0</x:v>
      </x:c>
      <x:c r="H262" s="185">
        <x:f t="shared" si="9"/>
        <x:v>0</x:v>
      </x:c>
      <x:c r="I262" s="186">
        <x:f>IF(AND(B262="",C262="",D262="",E262="",F262=""),"",IF(OR(B262="",C262="",E262=""),"БЛОК: нужны дата, тип операции и сумма",IF(N(E262)&lt;=0,"БЛОК: сумма должна быть больше нуля",IF(AND(H262&lt;&gt;0,F262=""),"БЛОК: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отделить",IF(AND(G262&lt;&gt;0,F262=""),"БЛОК: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нельзя",IF(AND(F262&lt;&gt;"",COUNTIF('Долг по актам'!$B$5:$B$34,F262)=0),"БЛОК: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договору")&gt;0)*($C$5:$C$504&lt;&gt;C262)*($E$5:$E$504=E262)*(($D$5:$D$504=D262)*(D262&lt;&gt;"")+($B$5:$B$504=B262)*(B262&lt;&gt;"")&gt;0))&gt;0,"БЛОК: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операцию",IF(AND(C262="Оплата",K262&lt;&gt;"Отдельный платёж — не сам аванс (сверено с выпиской банка)",OR(COUNTIFS($C$5:$C$504,"Зачёт аванса по договору",$E$5:$E$504,E262)&gt;0,ROUND(E262-$M$6,2)=0)),"БЛОК: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2" s="185" t="str">
        <x:f>IF(AND(B262="",C262="",E262=""),"",SUM($G$5:G262))</x:f>
        <x:v/>
      </x:c>
      <x:c r="K262" s="178"/>
      <x:c r="L262" s="46"/>
      <x:c r="M262" s="46"/>
    </x:row>
    <x:row r="263" ht="29" customHeight="1">
      <x:c r="A263" s="199">
        <x:v>259</x:v>
      </x:c>
      <x:c r="B263" s="162"/>
      <x:c r="C263" s="163"/>
      <x:c r="D263" s="163"/>
      <x:c r="E263" s="164"/>
      <x:c r="F263" s="163"/>
      <x:c r="G263" s="185">
        <x:f t="shared" si="8"/>
        <x:v>0</x:v>
      </x:c>
      <x:c r="H263" s="185">
        <x:f t="shared" si="9"/>
        <x:v>0</x:v>
      </x:c>
      <x:c r="I263" s="186">
        <x:f>IF(AND(B263="",C263="",D263="",E263="",F263=""),"",IF(OR(B263="",C263="",E263=""),"БЛОК: нужны дата, тип операции и сумма",IF(N(E263)&lt;=0,"БЛОК: сумма должна быть больше нуля",IF(AND(H263&lt;&gt;0,F263=""),"БЛОК: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отделить",IF(AND(G263&lt;&gt;0,F263=""),"БЛОК: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нельзя",IF(AND(F263&lt;&gt;"",COUNTIF('Долг по актам'!$B$5:$B$34,F263)=0),"БЛОК: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договору")&gt;0)*($C$5:$C$504&lt;&gt;C263)*($E$5:$E$504=E263)*(($D$5:$D$504=D263)*(D263&lt;&gt;"")+($B$5:$B$504=B263)*(B263&lt;&gt;"")&gt;0))&gt;0,"БЛОК: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операцию",IF(AND(C263="Оплата",K263&lt;&gt;"Отдельный платёж — не сам аванс (сверено с выпиской банка)",OR(COUNTIFS($C$5:$C$504,"Зачёт аванса по договору",$E$5:$E$504,E263)&gt;0,ROUND(E263-$M$6,2)=0)),"БЛОК: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3" s="185" t="str">
        <x:f>IF(AND(B263="",C263="",E263=""),"",SUM($G$5:G263))</x:f>
        <x:v/>
      </x:c>
      <x:c r="K263" s="178"/>
      <x:c r="L263" s="46"/>
      <x:c r="M263" s="46"/>
    </x:row>
    <x:row r="264" ht="29" customHeight="1">
      <x:c r="A264" s="199">
        <x:v>260</x:v>
      </x:c>
      <x:c r="B264" s="162"/>
      <x:c r="C264" s="163"/>
      <x:c r="D264" s="163"/>
      <x:c r="E264" s="164"/>
      <x:c r="F264" s="163"/>
      <x:c r="G264" s="185">
        <x:f t="shared" si="8"/>
        <x:v>0</x:v>
      </x:c>
      <x:c r="H264" s="185">
        <x:f t="shared" si="9"/>
        <x:v>0</x:v>
      </x:c>
      <x:c r="I264" s="186">
        <x:f>IF(AND(B264="",C264="",D264="",E264="",F264=""),"",IF(OR(B264="",C264="",E264=""),"БЛОК: нужны дата, тип операции и сумма",IF(N(E264)&lt;=0,"БЛОК: сумма должна быть больше нуля",IF(AND(H264&lt;&gt;0,F264=""),"БЛОК: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отделить",IF(AND(G264&lt;&gt;0,F264=""),"БЛОК: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нельзя",IF(AND(F264&lt;&gt;"",COUNTIF('Долг по актам'!$B$5:$B$34,F264)=0),"БЛОК: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договору")&gt;0)*($C$5:$C$504&lt;&gt;C264)*($E$5:$E$504=E264)*(($D$5:$D$504=D264)*(D264&lt;&gt;"")+($B$5:$B$504=B264)*(B264&lt;&gt;"")&gt;0))&gt;0,"БЛОК: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операцию",IF(AND(C264="Оплата",K264&lt;&gt;"Отдельный платёж — не сам аванс (сверено с выпиской банка)",OR(COUNTIFS($C$5:$C$504,"Зачёт аванса по договору",$E$5:$E$504,E264)&gt;0,ROUND(E264-$M$6,2)=0)),"БЛОК: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4" s="185" t="str">
        <x:f>IF(AND(B264="",C264="",E264=""),"",SUM($G$5:G264))</x:f>
        <x:v/>
      </x:c>
      <x:c r="K264" s="178"/>
      <x:c r="L264" s="46"/>
      <x:c r="M264" s="46"/>
    </x:row>
    <x:row r="265" ht="29" customHeight="1">
      <x:c r="A265" s="199">
        <x:v>261</x:v>
      </x:c>
      <x:c r="B265" s="162"/>
      <x:c r="C265" s="163"/>
      <x:c r="D265" s="163"/>
      <x:c r="E265" s="164"/>
      <x:c r="F265" s="163"/>
      <x:c r="G265" s="185">
        <x:f t="shared" si="8"/>
        <x:v>0</x:v>
      </x:c>
      <x:c r="H265" s="185">
        <x:f t="shared" si="9"/>
        <x:v>0</x:v>
      </x:c>
      <x:c r="I265" s="186">
        <x:f>IF(AND(B265="",C265="",D265="",E265="",F265=""),"",IF(OR(B265="",C265="",E265=""),"БЛОК: нужны дата, тип операции и сумма",IF(N(E265)&lt;=0,"БЛОК: сумма должна быть больше нуля",IF(AND(H265&lt;&gt;0,F265=""),"БЛОК: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отделить",IF(AND(G265&lt;&gt;0,F265=""),"БЛОК: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нельзя",IF(AND(F265&lt;&gt;"",COUNTIF('Долг по актам'!$B$5:$B$34,F265)=0),"БЛОК: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договору")&gt;0)*($C$5:$C$504&lt;&gt;C265)*($E$5:$E$504=E265)*(($D$5:$D$504=D265)*(D265&lt;&gt;"")+($B$5:$B$504=B265)*(B265&lt;&gt;"")&gt;0))&gt;0,"БЛОК: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операцию",IF(AND(C265="Оплата",K265&lt;&gt;"Отдельный платёж — не сам аванс (сверено с выпиской банка)",OR(COUNTIFS($C$5:$C$504,"Зачёт аванса по договору",$E$5:$E$504,E265)&gt;0,ROUND(E265-$M$6,2)=0)),"БЛОК: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5" s="185" t="str">
        <x:f>IF(AND(B265="",C265="",E265=""),"",SUM($G$5:G265))</x:f>
        <x:v/>
      </x:c>
      <x:c r="K265" s="178"/>
      <x:c r="L265" s="46"/>
      <x:c r="M265" s="46"/>
    </x:row>
    <x:row r="266" ht="29" customHeight="1">
      <x:c r="A266" s="199">
        <x:v>262</x:v>
      </x:c>
      <x:c r="B266" s="162"/>
      <x:c r="C266" s="163"/>
      <x:c r="D266" s="163"/>
      <x:c r="E266" s="164"/>
      <x:c r="F266" s="163"/>
      <x:c r="G266" s="185">
        <x:f t="shared" si="8"/>
        <x:v>0</x:v>
      </x:c>
      <x:c r="H266" s="185">
        <x:f t="shared" si="9"/>
        <x:v>0</x:v>
      </x:c>
      <x:c r="I266" s="186">
        <x:f>IF(AND(B266="",C266="",D266="",E266="",F266=""),"",IF(OR(B266="",C266="",E266=""),"БЛОК: нужны дата, тип операции и сумма",IF(N(E266)&lt;=0,"БЛОК: сумма должна быть больше нуля",IF(AND(H266&lt;&gt;0,F266=""),"БЛОК: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отделить",IF(AND(G266&lt;&gt;0,F266=""),"БЛОК: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нельзя",IF(AND(F266&lt;&gt;"",COUNTIF('Долг по актам'!$B$5:$B$34,F266)=0),"БЛОК: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договору")&gt;0)*($C$5:$C$504&lt;&gt;C266)*($E$5:$E$504=E266)*(($D$5:$D$504=D266)*(D266&lt;&gt;"")+($B$5:$B$504=B266)*(B266&lt;&gt;"")&gt;0))&gt;0,"БЛОК: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операцию",IF(AND(C266="Оплата",K266&lt;&gt;"Отдельный платёж — не сам аванс (сверено с выпиской банка)",OR(COUNTIFS($C$5:$C$504,"Зачёт аванса по договору",$E$5:$E$504,E266)&gt;0,ROUND(E266-$M$6,2)=0)),"БЛОК: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6" s="185" t="str">
        <x:f>IF(AND(B266="",C266="",E266=""),"",SUM($G$5:G266))</x:f>
        <x:v/>
      </x:c>
      <x:c r="K266" s="178"/>
      <x:c r="L266" s="46"/>
      <x:c r="M266" s="46"/>
    </x:row>
    <x:row r="267" ht="29" customHeight="1">
      <x:c r="A267" s="199">
        <x:v>263</x:v>
      </x:c>
      <x:c r="B267" s="162"/>
      <x:c r="C267" s="163"/>
      <x:c r="D267" s="163"/>
      <x:c r="E267" s="164"/>
      <x:c r="F267" s="163"/>
      <x:c r="G267" s="185">
        <x:f t="shared" si="8"/>
        <x:v>0</x:v>
      </x:c>
      <x:c r="H267" s="185">
        <x:f t="shared" si="9"/>
        <x:v>0</x:v>
      </x:c>
      <x:c r="I267" s="186">
        <x:f>IF(AND(B267="",C267="",D267="",E267="",F267=""),"",IF(OR(B267="",C267="",E267=""),"БЛОК: нужны дата, тип операции и сумма",IF(N(E267)&lt;=0,"БЛОК: сумма должна быть больше нуля",IF(AND(H267&lt;&gt;0,F267=""),"БЛОК: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отделить",IF(AND(G267&lt;&gt;0,F267=""),"БЛОК: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нельзя",IF(AND(F267&lt;&gt;"",COUNTIF('Долг по актам'!$B$5:$B$34,F267)=0),"БЛОК: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договору")&gt;0)*($C$5:$C$504&lt;&gt;C267)*($E$5:$E$504=E267)*(($D$5:$D$504=D267)*(D267&lt;&gt;"")+($B$5:$B$504=B267)*(B267&lt;&gt;"")&gt;0))&gt;0,"БЛОК: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операцию",IF(AND(C267="Оплата",K267&lt;&gt;"Отдельный платёж — не сам аванс (сверено с выпиской банка)",OR(COUNTIFS($C$5:$C$504,"Зачёт аванса по договору",$E$5:$E$504,E267)&gt;0,ROUND(E267-$M$6,2)=0)),"БЛОК: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7" s="185" t="str">
        <x:f>IF(AND(B267="",C267="",E267=""),"",SUM($G$5:G267))</x:f>
        <x:v/>
      </x:c>
      <x:c r="K267" s="178"/>
      <x:c r="L267" s="46"/>
      <x:c r="M267" s="46"/>
    </x:row>
    <x:row r="268" ht="29" customHeight="1">
      <x:c r="A268" s="199">
        <x:v>264</x:v>
      </x:c>
      <x:c r="B268" s="162"/>
      <x:c r="C268" s="163"/>
      <x:c r="D268" s="163"/>
      <x:c r="E268" s="164"/>
      <x:c r="F268" s="163"/>
      <x:c r="G268" s="185">
        <x:f t="shared" si="8"/>
        <x:v>0</x:v>
      </x:c>
      <x:c r="H268" s="185">
        <x:f t="shared" si="9"/>
        <x:v>0</x:v>
      </x:c>
      <x:c r="I268" s="186">
        <x:f>IF(AND(B268="",C268="",D268="",E268="",F268=""),"",IF(OR(B268="",C268="",E268=""),"БЛОК: нужны дата, тип операции и сумма",IF(N(E268)&lt;=0,"БЛОК: сумма должна быть больше нуля",IF(AND(H268&lt;&gt;0,F268=""),"БЛОК: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отделить",IF(AND(G268&lt;&gt;0,F268=""),"БЛОК: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нельзя",IF(AND(F268&lt;&gt;"",COUNTIF('Долг по актам'!$B$5:$B$34,F268)=0),"БЛОК: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договору")&gt;0)*($C$5:$C$504&lt;&gt;C268)*($E$5:$E$504=E268)*(($D$5:$D$504=D268)*(D268&lt;&gt;"")+($B$5:$B$504=B268)*(B268&lt;&gt;"")&gt;0))&gt;0,"БЛОК: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операцию",IF(AND(C268="Оплата",K268&lt;&gt;"Отдельный платёж — не сам аванс (сверено с выпиской банка)",OR(COUNTIFS($C$5:$C$504,"Зачёт аванса по договору",$E$5:$E$504,E268)&gt;0,ROUND(E268-$M$6,2)=0)),"БЛОК: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8" s="185" t="str">
        <x:f>IF(AND(B268="",C268="",E268=""),"",SUM($G$5:G268))</x:f>
        <x:v/>
      </x:c>
      <x:c r="K268" s="178"/>
      <x:c r="L268" s="46"/>
      <x:c r="M268" s="46"/>
    </x:row>
    <x:row r="269" ht="29" customHeight="1">
      <x:c r="A269" s="199">
        <x:v>265</x:v>
      </x:c>
      <x:c r="B269" s="162"/>
      <x:c r="C269" s="163"/>
      <x:c r="D269" s="163"/>
      <x:c r="E269" s="164"/>
      <x:c r="F269" s="163"/>
      <x:c r="G269" s="185">
        <x:f t="shared" si="8"/>
        <x:v>0</x:v>
      </x:c>
      <x:c r="H269" s="185">
        <x:f t="shared" si="9"/>
        <x:v>0</x:v>
      </x:c>
      <x:c r="I269" s="186">
        <x:f>IF(AND(B269="",C269="",D269="",E269="",F269=""),"",IF(OR(B269="",C269="",E269=""),"БЛОК: нужны дата, тип операции и сумма",IF(N(E269)&lt;=0,"БЛОК: сумма должна быть больше нуля",IF(AND(H269&lt;&gt;0,F269=""),"БЛОК: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отделить",IF(AND(G269&lt;&gt;0,F269=""),"БЛОК: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нельзя",IF(AND(F269&lt;&gt;"",COUNTIF('Долг по актам'!$B$5:$B$34,F269)=0),"БЛОК: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договору")&gt;0)*($C$5:$C$504&lt;&gt;C269)*($E$5:$E$504=E269)*(($D$5:$D$504=D269)*(D269&lt;&gt;"")+($B$5:$B$504=B269)*(B269&lt;&gt;"")&gt;0))&gt;0,"БЛОК: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операцию",IF(AND(C269="Оплата",K269&lt;&gt;"Отдельный платёж — не сам аванс (сверено с выпиской банка)",OR(COUNTIFS($C$5:$C$504,"Зачёт аванса по договору",$E$5:$E$504,E269)&gt;0,ROUND(E269-$M$6,2)=0)),"БЛОК: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69" s="185" t="str">
        <x:f>IF(AND(B269="",C269="",E269=""),"",SUM($G$5:G269))</x:f>
        <x:v/>
      </x:c>
      <x:c r="K269" s="178"/>
      <x:c r="L269" s="46"/>
      <x:c r="M269" s="46"/>
    </x:row>
    <x:row r="270" ht="29" customHeight="1">
      <x:c r="A270" s="199">
        <x:v>266</x:v>
      </x:c>
      <x:c r="B270" s="162"/>
      <x:c r="C270" s="163"/>
      <x:c r="D270" s="163"/>
      <x:c r="E270" s="164"/>
      <x:c r="F270" s="163"/>
      <x:c r="G270" s="185">
        <x:f t="shared" si="8"/>
        <x:v>0</x:v>
      </x:c>
      <x:c r="H270" s="185">
        <x:f t="shared" si="9"/>
        <x:v>0</x:v>
      </x:c>
      <x:c r="I270" s="186">
        <x:f>IF(AND(B270="",C270="",D270="",E270="",F270=""),"",IF(OR(B270="",C270="",E270=""),"БЛОК: нужны дата, тип операции и сумма",IF(N(E270)&lt;=0,"БЛОК: сумма должна быть больше нуля",IF(AND(H270&lt;&gt;0,F270=""),"БЛОК: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отделить",IF(AND(G270&lt;&gt;0,F270=""),"БЛОК: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нельзя",IF(AND(F270&lt;&gt;"",COUNTIF('Долг по актам'!$B$5:$B$34,F270)=0),"БЛОК: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договору")&gt;0)*($C$5:$C$504&lt;&gt;C270)*($E$5:$E$504=E270)*(($D$5:$D$504=D270)*(D270&lt;&gt;"")+($B$5:$B$504=B270)*(B270&lt;&gt;"")&gt;0))&gt;0,"БЛОК: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операцию",IF(AND(C270="Оплата",K270&lt;&gt;"Отдельный платёж — не сам аванс (сверено с выпиской банка)",OR(COUNTIFS($C$5:$C$504,"Зачёт аванса по договору",$E$5:$E$504,E270)&gt;0,ROUND(E270-$M$6,2)=0)),"БЛОК: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0" s="185" t="str">
        <x:f>IF(AND(B270="",C270="",E270=""),"",SUM($G$5:G270))</x:f>
        <x:v/>
      </x:c>
      <x:c r="K270" s="178"/>
      <x:c r="L270" s="46"/>
      <x:c r="M270" s="46"/>
    </x:row>
    <x:row r="271" ht="29" customHeight="1">
      <x:c r="A271" s="199">
        <x:v>267</x:v>
      </x:c>
      <x:c r="B271" s="162"/>
      <x:c r="C271" s="163"/>
      <x:c r="D271" s="163"/>
      <x:c r="E271" s="164"/>
      <x:c r="F271" s="163"/>
      <x:c r="G271" s="185">
        <x:f t="shared" si="8"/>
        <x:v>0</x:v>
      </x:c>
      <x:c r="H271" s="185">
        <x:f t="shared" si="9"/>
        <x:v>0</x:v>
      </x:c>
      <x:c r="I271" s="186">
        <x:f>IF(AND(B271="",C271="",D271="",E271="",F271=""),"",IF(OR(B271="",C271="",E271=""),"БЛОК: нужны дата, тип операции и сумма",IF(N(E271)&lt;=0,"БЛОК: сумма должна быть больше нуля",IF(AND(H271&lt;&gt;0,F271=""),"БЛОК: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отделить",IF(AND(G271&lt;&gt;0,F271=""),"БЛОК: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нельзя",IF(AND(F271&lt;&gt;"",COUNTIF('Долг по актам'!$B$5:$B$34,F271)=0),"БЛОК: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договору")&gt;0)*($C$5:$C$504&lt;&gt;C271)*($E$5:$E$504=E271)*(($D$5:$D$504=D271)*(D271&lt;&gt;"")+($B$5:$B$504=B271)*(B271&lt;&gt;"")&gt;0))&gt;0,"БЛОК: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операцию",IF(AND(C271="Оплата",K271&lt;&gt;"Отдельный платёж — не сам аванс (сверено с выпиской банка)",OR(COUNTIFS($C$5:$C$504,"Зачёт аванса по договору",$E$5:$E$504,E271)&gt;0,ROUND(E271-$M$6,2)=0)),"БЛОК: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1" s="185" t="str">
        <x:f>IF(AND(B271="",C271="",E271=""),"",SUM($G$5:G271))</x:f>
        <x:v/>
      </x:c>
      <x:c r="K271" s="178"/>
      <x:c r="L271" s="46"/>
      <x:c r="M271" s="46"/>
    </x:row>
    <x:row r="272" ht="29" customHeight="1">
      <x:c r="A272" s="199">
        <x:v>268</x:v>
      </x:c>
      <x:c r="B272" s="162"/>
      <x:c r="C272" s="163"/>
      <x:c r="D272" s="163"/>
      <x:c r="E272" s="164"/>
      <x:c r="F272" s="163"/>
      <x:c r="G272" s="185">
        <x:f t="shared" si="8"/>
        <x:v>0</x:v>
      </x:c>
      <x:c r="H272" s="185">
        <x:f t="shared" si="9"/>
        <x:v>0</x:v>
      </x:c>
      <x:c r="I272" s="186">
        <x:f>IF(AND(B272="",C272="",D272="",E272="",F272=""),"",IF(OR(B272="",C272="",E272=""),"БЛОК: нужны дата, тип операции и сумма",IF(N(E272)&lt;=0,"БЛОК: сумма должна быть больше нуля",IF(AND(H272&lt;&gt;0,F272=""),"БЛОК: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отделить",IF(AND(G272&lt;&gt;0,F272=""),"БЛОК: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нельзя",IF(AND(F272&lt;&gt;"",COUNTIF('Долг по актам'!$B$5:$B$34,F272)=0),"БЛОК: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договору")&gt;0)*($C$5:$C$504&lt;&gt;C272)*($E$5:$E$504=E272)*(($D$5:$D$504=D272)*(D272&lt;&gt;"")+($B$5:$B$504=B272)*(B272&lt;&gt;"")&gt;0))&gt;0,"БЛОК: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операцию",IF(AND(C272="Оплата",K272&lt;&gt;"Отдельный платёж — не сам аванс (сверено с выпиской банка)",OR(COUNTIFS($C$5:$C$504,"Зачёт аванса по договору",$E$5:$E$504,E272)&gt;0,ROUND(E272-$M$6,2)=0)),"БЛОК: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2" s="185" t="str">
        <x:f>IF(AND(B272="",C272="",E272=""),"",SUM($G$5:G272))</x:f>
        <x:v/>
      </x:c>
      <x:c r="K272" s="178"/>
      <x:c r="L272" s="46"/>
      <x:c r="M272" s="46"/>
    </x:row>
    <x:row r="273" ht="29" customHeight="1">
      <x:c r="A273" s="199">
        <x:v>269</x:v>
      </x:c>
      <x:c r="B273" s="162"/>
      <x:c r="C273" s="163"/>
      <x:c r="D273" s="163"/>
      <x:c r="E273" s="164"/>
      <x:c r="F273" s="163"/>
      <x:c r="G273" s="185">
        <x:f t="shared" si="8"/>
        <x:v>0</x:v>
      </x:c>
      <x:c r="H273" s="185">
        <x:f t="shared" si="9"/>
        <x:v>0</x:v>
      </x:c>
      <x:c r="I273" s="186">
        <x:f>IF(AND(B273="",C273="",D273="",E273="",F273=""),"",IF(OR(B273="",C273="",E273=""),"БЛОК: нужны дата, тип операции и сумма",IF(N(E273)&lt;=0,"БЛОК: сумма должна быть больше нуля",IF(AND(H273&lt;&gt;0,F273=""),"БЛОК: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отделить",IF(AND(G273&lt;&gt;0,F273=""),"БЛОК: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нельзя",IF(AND(F273&lt;&gt;"",COUNTIF('Долг по актам'!$B$5:$B$34,F273)=0),"БЛОК: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договору")&gt;0)*($C$5:$C$504&lt;&gt;C273)*($E$5:$E$504=E273)*(($D$5:$D$504=D273)*(D273&lt;&gt;"")+($B$5:$B$504=B273)*(B273&lt;&gt;"")&gt;0))&gt;0,"БЛОК: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операцию",IF(AND(C273="Оплата",K273&lt;&gt;"Отдельный платёж — не сам аванс (сверено с выпиской банка)",OR(COUNTIFS($C$5:$C$504,"Зачёт аванса по договору",$E$5:$E$504,E273)&gt;0,ROUND(E273-$M$6,2)=0)),"БЛОК: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3" s="185" t="str">
        <x:f>IF(AND(B273="",C273="",E273=""),"",SUM($G$5:G273))</x:f>
        <x:v/>
      </x:c>
      <x:c r="K273" s="178"/>
      <x:c r="L273" s="46"/>
      <x:c r="M273" s="46"/>
    </x:row>
    <x:row r="274" ht="29" customHeight="1">
      <x:c r="A274" s="199">
        <x:v>270</x:v>
      </x:c>
      <x:c r="B274" s="162"/>
      <x:c r="C274" s="163"/>
      <x:c r="D274" s="163"/>
      <x:c r="E274" s="164"/>
      <x:c r="F274" s="163"/>
      <x:c r="G274" s="185">
        <x:f t="shared" si="8"/>
        <x:v>0</x:v>
      </x:c>
      <x:c r="H274" s="185">
        <x:f t="shared" si="9"/>
        <x:v>0</x:v>
      </x:c>
      <x:c r="I274" s="186">
        <x:f>IF(AND(B274="",C274="",D274="",E274="",F274=""),"",IF(OR(B274="",C274="",E274=""),"БЛОК: нужны дата, тип операции и сумма",IF(N(E274)&lt;=0,"БЛОК: сумма должна быть больше нуля",IF(AND(H274&lt;&gt;0,F274=""),"БЛОК: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отделить",IF(AND(G274&lt;&gt;0,F274=""),"БЛОК: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нельзя",IF(AND(F274&lt;&gt;"",COUNTIF('Долг по актам'!$B$5:$B$34,F274)=0),"БЛОК: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договору")&gt;0)*($C$5:$C$504&lt;&gt;C274)*($E$5:$E$504=E274)*(($D$5:$D$504=D274)*(D274&lt;&gt;"")+($B$5:$B$504=B274)*(B274&lt;&gt;"")&gt;0))&gt;0,"БЛОК: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операцию",IF(AND(C274="Оплата",K274&lt;&gt;"Отдельный платёж — не сам аванс (сверено с выпиской банка)",OR(COUNTIFS($C$5:$C$504,"Зачёт аванса по договору",$E$5:$E$504,E274)&gt;0,ROUND(E274-$M$6,2)=0)),"БЛОК: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4" s="185" t="str">
        <x:f>IF(AND(B274="",C274="",E274=""),"",SUM($G$5:G274))</x:f>
        <x:v/>
      </x:c>
      <x:c r="K274" s="178"/>
      <x:c r="L274" s="46"/>
      <x:c r="M274" s="46"/>
    </x:row>
    <x:row r="275" ht="29" customHeight="1">
      <x:c r="A275" s="199">
        <x:v>271</x:v>
      </x:c>
      <x:c r="B275" s="162"/>
      <x:c r="C275" s="163"/>
      <x:c r="D275" s="163"/>
      <x:c r="E275" s="164"/>
      <x:c r="F275" s="163"/>
      <x:c r="G275" s="185">
        <x:f t="shared" si="8"/>
        <x:v>0</x:v>
      </x:c>
      <x:c r="H275" s="185">
        <x:f t="shared" si="9"/>
        <x:v>0</x:v>
      </x:c>
      <x:c r="I275" s="186">
        <x:f>IF(AND(B275="",C275="",D275="",E275="",F275=""),"",IF(OR(B275="",C275="",E275=""),"БЛОК: нужны дата, тип операции и сумма",IF(N(E275)&lt;=0,"БЛОК: сумма должна быть больше нуля",IF(AND(H275&lt;&gt;0,F275=""),"БЛОК: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отделить",IF(AND(G275&lt;&gt;0,F275=""),"БЛОК: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нельзя",IF(AND(F275&lt;&gt;"",COUNTIF('Долг по актам'!$B$5:$B$34,F275)=0),"БЛОК: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договору")&gt;0)*($C$5:$C$504&lt;&gt;C275)*($E$5:$E$504=E275)*(($D$5:$D$504=D275)*(D275&lt;&gt;"")+($B$5:$B$504=B275)*(B275&lt;&gt;"")&gt;0))&gt;0,"БЛОК: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операцию",IF(AND(C275="Оплата",K275&lt;&gt;"Отдельный платёж — не сам аванс (сверено с выпиской банка)",OR(COUNTIFS($C$5:$C$504,"Зачёт аванса по договору",$E$5:$E$504,E275)&gt;0,ROUND(E275-$M$6,2)=0)),"БЛОК: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5" s="185" t="str">
        <x:f>IF(AND(B275="",C275="",E275=""),"",SUM($G$5:G275))</x:f>
        <x:v/>
      </x:c>
      <x:c r="K275" s="178"/>
      <x:c r="L275" s="46"/>
      <x:c r="M275" s="46"/>
    </x:row>
    <x:row r="276" ht="29" customHeight="1">
      <x:c r="A276" s="199">
        <x:v>272</x:v>
      </x:c>
      <x:c r="B276" s="162"/>
      <x:c r="C276" s="163"/>
      <x:c r="D276" s="163"/>
      <x:c r="E276" s="164"/>
      <x:c r="F276" s="163"/>
      <x:c r="G276" s="185">
        <x:f t="shared" si="8"/>
        <x:v>0</x:v>
      </x:c>
      <x:c r="H276" s="185">
        <x:f t="shared" si="9"/>
        <x:v>0</x:v>
      </x:c>
      <x:c r="I276" s="186">
        <x:f>IF(AND(B276="",C276="",D276="",E276="",F276=""),"",IF(OR(B276="",C276="",E276=""),"БЛОК: нужны дата, тип операции и сумма",IF(N(E276)&lt;=0,"БЛОК: сумма должна быть больше нуля",IF(AND(H276&lt;&gt;0,F276=""),"БЛОК: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отделить",IF(AND(G276&lt;&gt;0,F276=""),"БЛОК: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нельзя",IF(AND(F276&lt;&gt;"",COUNTIF('Долг по актам'!$B$5:$B$34,F276)=0),"БЛОК: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договору")&gt;0)*($C$5:$C$504&lt;&gt;C276)*($E$5:$E$504=E276)*(($D$5:$D$504=D276)*(D276&lt;&gt;"")+($B$5:$B$504=B276)*(B276&lt;&gt;"")&gt;0))&gt;0,"БЛОК: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операцию",IF(AND(C276="Оплата",K276&lt;&gt;"Отдельный платёж — не сам аванс (сверено с выпиской банка)",OR(COUNTIFS($C$5:$C$504,"Зачёт аванса по договору",$E$5:$E$504,E276)&gt;0,ROUND(E276-$M$6,2)=0)),"БЛОК: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6" s="185" t="str">
        <x:f>IF(AND(B276="",C276="",E276=""),"",SUM($G$5:G276))</x:f>
        <x:v/>
      </x:c>
      <x:c r="K276" s="178"/>
      <x:c r="L276" s="46"/>
      <x:c r="M276" s="46"/>
    </x:row>
    <x:row r="277" ht="29" customHeight="1">
      <x:c r="A277" s="199">
        <x:v>273</x:v>
      </x:c>
      <x:c r="B277" s="162"/>
      <x:c r="C277" s="163"/>
      <x:c r="D277" s="163"/>
      <x:c r="E277" s="164"/>
      <x:c r="F277" s="163"/>
      <x:c r="G277" s="185">
        <x:f t="shared" si="8"/>
        <x:v>0</x:v>
      </x:c>
      <x:c r="H277" s="185">
        <x:f t="shared" si="9"/>
        <x:v>0</x:v>
      </x:c>
      <x:c r="I277" s="186">
        <x:f>IF(AND(B277="",C277="",D277="",E277="",F277=""),"",IF(OR(B277="",C277="",E277=""),"БЛОК: нужны дата, тип операции и сумма",IF(N(E277)&lt;=0,"БЛОК: сумма должна быть больше нуля",IF(AND(H277&lt;&gt;0,F277=""),"БЛОК: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отделить",IF(AND(G277&lt;&gt;0,F277=""),"БЛОК: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нельзя",IF(AND(F277&lt;&gt;"",COUNTIF('Долг по актам'!$B$5:$B$34,F277)=0),"БЛОК: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договору")&gt;0)*($C$5:$C$504&lt;&gt;C277)*($E$5:$E$504=E277)*(($D$5:$D$504=D277)*(D277&lt;&gt;"")+($B$5:$B$504=B277)*(B277&lt;&gt;"")&gt;0))&gt;0,"БЛОК: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операцию",IF(AND(C277="Оплата",K277&lt;&gt;"Отдельный платёж — не сам аванс (сверено с выпиской банка)",OR(COUNTIFS($C$5:$C$504,"Зачёт аванса по договору",$E$5:$E$504,E277)&gt;0,ROUND(E277-$M$6,2)=0)),"БЛОК: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7" s="185" t="str">
        <x:f>IF(AND(B277="",C277="",E277=""),"",SUM($G$5:G277))</x:f>
        <x:v/>
      </x:c>
      <x:c r="K277" s="178"/>
      <x:c r="L277" s="46"/>
      <x:c r="M277" s="46"/>
    </x:row>
    <x:row r="278" ht="29" customHeight="1">
      <x:c r="A278" s="199">
        <x:v>274</x:v>
      </x:c>
      <x:c r="B278" s="162"/>
      <x:c r="C278" s="163"/>
      <x:c r="D278" s="163"/>
      <x:c r="E278" s="164"/>
      <x:c r="F278" s="163"/>
      <x:c r="G278" s="185">
        <x:f t="shared" si="8"/>
        <x:v>0</x:v>
      </x:c>
      <x:c r="H278" s="185">
        <x:f t="shared" si="9"/>
        <x:v>0</x:v>
      </x:c>
      <x:c r="I278" s="186">
        <x:f>IF(AND(B278="",C278="",D278="",E278="",F278=""),"",IF(OR(B278="",C278="",E278=""),"БЛОК: нужны дата, тип операции и сумма",IF(N(E278)&lt;=0,"БЛОК: сумма должна быть больше нуля",IF(AND(H278&lt;&gt;0,F278=""),"БЛОК: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отделить",IF(AND(G278&lt;&gt;0,F278=""),"БЛОК: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нельзя",IF(AND(F278&lt;&gt;"",COUNTIF('Долг по актам'!$B$5:$B$34,F278)=0),"БЛОК: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договору")&gt;0)*($C$5:$C$504&lt;&gt;C278)*($E$5:$E$504=E278)*(($D$5:$D$504=D278)*(D278&lt;&gt;"")+($B$5:$B$504=B278)*(B278&lt;&gt;"")&gt;0))&gt;0,"БЛОК: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операцию",IF(AND(C278="Оплата",K278&lt;&gt;"Отдельный платёж — не сам аванс (сверено с выпиской банка)",OR(COUNTIFS($C$5:$C$504,"Зачёт аванса по договору",$E$5:$E$504,E278)&gt;0,ROUND(E278-$M$6,2)=0)),"БЛОК: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8" s="185" t="str">
        <x:f>IF(AND(B278="",C278="",E278=""),"",SUM($G$5:G278))</x:f>
        <x:v/>
      </x:c>
      <x:c r="K278" s="178"/>
      <x:c r="L278" s="46"/>
      <x:c r="M278" s="46"/>
    </x:row>
    <x:row r="279" ht="29" customHeight="1">
      <x:c r="A279" s="199">
        <x:v>275</x:v>
      </x:c>
      <x:c r="B279" s="162"/>
      <x:c r="C279" s="163"/>
      <x:c r="D279" s="163"/>
      <x:c r="E279" s="164"/>
      <x:c r="F279" s="163"/>
      <x:c r="G279" s="185">
        <x:f t="shared" si="8"/>
        <x:v>0</x:v>
      </x:c>
      <x:c r="H279" s="185">
        <x:f t="shared" si="9"/>
        <x:v>0</x:v>
      </x:c>
      <x:c r="I279" s="186">
        <x:f>IF(AND(B279="",C279="",D279="",E279="",F279=""),"",IF(OR(B279="",C279="",E279=""),"БЛОК: нужны дата, тип операции и сумма",IF(N(E279)&lt;=0,"БЛОК: сумма должна быть больше нуля",IF(AND(H279&lt;&gt;0,F279=""),"БЛОК: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отделить",IF(AND(G279&lt;&gt;0,F279=""),"БЛОК: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нельзя",IF(AND(F279&lt;&gt;"",COUNTIF('Долг по актам'!$B$5:$B$34,F279)=0),"БЛОК: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договору")&gt;0)*($C$5:$C$504&lt;&gt;C279)*($E$5:$E$504=E279)*(($D$5:$D$504=D279)*(D279&lt;&gt;"")+($B$5:$B$504=B279)*(B279&lt;&gt;"")&gt;0))&gt;0,"БЛОК: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операцию",IF(AND(C279="Оплата",K279&lt;&gt;"Отдельный платёж — не сам аванс (сверено с выпиской банка)",OR(COUNTIFS($C$5:$C$504,"Зачёт аванса по договору",$E$5:$E$504,E279)&gt;0,ROUND(E279-$M$6,2)=0)),"БЛОК: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79" s="185" t="str">
        <x:f>IF(AND(B279="",C279="",E279=""),"",SUM($G$5:G279))</x:f>
        <x:v/>
      </x:c>
      <x:c r="K279" s="178"/>
      <x:c r="L279" s="46"/>
      <x:c r="M279" s="46"/>
    </x:row>
    <x:row r="280" ht="29" customHeight="1">
      <x:c r="A280" s="199">
        <x:v>276</x:v>
      </x:c>
      <x:c r="B280" s="162"/>
      <x:c r="C280" s="163"/>
      <x:c r="D280" s="163"/>
      <x:c r="E280" s="164"/>
      <x:c r="F280" s="163"/>
      <x:c r="G280" s="185">
        <x:f t="shared" si="8"/>
        <x:v>0</x:v>
      </x:c>
      <x:c r="H280" s="185">
        <x:f t="shared" si="9"/>
        <x:v>0</x:v>
      </x:c>
      <x:c r="I280" s="186">
        <x:f>IF(AND(B280="",C280="",D280="",E280="",F280=""),"",IF(OR(B280="",C280="",E280=""),"БЛОК: нужны дата, тип операции и сумма",IF(N(E280)&lt;=0,"БЛОК: сумма должна быть больше нуля",IF(AND(H280&lt;&gt;0,F280=""),"БЛОК: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отделить",IF(AND(G280&lt;&gt;0,F280=""),"БЛОК: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нельзя",IF(AND(F280&lt;&gt;"",COUNTIF('Долг по актам'!$B$5:$B$34,F280)=0),"БЛОК: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договору")&gt;0)*($C$5:$C$504&lt;&gt;C280)*($E$5:$E$504=E280)*(($D$5:$D$504=D280)*(D280&lt;&gt;"")+($B$5:$B$504=B280)*(B280&lt;&gt;"")&gt;0))&gt;0,"БЛОК: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операцию",IF(AND(C280="Оплата",K280&lt;&gt;"Отдельный платёж — не сам аванс (сверено с выпиской банка)",OR(COUNTIFS($C$5:$C$504,"Зачёт аванса по договору",$E$5:$E$504,E280)&gt;0,ROUND(E280-$M$6,2)=0)),"БЛОК: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0" s="185" t="str">
        <x:f>IF(AND(B280="",C280="",E280=""),"",SUM($G$5:G280))</x:f>
        <x:v/>
      </x:c>
      <x:c r="K280" s="178"/>
      <x:c r="L280" s="46"/>
      <x:c r="M280" s="46"/>
    </x:row>
    <x:row r="281" ht="29" customHeight="1">
      <x:c r="A281" s="199">
        <x:v>277</x:v>
      </x:c>
      <x:c r="B281" s="162"/>
      <x:c r="C281" s="163"/>
      <x:c r="D281" s="163"/>
      <x:c r="E281" s="164"/>
      <x:c r="F281" s="163"/>
      <x:c r="G281" s="185">
        <x:f t="shared" si="8"/>
        <x:v>0</x:v>
      </x:c>
      <x:c r="H281" s="185">
        <x:f t="shared" si="9"/>
        <x:v>0</x:v>
      </x:c>
      <x:c r="I281" s="186">
        <x:f>IF(AND(B281="",C281="",D281="",E281="",F281=""),"",IF(OR(B281="",C281="",E281=""),"БЛОК: нужны дата, тип операции и сумма",IF(N(E281)&lt;=0,"БЛОК: сумма должна быть больше нуля",IF(AND(H281&lt;&gt;0,F281=""),"БЛОК: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отделить",IF(AND(G281&lt;&gt;0,F281=""),"БЛОК: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нельзя",IF(AND(F281&lt;&gt;"",COUNTIF('Долг по актам'!$B$5:$B$34,F281)=0),"БЛОК: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договору")&gt;0)*($C$5:$C$504&lt;&gt;C281)*($E$5:$E$504=E281)*(($D$5:$D$504=D281)*(D281&lt;&gt;"")+($B$5:$B$504=B281)*(B281&lt;&gt;"")&gt;0))&gt;0,"БЛОК: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операцию",IF(AND(C281="Оплата",K281&lt;&gt;"Отдельный платёж — не сам аванс (сверено с выпиской банка)",OR(COUNTIFS($C$5:$C$504,"Зачёт аванса по договору",$E$5:$E$504,E281)&gt;0,ROUND(E281-$M$6,2)=0)),"БЛОК: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1" s="185" t="str">
        <x:f>IF(AND(B281="",C281="",E281=""),"",SUM($G$5:G281))</x:f>
        <x:v/>
      </x:c>
      <x:c r="K281" s="178"/>
      <x:c r="L281" s="46"/>
      <x:c r="M281" s="46"/>
    </x:row>
    <x:row r="282" ht="29" customHeight="1">
      <x:c r="A282" s="199">
        <x:v>278</x:v>
      </x:c>
      <x:c r="B282" s="162"/>
      <x:c r="C282" s="163"/>
      <x:c r="D282" s="163"/>
      <x:c r="E282" s="164"/>
      <x:c r="F282" s="163"/>
      <x:c r="G282" s="185">
        <x:f t="shared" si="8"/>
        <x:v>0</x:v>
      </x:c>
      <x:c r="H282" s="185">
        <x:f t="shared" si="9"/>
        <x:v>0</x:v>
      </x:c>
      <x:c r="I282" s="186">
        <x:f>IF(AND(B282="",C282="",D282="",E282="",F282=""),"",IF(OR(B282="",C282="",E282=""),"БЛОК: нужны дата, тип операции и сумма",IF(N(E282)&lt;=0,"БЛОК: сумма должна быть больше нуля",IF(AND(H282&lt;&gt;0,F282=""),"БЛОК: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отделить",IF(AND(G282&lt;&gt;0,F282=""),"БЛОК: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нельзя",IF(AND(F282&lt;&gt;"",COUNTIF('Долг по актам'!$B$5:$B$34,F282)=0),"БЛОК: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договору")&gt;0)*($C$5:$C$504&lt;&gt;C282)*($E$5:$E$504=E282)*(($D$5:$D$504=D282)*(D282&lt;&gt;"")+($B$5:$B$504=B282)*(B282&lt;&gt;"")&gt;0))&gt;0,"БЛОК: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операцию",IF(AND(C282="Оплата",K282&lt;&gt;"Отдельный платёж — не сам аванс (сверено с выпиской банка)",OR(COUNTIFS($C$5:$C$504,"Зачёт аванса по договору",$E$5:$E$504,E282)&gt;0,ROUND(E282-$M$6,2)=0)),"БЛОК: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2" s="185" t="str">
        <x:f>IF(AND(B282="",C282="",E282=""),"",SUM($G$5:G282))</x:f>
        <x:v/>
      </x:c>
      <x:c r="K282" s="178"/>
      <x:c r="L282" s="46"/>
      <x:c r="M282" s="46"/>
    </x:row>
    <x:row r="283" ht="29" customHeight="1">
      <x:c r="A283" s="199">
        <x:v>279</x:v>
      </x:c>
      <x:c r="B283" s="162"/>
      <x:c r="C283" s="163"/>
      <x:c r="D283" s="163"/>
      <x:c r="E283" s="164"/>
      <x:c r="F283" s="163"/>
      <x:c r="G283" s="185">
        <x:f t="shared" si="8"/>
        <x:v>0</x:v>
      </x:c>
      <x:c r="H283" s="185">
        <x:f t="shared" si="9"/>
        <x:v>0</x:v>
      </x:c>
      <x:c r="I283" s="186">
        <x:f>IF(AND(B283="",C283="",D283="",E283="",F283=""),"",IF(OR(B283="",C283="",E283=""),"БЛОК: нужны дата, тип операции и сумма",IF(N(E283)&lt;=0,"БЛОК: сумма должна быть больше нуля",IF(AND(H283&lt;&gt;0,F283=""),"БЛОК: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отделить",IF(AND(G283&lt;&gt;0,F283=""),"БЛОК: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нельзя",IF(AND(F283&lt;&gt;"",COUNTIF('Долг по актам'!$B$5:$B$34,F283)=0),"БЛОК: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договору")&gt;0)*($C$5:$C$504&lt;&gt;C283)*($E$5:$E$504=E283)*(($D$5:$D$504=D283)*(D283&lt;&gt;"")+($B$5:$B$504=B283)*(B283&lt;&gt;"")&gt;0))&gt;0,"БЛОК: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операцию",IF(AND(C283="Оплата",K283&lt;&gt;"Отдельный платёж — не сам аванс (сверено с выпиской банка)",OR(COUNTIFS($C$5:$C$504,"Зачёт аванса по договору",$E$5:$E$504,E283)&gt;0,ROUND(E283-$M$6,2)=0)),"БЛОК: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3" s="185" t="str">
        <x:f>IF(AND(B283="",C283="",E283=""),"",SUM($G$5:G283))</x:f>
        <x:v/>
      </x:c>
      <x:c r="K283" s="178"/>
      <x:c r="L283" s="46"/>
      <x:c r="M283" s="46"/>
    </x:row>
    <x:row r="284" ht="29" customHeight="1">
      <x:c r="A284" s="199">
        <x:v>280</x:v>
      </x:c>
      <x:c r="B284" s="162"/>
      <x:c r="C284" s="163"/>
      <x:c r="D284" s="163"/>
      <x:c r="E284" s="164"/>
      <x:c r="F284" s="163"/>
      <x:c r="G284" s="185">
        <x:f t="shared" si="8"/>
        <x:v>0</x:v>
      </x:c>
      <x:c r="H284" s="185">
        <x:f t="shared" si="9"/>
        <x:v>0</x:v>
      </x:c>
      <x:c r="I284" s="186">
        <x:f>IF(AND(B284="",C284="",D284="",E284="",F284=""),"",IF(OR(B284="",C284="",E284=""),"БЛОК: нужны дата, тип операции и сумма",IF(N(E284)&lt;=0,"БЛОК: сумма должна быть больше нуля",IF(AND(H284&lt;&gt;0,F284=""),"БЛОК: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отделить",IF(AND(G284&lt;&gt;0,F284=""),"БЛОК: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нельзя",IF(AND(F284&lt;&gt;"",COUNTIF('Долг по актам'!$B$5:$B$34,F284)=0),"БЛОК: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договору")&gt;0)*($C$5:$C$504&lt;&gt;C284)*($E$5:$E$504=E284)*(($D$5:$D$504=D284)*(D284&lt;&gt;"")+($B$5:$B$504=B284)*(B284&lt;&gt;"")&gt;0))&gt;0,"БЛОК: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операцию",IF(AND(C284="Оплата",K284&lt;&gt;"Отдельный платёж — не сам аванс (сверено с выпиской банка)",OR(COUNTIFS($C$5:$C$504,"Зачёт аванса по договору",$E$5:$E$504,E284)&gt;0,ROUND(E284-$M$6,2)=0)),"БЛОК: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4" s="185" t="str">
        <x:f>IF(AND(B284="",C284="",E284=""),"",SUM($G$5:G284))</x:f>
        <x:v/>
      </x:c>
      <x:c r="K284" s="178"/>
      <x:c r="L284" s="46"/>
      <x:c r="M284" s="46"/>
    </x:row>
    <x:row r="285" ht="29" customHeight="1">
      <x:c r="A285" s="199">
        <x:v>281</x:v>
      </x:c>
      <x:c r="B285" s="162"/>
      <x:c r="C285" s="163"/>
      <x:c r="D285" s="163"/>
      <x:c r="E285" s="164"/>
      <x:c r="F285" s="163"/>
      <x:c r="G285" s="185">
        <x:f t="shared" si="8"/>
        <x:v>0</x:v>
      </x:c>
      <x:c r="H285" s="185">
        <x:f t="shared" si="9"/>
        <x:v>0</x:v>
      </x:c>
      <x:c r="I285" s="186">
        <x:f>IF(AND(B285="",C285="",D285="",E285="",F285=""),"",IF(OR(B285="",C285="",E285=""),"БЛОК: нужны дата, тип операции и сумма",IF(N(E285)&lt;=0,"БЛОК: сумма должна быть больше нуля",IF(AND(H285&lt;&gt;0,F285=""),"БЛОК: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отделить",IF(AND(G285&lt;&gt;0,F285=""),"БЛОК: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нельзя",IF(AND(F285&lt;&gt;"",COUNTIF('Долг по актам'!$B$5:$B$34,F285)=0),"БЛОК: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договору")&gt;0)*($C$5:$C$504&lt;&gt;C285)*($E$5:$E$504=E285)*(($D$5:$D$504=D285)*(D285&lt;&gt;"")+($B$5:$B$504=B285)*(B285&lt;&gt;"")&gt;0))&gt;0,"БЛОК: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операцию",IF(AND(C285="Оплата",K285&lt;&gt;"Отдельный платёж — не сам аванс (сверено с выпиской банка)",OR(COUNTIFS($C$5:$C$504,"Зачёт аванса по договору",$E$5:$E$504,E285)&gt;0,ROUND(E285-$M$6,2)=0)),"БЛОК: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5" s="185" t="str">
        <x:f>IF(AND(B285="",C285="",E285=""),"",SUM($G$5:G285))</x:f>
        <x:v/>
      </x:c>
      <x:c r="K285" s="178"/>
      <x:c r="L285" s="46"/>
      <x:c r="M285" s="46"/>
    </x:row>
    <x:row r="286" ht="29" customHeight="1">
      <x:c r="A286" s="199">
        <x:v>282</x:v>
      </x:c>
      <x:c r="B286" s="162"/>
      <x:c r="C286" s="163"/>
      <x:c r="D286" s="163"/>
      <x:c r="E286" s="164"/>
      <x:c r="F286" s="163"/>
      <x:c r="G286" s="185">
        <x:f t="shared" si="8"/>
        <x:v>0</x:v>
      </x:c>
      <x:c r="H286" s="185">
        <x:f t="shared" si="9"/>
        <x:v>0</x:v>
      </x:c>
      <x:c r="I286" s="186">
        <x:f>IF(AND(B286="",C286="",D286="",E286="",F286=""),"",IF(OR(B286="",C286="",E286=""),"БЛОК: нужны дата, тип операции и сумма",IF(N(E286)&lt;=0,"БЛОК: сумма должна быть больше нуля",IF(AND(H286&lt;&gt;0,F286=""),"БЛОК: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отделить",IF(AND(G286&lt;&gt;0,F286=""),"БЛОК: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нельзя",IF(AND(F286&lt;&gt;"",COUNTIF('Долг по актам'!$B$5:$B$34,F286)=0),"БЛОК: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договору")&gt;0)*($C$5:$C$504&lt;&gt;C286)*($E$5:$E$504=E286)*(($D$5:$D$504=D286)*(D286&lt;&gt;"")+($B$5:$B$504=B286)*(B286&lt;&gt;"")&gt;0))&gt;0,"БЛОК: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операцию",IF(AND(C286="Оплата",K286&lt;&gt;"Отдельный платёж — не сам аванс (сверено с выпиской банка)",OR(COUNTIFS($C$5:$C$504,"Зачёт аванса по договору",$E$5:$E$504,E286)&gt;0,ROUND(E286-$M$6,2)=0)),"БЛОК: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6" s="185" t="str">
        <x:f>IF(AND(B286="",C286="",E286=""),"",SUM($G$5:G286))</x:f>
        <x:v/>
      </x:c>
      <x:c r="K286" s="178"/>
      <x:c r="L286" s="46"/>
      <x:c r="M286" s="46"/>
    </x:row>
    <x:row r="287" ht="29" customHeight="1">
      <x:c r="A287" s="199">
        <x:v>283</x:v>
      </x:c>
      <x:c r="B287" s="162"/>
      <x:c r="C287" s="163"/>
      <x:c r="D287" s="163"/>
      <x:c r="E287" s="164"/>
      <x:c r="F287" s="163"/>
      <x:c r="G287" s="185">
        <x:f t="shared" si="8"/>
        <x:v>0</x:v>
      </x:c>
      <x:c r="H287" s="185">
        <x:f t="shared" si="9"/>
        <x:v>0</x:v>
      </x:c>
      <x:c r="I287" s="186">
        <x:f>IF(AND(B287="",C287="",D287="",E287="",F287=""),"",IF(OR(B287="",C287="",E287=""),"БЛОК: нужны дата, тип операции и сумма",IF(N(E287)&lt;=0,"БЛОК: сумма должна быть больше нуля",IF(AND(H287&lt;&gt;0,F287=""),"БЛОК: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отделить",IF(AND(G287&lt;&gt;0,F287=""),"БЛОК: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нельзя",IF(AND(F287&lt;&gt;"",COUNTIF('Долг по актам'!$B$5:$B$34,F287)=0),"БЛОК: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договору")&gt;0)*($C$5:$C$504&lt;&gt;C287)*($E$5:$E$504=E287)*(($D$5:$D$504=D287)*(D287&lt;&gt;"")+($B$5:$B$504=B287)*(B287&lt;&gt;"")&gt;0))&gt;0,"БЛОК: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операцию",IF(AND(C287="Оплата",K287&lt;&gt;"Отдельный платёж — не сам аванс (сверено с выпиской банка)",OR(COUNTIFS($C$5:$C$504,"Зачёт аванса по договору",$E$5:$E$504,E287)&gt;0,ROUND(E287-$M$6,2)=0)),"БЛОК: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7" s="185" t="str">
        <x:f>IF(AND(B287="",C287="",E287=""),"",SUM($G$5:G287))</x:f>
        <x:v/>
      </x:c>
      <x:c r="K287" s="178"/>
      <x:c r="L287" s="46"/>
      <x:c r="M287" s="46"/>
    </x:row>
    <x:row r="288" ht="29" customHeight="1">
      <x:c r="A288" s="199">
        <x:v>284</x:v>
      </x:c>
      <x:c r="B288" s="162"/>
      <x:c r="C288" s="163"/>
      <x:c r="D288" s="163"/>
      <x:c r="E288" s="164"/>
      <x:c r="F288" s="163"/>
      <x:c r="G288" s="185">
        <x:f t="shared" si="8"/>
        <x:v>0</x:v>
      </x:c>
      <x:c r="H288" s="185">
        <x:f t="shared" si="9"/>
        <x:v>0</x:v>
      </x:c>
      <x:c r="I288" s="186">
        <x:f>IF(AND(B288="",C288="",D288="",E288="",F288=""),"",IF(OR(B288="",C288="",E288=""),"БЛОК: нужны дата, тип операции и сумма",IF(N(E288)&lt;=0,"БЛОК: сумма должна быть больше нуля",IF(AND(H288&lt;&gt;0,F288=""),"БЛОК: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отделить",IF(AND(G288&lt;&gt;0,F288=""),"БЛОК: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нельзя",IF(AND(F288&lt;&gt;"",COUNTIF('Долг по актам'!$B$5:$B$34,F288)=0),"БЛОК: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договору")&gt;0)*($C$5:$C$504&lt;&gt;C288)*($E$5:$E$504=E288)*(($D$5:$D$504=D288)*(D288&lt;&gt;"")+($B$5:$B$504=B288)*(B288&lt;&gt;"")&gt;0))&gt;0,"БЛОК: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операцию",IF(AND(C288="Оплата",K288&lt;&gt;"Отдельный платёж — не сам аванс (сверено с выпиской банка)",OR(COUNTIFS($C$5:$C$504,"Зачёт аванса по договору",$E$5:$E$504,E288)&gt;0,ROUND(E288-$M$6,2)=0)),"БЛОК: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8" s="185" t="str">
        <x:f>IF(AND(B288="",C288="",E288=""),"",SUM($G$5:G288))</x:f>
        <x:v/>
      </x:c>
      <x:c r="K288" s="178"/>
      <x:c r="L288" s="46"/>
      <x:c r="M288" s="46"/>
    </x:row>
    <x:row r="289" ht="29" customHeight="1">
      <x:c r="A289" s="199">
        <x:v>285</x:v>
      </x:c>
      <x:c r="B289" s="162"/>
      <x:c r="C289" s="163"/>
      <x:c r="D289" s="163"/>
      <x:c r="E289" s="164"/>
      <x:c r="F289" s="163"/>
      <x:c r="G289" s="185">
        <x:f t="shared" si="8"/>
        <x:v>0</x:v>
      </x:c>
      <x:c r="H289" s="185">
        <x:f t="shared" si="9"/>
        <x:v>0</x:v>
      </x:c>
      <x:c r="I289" s="186">
        <x:f>IF(AND(B289="",C289="",D289="",E289="",F289=""),"",IF(OR(B289="",C289="",E289=""),"БЛОК: нужны дата, тип операции и сумма",IF(N(E289)&lt;=0,"БЛОК: сумма должна быть больше нуля",IF(AND(H289&lt;&gt;0,F289=""),"БЛОК: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отделить",IF(AND(G289&lt;&gt;0,F289=""),"БЛОК: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нельзя",IF(AND(F289&lt;&gt;"",COUNTIF('Долг по актам'!$B$5:$B$34,F289)=0),"БЛОК: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договору")&gt;0)*($C$5:$C$504&lt;&gt;C289)*($E$5:$E$504=E289)*(($D$5:$D$504=D289)*(D289&lt;&gt;"")+($B$5:$B$504=B289)*(B289&lt;&gt;"")&gt;0))&gt;0,"БЛОК: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операцию",IF(AND(C289="Оплата",K289&lt;&gt;"Отдельный платёж — не сам аванс (сверено с выпиской банка)",OR(COUNTIFS($C$5:$C$504,"Зачёт аванса по договору",$E$5:$E$504,E289)&gt;0,ROUND(E289-$M$6,2)=0)),"БЛОК: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89" s="185" t="str">
        <x:f>IF(AND(B289="",C289="",E289=""),"",SUM($G$5:G289))</x:f>
        <x:v/>
      </x:c>
      <x:c r="K289" s="178"/>
      <x:c r="L289" s="46"/>
      <x:c r="M289" s="46"/>
    </x:row>
    <x:row r="290" ht="29" customHeight="1">
      <x:c r="A290" s="199">
        <x:v>286</x:v>
      </x:c>
      <x:c r="B290" s="162"/>
      <x:c r="C290" s="163"/>
      <x:c r="D290" s="163"/>
      <x:c r="E290" s="164"/>
      <x:c r="F290" s="163"/>
      <x:c r="G290" s="185">
        <x:f t="shared" si="8"/>
        <x:v>0</x:v>
      </x:c>
      <x:c r="H290" s="185">
        <x:f t="shared" si="9"/>
        <x:v>0</x:v>
      </x:c>
      <x:c r="I290" s="186">
        <x:f>IF(AND(B290="",C290="",D290="",E290="",F290=""),"",IF(OR(B290="",C290="",E290=""),"БЛОК: нужны дата, тип операции и сумма",IF(N(E290)&lt;=0,"БЛОК: сумма должна быть больше нуля",IF(AND(H290&lt;&gt;0,F290=""),"БЛОК: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отделить",IF(AND(G290&lt;&gt;0,F290=""),"БЛОК: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нельзя",IF(AND(F290&lt;&gt;"",COUNTIF('Долг по актам'!$B$5:$B$34,F290)=0),"БЛОК: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договору")&gt;0)*($C$5:$C$504&lt;&gt;C290)*($E$5:$E$504=E290)*(($D$5:$D$504=D290)*(D290&lt;&gt;"")+($B$5:$B$504=B290)*(B290&lt;&gt;"")&gt;0))&gt;0,"БЛОК: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операцию",IF(AND(C290="Оплата",K290&lt;&gt;"Отдельный платёж — не сам аванс (сверено с выпиской банка)",OR(COUNTIFS($C$5:$C$504,"Зачёт аванса по договору",$E$5:$E$504,E290)&gt;0,ROUND(E290-$M$6,2)=0)),"БЛОК: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0" s="185" t="str">
        <x:f>IF(AND(B290="",C290="",E290=""),"",SUM($G$5:G290))</x:f>
        <x:v/>
      </x:c>
      <x:c r="K290" s="178"/>
      <x:c r="L290" s="46"/>
      <x:c r="M290" s="46"/>
    </x:row>
    <x:row r="291" ht="29" customHeight="1">
      <x:c r="A291" s="199">
        <x:v>287</x:v>
      </x:c>
      <x:c r="B291" s="162"/>
      <x:c r="C291" s="163"/>
      <x:c r="D291" s="163"/>
      <x:c r="E291" s="164"/>
      <x:c r="F291" s="163"/>
      <x:c r="G291" s="185">
        <x:f t="shared" si="8"/>
        <x:v>0</x:v>
      </x:c>
      <x:c r="H291" s="185">
        <x:f t="shared" si="9"/>
        <x:v>0</x:v>
      </x:c>
      <x:c r="I291" s="186">
        <x:f>IF(AND(B291="",C291="",D291="",E291="",F291=""),"",IF(OR(B291="",C291="",E291=""),"БЛОК: нужны дата, тип операции и сумма",IF(N(E291)&lt;=0,"БЛОК: сумма должна быть больше нуля",IF(AND(H291&lt;&gt;0,F291=""),"БЛОК: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отделить",IF(AND(G291&lt;&gt;0,F291=""),"БЛОК: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нельзя",IF(AND(F291&lt;&gt;"",COUNTIF('Долг по актам'!$B$5:$B$34,F291)=0),"БЛОК: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договору")&gt;0)*($C$5:$C$504&lt;&gt;C291)*($E$5:$E$504=E291)*(($D$5:$D$504=D291)*(D291&lt;&gt;"")+($B$5:$B$504=B291)*(B291&lt;&gt;"")&gt;0))&gt;0,"БЛОК: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операцию",IF(AND(C291="Оплата",K291&lt;&gt;"Отдельный платёж — не сам аванс (сверено с выпиской банка)",OR(COUNTIFS($C$5:$C$504,"Зачёт аванса по договору",$E$5:$E$504,E291)&gt;0,ROUND(E291-$M$6,2)=0)),"БЛОК: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1" s="185" t="str">
        <x:f>IF(AND(B291="",C291="",E291=""),"",SUM($G$5:G291))</x:f>
        <x:v/>
      </x:c>
      <x:c r="K291" s="178"/>
      <x:c r="L291" s="46"/>
      <x:c r="M291" s="46"/>
    </x:row>
    <x:row r="292" ht="29" customHeight="1">
      <x:c r="A292" s="199">
        <x:v>288</x:v>
      </x:c>
      <x:c r="B292" s="162"/>
      <x:c r="C292" s="163"/>
      <x:c r="D292" s="163"/>
      <x:c r="E292" s="164"/>
      <x:c r="F292" s="163"/>
      <x:c r="G292" s="185">
        <x:f t="shared" si="8"/>
        <x:v>0</x:v>
      </x:c>
      <x:c r="H292" s="185">
        <x:f t="shared" si="9"/>
        <x:v>0</x:v>
      </x:c>
      <x:c r="I292" s="186">
        <x:f>IF(AND(B292="",C292="",D292="",E292="",F292=""),"",IF(OR(B292="",C292="",E292=""),"БЛОК: нужны дата, тип операции и сумма",IF(N(E292)&lt;=0,"БЛОК: сумма должна быть больше нуля",IF(AND(H292&lt;&gt;0,F292=""),"БЛОК: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отделить",IF(AND(G292&lt;&gt;0,F292=""),"БЛОК: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нельзя",IF(AND(F292&lt;&gt;"",COUNTIF('Долг по актам'!$B$5:$B$34,F292)=0),"БЛОК: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договору")&gt;0)*($C$5:$C$504&lt;&gt;C292)*($E$5:$E$504=E292)*(($D$5:$D$504=D292)*(D292&lt;&gt;"")+($B$5:$B$504=B292)*(B292&lt;&gt;"")&gt;0))&gt;0,"БЛОК: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операцию",IF(AND(C292="Оплата",K292&lt;&gt;"Отдельный платёж — не сам аванс (сверено с выпиской банка)",OR(COUNTIFS($C$5:$C$504,"Зачёт аванса по договору",$E$5:$E$504,E292)&gt;0,ROUND(E292-$M$6,2)=0)),"БЛОК: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2" s="185" t="str">
        <x:f>IF(AND(B292="",C292="",E292=""),"",SUM($G$5:G292))</x:f>
        <x:v/>
      </x:c>
      <x:c r="K292" s="178"/>
      <x:c r="L292" s="46"/>
      <x:c r="M292" s="46"/>
    </x:row>
    <x:row r="293" ht="29" customHeight="1">
      <x:c r="A293" s="199">
        <x:v>289</x:v>
      </x:c>
      <x:c r="B293" s="162"/>
      <x:c r="C293" s="163"/>
      <x:c r="D293" s="163"/>
      <x:c r="E293" s="164"/>
      <x:c r="F293" s="163"/>
      <x:c r="G293" s="185">
        <x:f t="shared" si="8"/>
        <x:v>0</x:v>
      </x:c>
      <x:c r="H293" s="185">
        <x:f t="shared" si="9"/>
        <x:v>0</x:v>
      </x:c>
      <x:c r="I293" s="186">
        <x:f>IF(AND(B293="",C293="",D293="",E293="",F293=""),"",IF(OR(B293="",C293="",E293=""),"БЛОК: нужны дата, тип операции и сумма",IF(N(E293)&lt;=0,"БЛОК: сумма должна быть больше нуля",IF(AND(H293&lt;&gt;0,F293=""),"БЛОК: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отделить",IF(AND(G293&lt;&gt;0,F293=""),"БЛОК: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нельзя",IF(AND(F293&lt;&gt;"",COUNTIF('Долг по актам'!$B$5:$B$34,F293)=0),"БЛОК: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договору")&gt;0)*($C$5:$C$504&lt;&gt;C293)*($E$5:$E$504=E293)*(($D$5:$D$504=D293)*(D293&lt;&gt;"")+($B$5:$B$504=B293)*(B293&lt;&gt;"")&gt;0))&gt;0,"БЛОК: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операцию",IF(AND(C293="Оплата",K293&lt;&gt;"Отдельный платёж — не сам аванс (сверено с выпиской банка)",OR(COUNTIFS($C$5:$C$504,"Зачёт аванса по договору",$E$5:$E$504,E293)&gt;0,ROUND(E293-$M$6,2)=0)),"БЛОК: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3" s="185" t="str">
        <x:f>IF(AND(B293="",C293="",E293=""),"",SUM($G$5:G293))</x:f>
        <x:v/>
      </x:c>
      <x:c r="K293" s="178"/>
      <x:c r="L293" s="46"/>
      <x:c r="M293" s="46"/>
    </x:row>
    <x:row r="294" ht="29" customHeight="1">
      <x:c r="A294" s="199">
        <x:v>290</x:v>
      </x:c>
      <x:c r="B294" s="162"/>
      <x:c r="C294" s="163"/>
      <x:c r="D294" s="163"/>
      <x:c r="E294" s="164"/>
      <x:c r="F294" s="163"/>
      <x:c r="G294" s="185">
        <x:f t="shared" si="8"/>
        <x:v>0</x:v>
      </x:c>
      <x:c r="H294" s="185">
        <x:f t="shared" si="9"/>
        <x:v>0</x:v>
      </x:c>
      <x:c r="I294" s="186">
        <x:f>IF(AND(B294="",C294="",D294="",E294="",F294=""),"",IF(OR(B294="",C294="",E294=""),"БЛОК: нужны дата, тип операции и сумма",IF(N(E294)&lt;=0,"БЛОК: сумма должна быть больше нуля",IF(AND(H294&lt;&gt;0,F294=""),"БЛОК: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отделить",IF(AND(G294&lt;&gt;0,F294=""),"БЛОК: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нельзя",IF(AND(F294&lt;&gt;"",COUNTIF('Долг по актам'!$B$5:$B$34,F294)=0),"БЛОК: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договору")&gt;0)*($C$5:$C$504&lt;&gt;C294)*($E$5:$E$504=E294)*(($D$5:$D$504=D294)*(D294&lt;&gt;"")+($B$5:$B$504=B294)*(B294&lt;&gt;"")&gt;0))&gt;0,"БЛОК: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операцию",IF(AND(C294="Оплата",K294&lt;&gt;"Отдельный платёж — не сам аванс (сверено с выпиской банка)",OR(COUNTIFS($C$5:$C$504,"Зачёт аванса по договору",$E$5:$E$504,E294)&gt;0,ROUND(E294-$M$6,2)=0)),"БЛОК: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4" s="185" t="str">
        <x:f>IF(AND(B294="",C294="",E294=""),"",SUM($G$5:G294))</x:f>
        <x:v/>
      </x:c>
      <x:c r="K294" s="178"/>
      <x:c r="L294" s="46"/>
      <x:c r="M294" s="46"/>
    </x:row>
    <x:row r="295" ht="29" customHeight="1">
      <x:c r="A295" s="199">
        <x:v>291</x:v>
      </x:c>
      <x:c r="B295" s="162"/>
      <x:c r="C295" s="163"/>
      <x:c r="D295" s="163"/>
      <x:c r="E295" s="164"/>
      <x:c r="F295" s="163"/>
      <x:c r="G295" s="185">
        <x:f t="shared" si="8"/>
        <x:v>0</x:v>
      </x:c>
      <x:c r="H295" s="185">
        <x:f t="shared" si="9"/>
        <x:v>0</x:v>
      </x:c>
      <x:c r="I295" s="186">
        <x:f>IF(AND(B295="",C295="",D295="",E295="",F295=""),"",IF(OR(B295="",C295="",E295=""),"БЛОК: нужны дата, тип операции и сумма",IF(N(E295)&lt;=0,"БЛОК: сумма должна быть больше нуля",IF(AND(H295&lt;&gt;0,F295=""),"БЛОК: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отделить",IF(AND(G295&lt;&gt;0,F295=""),"БЛОК: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нельзя",IF(AND(F295&lt;&gt;"",COUNTIF('Долг по актам'!$B$5:$B$34,F295)=0),"БЛОК: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договору")&gt;0)*($C$5:$C$504&lt;&gt;C295)*($E$5:$E$504=E295)*(($D$5:$D$504=D295)*(D295&lt;&gt;"")+($B$5:$B$504=B295)*(B295&lt;&gt;"")&gt;0))&gt;0,"БЛОК: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операцию",IF(AND(C295="Оплата",K295&lt;&gt;"Отдельный платёж — не сам аванс (сверено с выпиской банка)",OR(COUNTIFS($C$5:$C$504,"Зачёт аванса по договору",$E$5:$E$504,E295)&gt;0,ROUND(E295-$M$6,2)=0)),"БЛОК: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5" s="185" t="str">
        <x:f>IF(AND(B295="",C295="",E295=""),"",SUM($G$5:G295))</x:f>
        <x:v/>
      </x:c>
      <x:c r="K295" s="178"/>
      <x:c r="L295" s="46"/>
      <x:c r="M295" s="46"/>
    </x:row>
    <x:row r="296" ht="29" customHeight="1">
      <x:c r="A296" s="199">
        <x:v>292</x:v>
      </x:c>
      <x:c r="B296" s="162"/>
      <x:c r="C296" s="163"/>
      <x:c r="D296" s="163"/>
      <x:c r="E296" s="164"/>
      <x:c r="F296" s="163"/>
      <x:c r="G296" s="185">
        <x:f t="shared" si="8"/>
        <x:v>0</x:v>
      </x:c>
      <x:c r="H296" s="185">
        <x:f t="shared" si="9"/>
        <x:v>0</x:v>
      </x:c>
      <x:c r="I296" s="186">
        <x:f>IF(AND(B296="",C296="",D296="",E296="",F296=""),"",IF(OR(B296="",C296="",E296=""),"БЛОК: нужны дата, тип операции и сумма",IF(N(E296)&lt;=0,"БЛОК: сумма должна быть больше нуля",IF(AND(H296&lt;&gt;0,F296=""),"БЛОК: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отделить",IF(AND(G296&lt;&gt;0,F296=""),"БЛОК: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нельзя",IF(AND(F296&lt;&gt;"",COUNTIF('Долг по актам'!$B$5:$B$34,F296)=0),"БЛОК: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договору")&gt;0)*($C$5:$C$504&lt;&gt;C296)*($E$5:$E$504=E296)*(($D$5:$D$504=D296)*(D296&lt;&gt;"")+($B$5:$B$504=B296)*(B296&lt;&gt;"")&gt;0))&gt;0,"БЛОК: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операцию",IF(AND(C296="Оплата",K296&lt;&gt;"Отдельный платёж — не сам аванс (сверено с выпиской банка)",OR(COUNTIFS($C$5:$C$504,"Зачёт аванса по договору",$E$5:$E$504,E296)&gt;0,ROUND(E296-$M$6,2)=0)),"БЛОК: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6" s="185" t="str">
        <x:f>IF(AND(B296="",C296="",E296=""),"",SUM($G$5:G296))</x:f>
        <x:v/>
      </x:c>
      <x:c r="K296" s="178"/>
      <x:c r="L296" s="46"/>
      <x:c r="M296" s="46"/>
    </x:row>
    <x:row r="297" ht="29" customHeight="1">
      <x:c r="A297" s="199">
        <x:v>293</x:v>
      </x:c>
      <x:c r="B297" s="162"/>
      <x:c r="C297" s="163"/>
      <x:c r="D297" s="163"/>
      <x:c r="E297" s="164"/>
      <x:c r="F297" s="163"/>
      <x:c r="G297" s="185">
        <x:f t="shared" si="8"/>
        <x:v>0</x:v>
      </x:c>
      <x:c r="H297" s="185">
        <x:f t="shared" si="9"/>
        <x:v>0</x:v>
      </x:c>
      <x:c r="I297" s="186">
        <x:f>IF(AND(B297="",C297="",D297="",E297="",F297=""),"",IF(OR(B297="",C297="",E297=""),"БЛОК: нужны дата, тип операции и сумма",IF(N(E297)&lt;=0,"БЛОК: сумма должна быть больше нуля",IF(AND(H297&lt;&gt;0,F297=""),"БЛОК: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отделить",IF(AND(G297&lt;&gt;0,F297=""),"БЛОК: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нельзя",IF(AND(F297&lt;&gt;"",COUNTIF('Долг по актам'!$B$5:$B$34,F297)=0),"БЛОК: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договору")&gt;0)*($C$5:$C$504&lt;&gt;C297)*($E$5:$E$504=E297)*(($D$5:$D$504=D297)*(D297&lt;&gt;"")+($B$5:$B$504=B297)*(B297&lt;&gt;"")&gt;0))&gt;0,"БЛОК: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операцию",IF(AND(C297="Оплата",K297&lt;&gt;"Отдельный платёж — не сам аванс (сверено с выпиской банка)",OR(COUNTIFS($C$5:$C$504,"Зачёт аванса по договору",$E$5:$E$504,E297)&gt;0,ROUND(E297-$M$6,2)=0)),"БЛОК: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7" s="185" t="str">
        <x:f>IF(AND(B297="",C297="",E297=""),"",SUM($G$5:G297))</x:f>
        <x:v/>
      </x:c>
      <x:c r="K297" s="178"/>
      <x:c r="L297" s="46"/>
      <x:c r="M297" s="46"/>
    </x:row>
    <x:row r="298" ht="29" customHeight="1">
      <x:c r="A298" s="199">
        <x:v>294</x:v>
      </x:c>
      <x:c r="B298" s="162"/>
      <x:c r="C298" s="163"/>
      <x:c r="D298" s="163"/>
      <x:c r="E298" s="164"/>
      <x:c r="F298" s="163"/>
      <x:c r="G298" s="185">
        <x:f t="shared" si="8"/>
        <x:v>0</x:v>
      </x:c>
      <x:c r="H298" s="185">
        <x:f t="shared" si="9"/>
        <x:v>0</x:v>
      </x:c>
      <x:c r="I298" s="186">
        <x:f>IF(AND(B298="",C298="",D298="",E298="",F298=""),"",IF(OR(B298="",C298="",E298=""),"БЛОК: нужны дата, тип операции и сумма",IF(N(E298)&lt;=0,"БЛОК: сумма должна быть больше нуля",IF(AND(H298&lt;&gt;0,F298=""),"БЛОК: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отделить",IF(AND(G298&lt;&gt;0,F298=""),"БЛОК: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нельзя",IF(AND(F298&lt;&gt;"",COUNTIF('Долг по актам'!$B$5:$B$34,F298)=0),"БЛОК: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договору")&gt;0)*($C$5:$C$504&lt;&gt;C298)*($E$5:$E$504=E298)*(($D$5:$D$504=D298)*(D298&lt;&gt;"")+($B$5:$B$504=B298)*(B298&lt;&gt;"")&gt;0))&gt;0,"БЛОК: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операцию",IF(AND(C298="Оплата",K298&lt;&gt;"Отдельный платёж — не сам аванс (сверено с выпиской банка)",OR(COUNTIFS($C$5:$C$504,"Зачёт аванса по договору",$E$5:$E$504,E298)&gt;0,ROUND(E298-$M$6,2)=0)),"БЛОК: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8" s="185" t="str">
        <x:f>IF(AND(B298="",C298="",E298=""),"",SUM($G$5:G298))</x:f>
        <x:v/>
      </x:c>
      <x:c r="K298" s="178"/>
      <x:c r="L298" s="46"/>
      <x:c r="M298" s="46"/>
    </x:row>
    <x:row r="299" ht="29" customHeight="1">
      <x:c r="A299" s="199">
        <x:v>295</x:v>
      </x:c>
      <x:c r="B299" s="162"/>
      <x:c r="C299" s="163"/>
      <x:c r="D299" s="163"/>
      <x:c r="E299" s="164"/>
      <x:c r="F299" s="163"/>
      <x:c r="G299" s="185">
        <x:f t="shared" si="8"/>
        <x:v>0</x:v>
      </x:c>
      <x:c r="H299" s="185">
        <x:f t="shared" si="9"/>
        <x:v>0</x:v>
      </x:c>
      <x:c r="I299" s="186">
        <x:f>IF(AND(B299="",C299="",D299="",E299="",F299=""),"",IF(OR(B299="",C299="",E299=""),"БЛОК: нужны дата, тип операции и сумма",IF(N(E299)&lt;=0,"БЛОК: сумма должна быть больше нуля",IF(AND(H299&lt;&gt;0,F299=""),"БЛОК: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отделить",IF(AND(G299&lt;&gt;0,F299=""),"БЛОК: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нельзя",IF(AND(F299&lt;&gt;"",COUNTIF('Долг по актам'!$B$5:$B$34,F299)=0),"БЛОК: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договору")&gt;0)*($C$5:$C$504&lt;&gt;C299)*($E$5:$E$504=E299)*(($D$5:$D$504=D299)*(D299&lt;&gt;"")+($B$5:$B$504=B299)*(B299&lt;&gt;"")&gt;0))&gt;0,"БЛОК: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операцию",IF(AND(C299="Оплата",K299&lt;&gt;"Отдельный платёж — не сам аванс (сверено с выпиской банка)",OR(COUNTIFS($C$5:$C$504,"Зачёт аванса по договору",$E$5:$E$504,E299)&gt;0,ROUND(E299-$M$6,2)=0)),"БЛОК: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299" s="185" t="str">
        <x:f>IF(AND(B299="",C299="",E299=""),"",SUM($G$5:G299))</x:f>
        <x:v/>
      </x:c>
      <x:c r="K299" s="178"/>
      <x:c r="L299" s="46"/>
      <x:c r="M299" s="46"/>
    </x:row>
    <x:row r="300" ht="29" customHeight="1">
      <x:c r="A300" s="199">
        <x:v>296</x:v>
      </x:c>
      <x:c r="B300" s="162"/>
      <x:c r="C300" s="163"/>
      <x:c r="D300" s="163"/>
      <x:c r="E300" s="164"/>
      <x:c r="F300" s="163"/>
      <x:c r="G300" s="185">
        <x:f t="shared" si="8"/>
        <x:v>0</x:v>
      </x:c>
      <x:c r="H300" s="185">
        <x:f t="shared" si="9"/>
        <x:v>0</x:v>
      </x:c>
      <x:c r="I300" s="186">
        <x:f>IF(AND(B300="",C300="",D300="",E300="",F300=""),"",IF(OR(B300="",C300="",E300=""),"БЛОК: нужны дата, тип операции и сумма",IF(N(E300)&lt;=0,"БЛОК: сумма должна быть больше нуля",IF(AND(H300&lt;&gt;0,F300=""),"БЛОК: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отделить",IF(AND(G300&lt;&gt;0,F300=""),"БЛОК: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нельзя",IF(AND(F300&lt;&gt;"",COUNTIF('Долг по актам'!$B$5:$B$34,F300)=0),"БЛОК: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договору")&gt;0)*($C$5:$C$504&lt;&gt;C300)*($E$5:$E$504=E300)*(($D$5:$D$504=D300)*(D300&lt;&gt;"")+($B$5:$B$504=B300)*(B300&lt;&gt;"")&gt;0))&gt;0,"БЛОК: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операцию",IF(AND(C300="Оплата",K300&lt;&gt;"Отдельный платёж — не сам аванс (сверено с выпиской банка)",OR(COUNTIFS($C$5:$C$504,"Зачёт аванса по договору",$E$5:$E$504,E300)&gt;0,ROUND(E300-$M$6,2)=0)),"БЛОК: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0" s="185" t="str">
        <x:f>IF(AND(B300="",C300="",E300=""),"",SUM($G$5:G300))</x:f>
        <x:v/>
      </x:c>
      <x:c r="K300" s="178"/>
      <x:c r="L300" s="46"/>
      <x:c r="M300" s="46"/>
    </x:row>
    <x:row r="301" ht="29" customHeight="1">
      <x:c r="A301" s="199">
        <x:v>297</x:v>
      </x:c>
      <x:c r="B301" s="162"/>
      <x:c r="C301" s="163"/>
      <x:c r="D301" s="163"/>
      <x:c r="E301" s="164"/>
      <x:c r="F301" s="163"/>
      <x:c r="G301" s="185">
        <x:f t="shared" si="8"/>
        <x:v>0</x:v>
      </x:c>
      <x:c r="H301" s="185">
        <x:f t="shared" si="9"/>
        <x:v>0</x:v>
      </x:c>
      <x:c r="I301" s="186">
        <x:f>IF(AND(B301="",C301="",D301="",E301="",F301=""),"",IF(OR(B301="",C301="",E301=""),"БЛОК: нужны дата, тип операции и сумма",IF(N(E301)&lt;=0,"БЛОК: сумма должна быть больше нуля",IF(AND(H301&lt;&gt;0,F301=""),"БЛОК: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отделить",IF(AND(G301&lt;&gt;0,F301=""),"БЛОК: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нельзя",IF(AND(F301&lt;&gt;"",COUNTIF('Долг по актам'!$B$5:$B$34,F301)=0),"БЛОК: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договору")&gt;0)*($C$5:$C$504&lt;&gt;C301)*($E$5:$E$504=E301)*(($D$5:$D$504=D301)*(D301&lt;&gt;"")+($B$5:$B$504=B301)*(B301&lt;&gt;"")&gt;0))&gt;0,"БЛОК: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операцию",IF(AND(C301="Оплата",K301&lt;&gt;"Отдельный платёж — не сам аванс (сверено с выпиской банка)",OR(COUNTIFS($C$5:$C$504,"Зачёт аванса по договору",$E$5:$E$504,E301)&gt;0,ROUND(E301-$M$6,2)=0)),"БЛОК: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1" s="185" t="str">
        <x:f>IF(AND(B301="",C301="",E301=""),"",SUM($G$5:G301))</x:f>
        <x:v/>
      </x:c>
      <x:c r="K301" s="178"/>
      <x:c r="L301" s="46"/>
      <x:c r="M301" s="46"/>
    </x:row>
    <x:row r="302" ht="29" customHeight="1">
      <x:c r="A302" s="199">
        <x:v>298</x:v>
      </x:c>
      <x:c r="B302" s="162"/>
      <x:c r="C302" s="163"/>
      <x:c r="D302" s="163"/>
      <x:c r="E302" s="164"/>
      <x:c r="F302" s="163"/>
      <x:c r="G302" s="185">
        <x:f t="shared" si="8"/>
        <x:v>0</x:v>
      </x:c>
      <x:c r="H302" s="185">
        <x:f t="shared" si="9"/>
        <x:v>0</x:v>
      </x:c>
      <x:c r="I302" s="186">
        <x:f>IF(AND(B302="",C302="",D302="",E302="",F302=""),"",IF(OR(B302="",C302="",E302=""),"БЛОК: нужны дата, тип операции и сумма",IF(N(E302)&lt;=0,"БЛОК: сумма должна быть больше нуля",IF(AND(H302&lt;&gt;0,F302=""),"БЛОК: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отделить",IF(AND(G302&lt;&gt;0,F302=""),"БЛОК: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нельзя",IF(AND(F302&lt;&gt;"",COUNTIF('Долг по актам'!$B$5:$B$34,F302)=0),"БЛОК: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договору")&gt;0)*($C$5:$C$504&lt;&gt;C302)*($E$5:$E$504=E302)*(($D$5:$D$504=D302)*(D302&lt;&gt;"")+($B$5:$B$504=B302)*(B302&lt;&gt;"")&gt;0))&gt;0,"БЛОК: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операцию",IF(AND(C302="Оплата",K302&lt;&gt;"Отдельный платёж — не сам аванс (сверено с выпиской банка)",OR(COUNTIFS($C$5:$C$504,"Зачёт аванса по договору",$E$5:$E$504,E302)&gt;0,ROUND(E302-$M$6,2)=0)),"БЛОК: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2" s="185" t="str">
        <x:f>IF(AND(B302="",C302="",E302=""),"",SUM($G$5:G302))</x:f>
        <x:v/>
      </x:c>
      <x:c r="K302" s="178"/>
      <x:c r="L302" s="46"/>
      <x:c r="M302" s="46"/>
    </x:row>
    <x:row r="303" ht="29" customHeight="1">
      <x:c r="A303" s="199">
        <x:v>299</x:v>
      </x:c>
      <x:c r="B303" s="162"/>
      <x:c r="C303" s="163"/>
      <x:c r="D303" s="163"/>
      <x:c r="E303" s="164"/>
      <x:c r="F303" s="163"/>
      <x:c r="G303" s="185">
        <x:f t="shared" si="8"/>
        <x:v>0</x:v>
      </x:c>
      <x:c r="H303" s="185">
        <x:f t="shared" si="9"/>
        <x:v>0</x:v>
      </x:c>
      <x:c r="I303" s="186">
        <x:f>IF(AND(B303="",C303="",D303="",E303="",F303=""),"",IF(OR(B303="",C303="",E303=""),"БЛОК: нужны дата, тип операции и сумма",IF(N(E303)&lt;=0,"БЛОК: сумма должна быть больше нуля",IF(AND(H303&lt;&gt;0,F303=""),"БЛОК: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отделить",IF(AND(G303&lt;&gt;0,F303=""),"БЛОК: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нельзя",IF(AND(F303&lt;&gt;"",COUNTIF('Долг по актам'!$B$5:$B$34,F303)=0),"БЛОК: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договору")&gt;0)*($C$5:$C$504&lt;&gt;C303)*($E$5:$E$504=E303)*(($D$5:$D$504=D303)*(D303&lt;&gt;"")+($B$5:$B$504=B303)*(B303&lt;&gt;"")&gt;0))&gt;0,"БЛОК: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операцию",IF(AND(C303="Оплата",K303&lt;&gt;"Отдельный платёж — не сам аванс (сверено с выпиской банка)",OR(COUNTIFS($C$5:$C$504,"Зачёт аванса по договору",$E$5:$E$504,E303)&gt;0,ROUND(E303-$M$6,2)=0)),"БЛОК: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3" s="185" t="str">
        <x:f>IF(AND(B303="",C303="",E303=""),"",SUM($G$5:G303))</x:f>
        <x:v/>
      </x:c>
      <x:c r="K303" s="178"/>
      <x:c r="L303" s="46"/>
      <x:c r="M303" s="46"/>
    </x:row>
    <x:row r="304" ht="29" customHeight="1">
      <x:c r="A304" s="199">
        <x:v>300</x:v>
      </x:c>
      <x:c r="B304" s="162"/>
      <x:c r="C304" s="163"/>
      <x:c r="D304" s="163"/>
      <x:c r="E304" s="164"/>
      <x:c r="F304" s="163"/>
      <x:c r="G304" s="185">
        <x:f t="shared" si="8"/>
        <x:v>0</x:v>
      </x:c>
      <x:c r="H304" s="185">
        <x:f t="shared" si="9"/>
        <x:v>0</x:v>
      </x:c>
      <x:c r="I304" s="186">
        <x:f>IF(AND(B304="",C304="",D304="",E304="",F304=""),"",IF(OR(B304="",C304="",E304=""),"БЛОК: нужны дата, тип операции и сумма",IF(N(E304)&lt;=0,"БЛОК: сумма должна быть больше нуля",IF(AND(H304&lt;&gt;0,F304=""),"БЛОК: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отделить",IF(AND(G304&lt;&gt;0,F304=""),"БЛОК: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нельзя",IF(AND(F304&lt;&gt;"",COUNTIF('Долг по актам'!$B$5:$B$34,F304)=0),"БЛОК: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договору")&gt;0)*($C$5:$C$504&lt;&gt;C304)*($E$5:$E$504=E304)*(($D$5:$D$504=D304)*(D304&lt;&gt;"")+($B$5:$B$504=B304)*(B304&lt;&gt;"")&gt;0))&gt;0,"БЛОК: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операцию",IF(AND(C304="Оплата",K304&lt;&gt;"Отдельный платёж — не сам аванс (сверено с выпиской банка)",OR(COUNTIFS($C$5:$C$504,"Зачёт аванса по договору",$E$5:$E$504,E304)&gt;0,ROUND(E304-$M$6,2)=0)),"БЛОК: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4" s="185" t="str">
        <x:f>IF(AND(B304="",C304="",E304=""),"",SUM($G$5:G304))</x:f>
        <x:v/>
      </x:c>
      <x:c r="K304" s="178"/>
      <x:c r="L304" s="46"/>
      <x:c r="M304" s="46"/>
    </x:row>
    <x:row r="305" ht="29" customHeight="1">
      <x:c r="A305" s="199">
        <x:v>301</x:v>
      </x:c>
      <x:c r="B305" s="162"/>
      <x:c r="C305" s="163"/>
      <x:c r="D305" s="163"/>
      <x:c r="E305" s="164"/>
      <x:c r="F305" s="163"/>
      <x:c r="G305" s="185">
        <x:f t="shared" si="8"/>
        <x:v>0</x:v>
      </x:c>
      <x:c r="H305" s="185">
        <x:f t="shared" si="9"/>
        <x:v>0</x:v>
      </x:c>
      <x:c r="I305" s="186">
        <x:f>IF(AND(B305="",C305="",D305="",E305="",F305=""),"",IF(OR(B305="",C305="",E305=""),"БЛОК: нужны дата, тип операции и сумма",IF(N(E305)&lt;=0,"БЛОК: сумма должна быть больше нуля",IF(AND(H305&lt;&gt;0,F305=""),"БЛОК: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отделить",IF(AND(G305&lt;&gt;0,F305=""),"БЛОК: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нельзя",IF(AND(F305&lt;&gt;"",COUNTIF('Долг по актам'!$B$5:$B$34,F305)=0),"БЛОК: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договору")&gt;0)*($C$5:$C$504&lt;&gt;C305)*($E$5:$E$504=E305)*(($D$5:$D$504=D305)*(D305&lt;&gt;"")+($B$5:$B$504=B305)*(B305&lt;&gt;"")&gt;0))&gt;0,"БЛОК: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операцию",IF(AND(C305="Оплата",K305&lt;&gt;"Отдельный платёж — не сам аванс (сверено с выпиской банка)",OR(COUNTIFS($C$5:$C$504,"Зачёт аванса по договору",$E$5:$E$504,E305)&gt;0,ROUND(E305-$M$6,2)=0)),"БЛОК: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5" s="185" t="str">
        <x:f>IF(AND(B305="",C305="",E305=""),"",SUM($G$5:G305))</x:f>
        <x:v/>
      </x:c>
      <x:c r="K305" s="178"/>
      <x:c r="L305" s="46"/>
      <x:c r="M305" s="46"/>
    </x:row>
    <x:row r="306" ht="29" customHeight="1">
      <x:c r="A306" s="199">
        <x:v>302</x:v>
      </x:c>
      <x:c r="B306" s="162"/>
      <x:c r="C306" s="163"/>
      <x:c r="D306" s="163"/>
      <x:c r="E306" s="164"/>
      <x:c r="F306" s="163"/>
      <x:c r="G306" s="185">
        <x:f t="shared" si="8"/>
        <x:v>0</x:v>
      </x:c>
      <x:c r="H306" s="185">
        <x:f t="shared" si="9"/>
        <x:v>0</x:v>
      </x:c>
      <x:c r="I306" s="186">
        <x:f>IF(AND(B306="",C306="",D306="",E306="",F306=""),"",IF(OR(B306="",C306="",E306=""),"БЛОК: нужны дата, тип операции и сумма",IF(N(E306)&lt;=0,"БЛОК: сумма должна быть больше нуля",IF(AND(H306&lt;&gt;0,F306=""),"БЛОК: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отделить",IF(AND(G306&lt;&gt;0,F306=""),"БЛОК: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нельзя",IF(AND(F306&lt;&gt;"",COUNTIF('Долг по актам'!$B$5:$B$34,F306)=0),"БЛОК: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договору")&gt;0)*($C$5:$C$504&lt;&gt;C306)*($E$5:$E$504=E306)*(($D$5:$D$504=D306)*(D306&lt;&gt;"")+($B$5:$B$504=B306)*(B306&lt;&gt;"")&gt;0))&gt;0,"БЛОК: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операцию",IF(AND(C306="Оплата",K306&lt;&gt;"Отдельный платёж — не сам аванс (сверено с выпиской банка)",OR(COUNTIFS($C$5:$C$504,"Зачёт аванса по договору",$E$5:$E$504,E306)&gt;0,ROUND(E306-$M$6,2)=0)),"БЛОК: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6" s="185" t="str">
        <x:f>IF(AND(B306="",C306="",E306=""),"",SUM($G$5:G306))</x:f>
        <x:v/>
      </x:c>
      <x:c r="K306" s="178"/>
      <x:c r="L306" s="46"/>
      <x:c r="M306" s="46"/>
    </x:row>
    <x:row r="307" ht="29" customHeight="1">
      <x:c r="A307" s="199">
        <x:v>303</x:v>
      </x:c>
      <x:c r="B307" s="162"/>
      <x:c r="C307" s="163"/>
      <x:c r="D307" s="163"/>
      <x:c r="E307" s="164"/>
      <x:c r="F307" s="163"/>
      <x:c r="G307" s="185">
        <x:f t="shared" si="8"/>
        <x:v>0</x:v>
      </x:c>
      <x:c r="H307" s="185">
        <x:f t="shared" si="9"/>
        <x:v>0</x:v>
      </x:c>
      <x:c r="I307" s="186">
        <x:f>IF(AND(B307="",C307="",D307="",E307="",F307=""),"",IF(OR(B307="",C307="",E307=""),"БЛОК: нужны дата, тип операции и сумма",IF(N(E307)&lt;=0,"БЛОК: сумма должна быть больше нуля",IF(AND(H307&lt;&gt;0,F307=""),"БЛОК: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отделить",IF(AND(G307&lt;&gt;0,F307=""),"БЛОК: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нельзя",IF(AND(F307&lt;&gt;"",COUNTIF('Долг по актам'!$B$5:$B$34,F307)=0),"БЛОК: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договору")&gt;0)*($C$5:$C$504&lt;&gt;C307)*($E$5:$E$504=E307)*(($D$5:$D$504=D307)*(D307&lt;&gt;"")+($B$5:$B$504=B307)*(B307&lt;&gt;"")&gt;0))&gt;0,"БЛОК: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операцию",IF(AND(C307="Оплата",K307&lt;&gt;"Отдельный платёж — не сам аванс (сверено с выпиской банка)",OR(COUNTIFS($C$5:$C$504,"Зачёт аванса по договору",$E$5:$E$504,E307)&gt;0,ROUND(E307-$M$6,2)=0)),"БЛОК: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7" s="185" t="str">
        <x:f>IF(AND(B307="",C307="",E307=""),"",SUM($G$5:G307))</x:f>
        <x:v/>
      </x:c>
      <x:c r="K307" s="178"/>
      <x:c r="L307" s="46"/>
      <x:c r="M307" s="46"/>
    </x:row>
    <x:row r="308" ht="29" customHeight="1">
      <x:c r="A308" s="199">
        <x:v>304</x:v>
      </x:c>
      <x:c r="B308" s="162"/>
      <x:c r="C308" s="163"/>
      <x:c r="D308" s="163"/>
      <x:c r="E308" s="164"/>
      <x:c r="F308" s="163"/>
      <x:c r="G308" s="185">
        <x:f t="shared" si="8"/>
        <x:v>0</x:v>
      </x:c>
      <x:c r="H308" s="185">
        <x:f t="shared" si="9"/>
        <x:v>0</x:v>
      </x:c>
      <x:c r="I308" s="186">
        <x:f>IF(AND(B308="",C308="",D308="",E308="",F308=""),"",IF(OR(B308="",C308="",E308=""),"БЛОК: нужны дата, тип операции и сумма",IF(N(E308)&lt;=0,"БЛОК: сумма должна быть больше нуля",IF(AND(H308&lt;&gt;0,F308=""),"БЛОК: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отделить",IF(AND(G308&lt;&gt;0,F308=""),"БЛОК: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нельзя",IF(AND(F308&lt;&gt;"",COUNTIF('Долг по актам'!$B$5:$B$34,F308)=0),"БЛОК: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договору")&gt;0)*($C$5:$C$504&lt;&gt;C308)*($E$5:$E$504=E308)*(($D$5:$D$504=D308)*(D308&lt;&gt;"")+($B$5:$B$504=B308)*(B308&lt;&gt;"")&gt;0))&gt;0,"БЛОК: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операцию",IF(AND(C308="Оплата",K308&lt;&gt;"Отдельный платёж — не сам аванс (сверено с выпиской банка)",OR(COUNTIFS($C$5:$C$504,"Зачёт аванса по договору",$E$5:$E$504,E308)&gt;0,ROUND(E308-$M$6,2)=0)),"БЛОК: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8" s="185" t="str">
        <x:f>IF(AND(B308="",C308="",E308=""),"",SUM($G$5:G308))</x:f>
        <x:v/>
      </x:c>
      <x:c r="K308" s="178"/>
      <x:c r="L308" s="46"/>
      <x:c r="M308" s="46"/>
    </x:row>
    <x:row r="309" ht="29" customHeight="1">
      <x:c r="A309" s="199">
        <x:v>305</x:v>
      </x:c>
      <x:c r="B309" s="162"/>
      <x:c r="C309" s="163"/>
      <x:c r="D309" s="163"/>
      <x:c r="E309" s="164"/>
      <x:c r="F309" s="163"/>
      <x:c r="G309" s="185">
        <x:f t="shared" si="8"/>
        <x:v>0</x:v>
      </x:c>
      <x:c r="H309" s="185">
        <x:f t="shared" si="9"/>
        <x:v>0</x:v>
      </x:c>
      <x:c r="I309" s="186">
        <x:f>IF(AND(B309="",C309="",D309="",E309="",F309=""),"",IF(OR(B309="",C309="",E309=""),"БЛОК: нужны дата, тип операции и сумма",IF(N(E309)&lt;=0,"БЛОК: сумма должна быть больше нуля",IF(AND(H309&lt;&gt;0,F309=""),"БЛОК: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отделить",IF(AND(G309&lt;&gt;0,F309=""),"БЛОК: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нельзя",IF(AND(F309&lt;&gt;"",COUNTIF('Долг по актам'!$B$5:$B$34,F309)=0),"БЛОК: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договору")&gt;0)*($C$5:$C$504&lt;&gt;C309)*($E$5:$E$504=E309)*(($D$5:$D$504=D309)*(D309&lt;&gt;"")+($B$5:$B$504=B309)*(B309&lt;&gt;"")&gt;0))&gt;0,"БЛОК: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операцию",IF(AND(C309="Оплата",K309&lt;&gt;"Отдельный платёж — не сам аванс (сверено с выпиской банка)",OR(COUNTIFS($C$5:$C$504,"Зачёт аванса по договору",$E$5:$E$504,E309)&gt;0,ROUND(E309-$M$6,2)=0)),"БЛОК: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09" s="185" t="str">
        <x:f>IF(AND(B309="",C309="",E309=""),"",SUM($G$5:G309))</x:f>
        <x:v/>
      </x:c>
      <x:c r="K309" s="178"/>
      <x:c r="L309" s="46"/>
      <x:c r="M309" s="46"/>
    </x:row>
    <x:row r="310" ht="29" customHeight="1">
      <x:c r="A310" s="199">
        <x:v>306</x:v>
      </x:c>
      <x:c r="B310" s="162"/>
      <x:c r="C310" s="163"/>
      <x:c r="D310" s="163"/>
      <x:c r="E310" s="164"/>
      <x:c r="F310" s="163"/>
      <x:c r="G310" s="185">
        <x:f t="shared" si="8"/>
        <x:v>0</x:v>
      </x:c>
      <x:c r="H310" s="185">
        <x:f t="shared" si="9"/>
        <x:v>0</x:v>
      </x:c>
      <x:c r="I310" s="186">
        <x:f>IF(AND(B310="",C310="",D310="",E310="",F310=""),"",IF(OR(B310="",C310="",E310=""),"БЛОК: нужны дата, тип операции и сумма",IF(N(E310)&lt;=0,"БЛОК: сумма должна быть больше нуля",IF(AND(H310&lt;&gt;0,F310=""),"БЛОК: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отделить",IF(AND(G310&lt;&gt;0,F310=""),"БЛОК: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нельзя",IF(AND(F310&lt;&gt;"",COUNTIF('Долг по актам'!$B$5:$B$34,F310)=0),"БЛОК: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договору")&gt;0)*($C$5:$C$504&lt;&gt;C310)*($E$5:$E$504=E310)*(($D$5:$D$504=D310)*(D310&lt;&gt;"")+($B$5:$B$504=B310)*(B310&lt;&gt;"")&gt;0))&gt;0,"БЛОК: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операцию",IF(AND(C310="Оплата",K310&lt;&gt;"Отдельный платёж — не сам аванс (сверено с выпиской банка)",OR(COUNTIFS($C$5:$C$504,"Зачёт аванса по договору",$E$5:$E$504,E310)&gt;0,ROUND(E310-$M$6,2)=0)),"БЛОК: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0" s="185" t="str">
        <x:f>IF(AND(B310="",C310="",E310=""),"",SUM($G$5:G310))</x:f>
        <x:v/>
      </x:c>
      <x:c r="K310" s="178"/>
      <x:c r="L310" s="46"/>
      <x:c r="M310" s="46"/>
    </x:row>
    <x:row r="311" ht="29" customHeight="1">
      <x:c r="A311" s="199">
        <x:v>307</x:v>
      </x:c>
      <x:c r="B311" s="162"/>
      <x:c r="C311" s="163"/>
      <x:c r="D311" s="163"/>
      <x:c r="E311" s="164"/>
      <x:c r="F311" s="163"/>
      <x:c r="G311" s="185">
        <x:f t="shared" si="8"/>
        <x:v>0</x:v>
      </x:c>
      <x:c r="H311" s="185">
        <x:f t="shared" si="9"/>
        <x:v>0</x:v>
      </x:c>
      <x:c r="I311" s="186">
        <x:f>IF(AND(B311="",C311="",D311="",E311="",F311=""),"",IF(OR(B311="",C311="",E311=""),"БЛОК: нужны дата, тип операции и сумма",IF(N(E311)&lt;=0,"БЛОК: сумма должна быть больше нуля",IF(AND(H311&lt;&gt;0,F311=""),"БЛОК: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отделить",IF(AND(G311&lt;&gt;0,F311=""),"БЛОК: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нельзя",IF(AND(F311&lt;&gt;"",COUNTIF('Долг по актам'!$B$5:$B$34,F311)=0),"БЛОК: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договору")&gt;0)*($C$5:$C$504&lt;&gt;C311)*($E$5:$E$504=E311)*(($D$5:$D$504=D311)*(D311&lt;&gt;"")+($B$5:$B$504=B311)*(B311&lt;&gt;"")&gt;0))&gt;0,"БЛОК: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операцию",IF(AND(C311="Оплата",K311&lt;&gt;"Отдельный платёж — не сам аванс (сверено с выпиской банка)",OR(COUNTIFS($C$5:$C$504,"Зачёт аванса по договору",$E$5:$E$504,E311)&gt;0,ROUND(E311-$M$6,2)=0)),"БЛОК: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1" s="185" t="str">
        <x:f>IF(AND(B311="",C311="",E311=""),"",SUM($G$5:G311))</x:f>
        <x:v/>
      </x:c>
      <x:c r="K311" s="178"/>
      <x:c r="L311" s="46"/>
      <x:c r="M311" s="46"/>
    </x:row>
    <x:row r="312" ht="29" customHeight="1">
      <x:c r="A312" s="199">
        <x:v>308</x:v>
      </x:c>
      <x:c r="B312" s="162"/>
      <x:c r="C312" s="163"/>
      <x:c r="D312" s="163"/>
      <x:c r="E312" s="164"/>
      <x:c r="F312" s="163"/>
      <x:c r="G312" s="185">
        <x:f t="shared" si="8"/>
        <x:v>0</x:v>
      </x:c>
      <x:c r="H312" s="185">
        <x:f t="shared" si="9"/>
        <x:v>0</x:v>
      </x:c>
      <x:c r="I312" s="186">
        <x:f>IF(AND(B312="",C312="",D312="",E312="",F312=""),"",IF(OR(B312="",C312="",E312=""),"БЛОК: нужны дата, тип операции и сумма",IF(N(E312)&lt;=0,"БЛОК: сумма должна быть больше нуля",IF(AND(H312&lt;&gt;0,F312=""),"БЛОК: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отделить",IF(AND(G312&lt;&gt;0,F312=""),"БЛОК: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нельзя",IF(AND(F312&lt;&gt;"",COUNTIF('Долг по актам'!$B$5:$B$34,F312)=0),"БЛОК: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договору")&gt;0)*($C$5:$C$504&lt;&gt;C312)*($E$5:$E$504=E312)*(($D$5:$D$504=D312)*(D312&lt;&gt;"")+($B$5:$B$504=B312)*(B312&lt;&gt;"")&gt;0))&gt;0,"БЛОК: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операцию",IF(AND(C312="Оплата",K312&lt;&gt;"Отдельный платёж — не сам аванс (сверено с выпиской банка)",OR(COUNTIFS($C$5:$C$504,"Зачёт аванса по договору",$E$5:$E$504,E312)&gt;0,ROUND(E312-$M$6,2)=0)),"БЛОК: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2" s="185" t="str">
        <x:f>IF(AND(B312="",C312="",E312=""),"",SUM($G$5:G312))</x:f>
        <x:v/>
      </x:c>
      <x:c r="K312" s="178"/>
      <x:c r="L312" s="46"/>
      <x:c r="M312" s="46"/>
    </x:row>
    <x:row r="313" ht="29" customHeight="1">
      <x:c r="A313" s="199">
        <x:v>309</x:v>
      </x:c>
      <x:c r="B313" s="162"/>
      <x:c r="C313" s="163"/>
      <x:c r="D313" s="163"/>
      <x:c r="E313" s="164"/>
      <x:c r="F313" s="163"/>
      <x:c r="G313" s="185">
        <x:f t="shared" si="8"/>
        <x:v>0</x:v>
      </x:c>
      <x:c r="H313" s="185">
        <x:f t="shared" si="9"/>
        <x:v>0</x:v>
      </x:c>
      <x:c r="I313" s="186">
        <x:f>IF(AND(B313="",C313="",D313="",E313="",F313=""),"",IF(OR(B313="",C313="",E313=""),"БЛОК: нужны дата, тип операции и сумма",IF(N(E313)&lt;=0,"БЛОК: сумма должна быть больше нуля",IF(AND(H313&lt;&gt;0,F313=""),"БЛОК: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отделить",IF(AND(G313&lt;&gt;0,F313=""),"БЛОК: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нельзя",IF(AND(F313&lt;&gt;"",COUNTIF('Долг по актам'!$B$5:$B$34,F313)=0),"БЛОК: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договору")&gt;0)*($C$5:$C$504&lt;&gt;C313)*($E$5:$E$504=E313)*(($D$5:$D$504=D313)*(D313&lt;&gt;"")+($B$5:$B$504=B313)*(B313&lt;&gt;"")&gt;0))&gt;0,"БЛОК: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операцию",IF(AND(C313="Оплата",K313&lt;&gt;"Отдельный платёж — не сам аванс (сверено с выпиской банка)",OR(COUNTIFS($C$5:$C$504,"Зачёт аванса по договору",$E$5:$E$504,E313)&gt;0,ROUND(E313-$M$6,2)=0)),"БЛОК: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3" s="185" t="str">
        <x:f>IF(AND(B313="",C313="",E313=""),"",SUM($G$5:G313))</x:f>
        <x:v/>
      </x:c>
      <x:c r="K313" s="178"/>
      <x:c r="L313" s="46"/>
      <x:c r="M313" s="46"/>
    </x:row>
    <x:row r="314" ht="29" customHeight="1">
      <x:c r="A314" s="199">
        <x:v>310</x:v>
      </x:c>
      <x:c r="B314" s="162"/>
      <x:c r="C314" s="163"/>
      <x:c r="D314" s="163"/>
      <x:c r="E314" s="164"/>
      <x:c r="F314" s="163"/>
      <x:c r="G314" s="185">
        <x:f t="shared" si="8"/>
        <x:v>0</x:v>
      </x:c>
      <x:c r="H314" s="185">
        <x:f t="shared" si="9"/>
        <x:v>0</x:v>
      </x:c>
      <x:c r="I314" s="186">
        <x:f>IF(AND(B314="",C314="",D314="",E314="",F314=""),"",IF(OR(B314="",C314="",E314=""),"БЛОК: нужны дата, тип операции и сумма",IF(N(E314)&lt;=0,"БЛОК: сумма должна быть больше нуля",IF(AND(H314&lt;&gt;0,F314=""),"БЛОК: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отделить",IF(AND(G314&lt;&gt;0,F314=""),"БЛОК: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нельзя",IF(AND(F314&lt;&gt;"",COUNTIF('Долг по актам'!$B$5:$B$34,F314)=0),"БЛОК: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договору")&gt;0)*($C$5:$C$504&lt;&gt;C314)*($E$5:$E$504=E314)*(($D$5:$D$504=D314)*(D314&lt;&gt;"")+($B$5:$B$504=B314)*(B314&lt;&gt;"")&gt;0))&gt;0,"БЛОК: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операцию",IF(AND(C314="Оплата",K314&lt;&gt;"Отдельный платёж — не сам аванс (сверено с выпиской банка)",OR(COUNTIFS($C$5:$C$504,"Зачёт аванса по договору",$E$5:$E$504,E314)&gt;0,ROUND(E314-$M$6,2)=0)),"БЛОК: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4" s="185" t="str">
        <x:f>IF(AND(B314="",C314="",E314=""),"",SUM($G$5:G314))</x:f>
        <x:v/>
      </x:c>
      <x:c r="K314" s="178"/>
      <x:c r="L314" s="46"/>
      <x:c r="M314" s="46"/>
    </x:row>
    <x:row r="315" ht="29" customHeight="1">
      <x:c r="A315" s="199">
        <x:v>311</x:v>
      </x:c>
      <x:c r="B315" s="162"/>
      <x:c r="C315" s="163"/>
      <x:c r="D315" s="163"/>
      <x:c r="E315" s="164"/>
      <x:c r="F315" s="163"/>
      <x:c r="G315" s="185">
        <x:f t="shared" si="8"/>
        <x:v>0</x:v>
      </x:c>
      <x:c r="H315" s="185">
        <x:f t="shared" si="9"/>
        <x:v>0</x:v>
      </x:c>
      <x:c r="I315" s="186">
        <x:f>IF(AND(B315="",C315="",D315="",E315="",F315=""),"",IF(OR(B315="",C315="",E315=""),"БЛОК: нужны дата, тип операции и сумма",IF(N(E315)&lt;=0,"БЛОК: сумма должна быть больше нуля",IF(AND(H315&lt;&gt;0,F315=""),"БЛОК: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отделить",IF(AND(G315&lt;&gt;0,F315=""),"БЛОК: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нельзя",IF(AND(F315&lt;&gt;"",COUNTIF('Долг по актам'!$B$5:$B$34,F315)=0),"БЛОК: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договору")&gt;0)*($C$5:$C$504&lt;&gt;C315)*($E$5:$E$504=E315)*(($D$5:$D$504=D315)*(D315&lt;&gt;"")+($B$5:$B$504=B315)*(B315&lt;&gt;"")&gt;0))&gt;0,"БЛОК: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операцию",IF(AND(C315="Оплата",K315&lt;&gt;"Отдельный платёж — не сам аванс (сверено с выпиской банка)",OR(COUNTIFS($C$5:$C$504,"Зачёт аванса по договору",$E$5:$E$504,E315)&gt;0,ROUND(E315-$M$6,2)=0)),"БЛОК: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5" s="185" t="str">
        <x:f>IF(AND(B315="",C315="",E315=""),"",SUM($G$5:G315))</x:f>
        <x:v/>
      </x:c>
      <x:c r="K315" s="178"/>
      <x:c r="L315" s="46"/>
      <x:c r="M315" s="46"/>
    </x:row>
    <x:row r="316" ht="29" customHeight="1">
      <x:c r="A316" s="199">
        <x:v>312</x:v>
      </x:c>
      <x:c r="B316" s="162"/>
      <x:c r="C316" s="163"/>
      <x:c r="D316" s="163"/>
      <x:c r="E316" s="164"/>
      <x:c r="F316" s="163"/>
      <x:c r="G316" s="185">
        <x:f t="shared" si="8"/>
        <x:v>0</x:v>
      </x:c>
      <x:c r="H316" s="185">
        <x:f t="shared" si="9"/>
        <x:v>0</x:v>
      </x:c>
      <x:c r="I316" s="186">
        <x:f>IF(AND(B316="",C316="",D316="",E316="",F316=""),"",IF(OR(B316="",C316="",E316=""),"БЛОК: нужны дата, тип операции и сумма",IF(N(E316)&lt;=0,"БЛОК: сумма должна быть больше нуля",IF(AND(H316&lt;&gt;0,F316=""),"БЛОК: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отделить",IF(AND(G316&lt;&gt;0,F316=""),"БЛОК: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нельзя",IF(AND(F316&lt;&gt;"",COUNTIF('Долг по актам'!$B$5:$B$34,F316)=0),"БЛОК: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договору")&gt;0)*($C$5:$C$504&lt;&gt;C316)*($E$5:$E$504=E316)*(($D$5:$D$504=D316)*(D316&lt;&gt;"")+($B$5:$B$504=B316)*(B316&lt;&gt;"")&gt;0))&gt;0,"БЛОК: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операцию",IF(AND(C316="Оплата",K316&lt;&gt;"Отдельный платёж — не сам аванс (сверено с выпиской банка)",OR(COUNTIFS($C$5:$C$504,"Зачёт аванса по договору",$E$5:$E$504,E316)&gt;0,ROUND(E316-$M$6,2)=0)),"БЛОК: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6" s="185" t="str">
        <x:f>IF(AND(B316="",C316="",E316=""),"",SUM($G$5:G316))</x:f>
        <x:v/>
      </x:c>
      <x:c r="K316" s="178"/>
      <x:c r="L316" s="46"/>
      <x:c r="M316" s="46"/>
    </x:row>
    <x:row r="317" ht="29" customHeight="1">
      <x:c r="A317" s="199">
        <x:v>313</x:v>
      </x:c>
      <x:c r="B317" s="162"/>
      <x:c r="C317" s="163"/>
      <x:c r="D317" s="163"/>
      <x:c r="E317" s="164"/>
      <x:c r="F317" s="163"/>
      <x:c r="G317" s="185">
        <x:f t="shared" si="8"/>
        <x:v>0</x:v>
      </x:c>
      <x:c r="H317" s="185">
        <x:f t="shared" si="9"/>
        <x:v>0</x:v>
      </x:c>
      <x:c r="I317" s="186">
        <x:f>IF(AND(B317="",C317="",D317="",E317="",F317=""),"",IF(OR(B317="",C317="",E317=""),"БЛОК: нужны дата, тип операции и сумма",IF(N(E317)&lt;=0,"БЛОК: сумма должна быть больше нуля",IF(AND(H317&lt;&gt;0,F317=""),"БЛОК: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отделить",IF(AND(G317&lt;&gt;0,F317=""),"БЛОК: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нельзя",IF(AND(F317&lt;&gt;"",COUNTIF('Долг по актам'!$B$5:$B$34,F317)=0),"БЛОК: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договору")&gt;0)*($C$5:$C$504&lt;&gt;C317)*($E$5:$E$504=E317)*(($D$5:$D$504=D317)*(D317&lt;&gt;"")+($B$5:$B$504=B317)*(B317&lt;&gt;"")&gt;0))&gt;0,"БЛОК: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операцию",IF(AND(C317="Оплата",K317&lt;&gt;"Отдельный платёж — не сам аванс (сверено с выпиской банка)",OR(COUNTIFS($C$5:$C$504,"Зачёт аванса по договору",$E$5:$E$504,E317)&gt;0,ROUND(E317-$M$6,2)=0)),"БЛОК: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7" s="185" t="str">
        <x:f>IF(AND(B317="",C317="",E317=""),"",SUM($G$5:G317))</x:f>
        <x:v/>
      </x:c>
      <x:c r="K317" s="178"/>
      <x:c r="L317" s="46"/>
      <x:c r="M317" s="46"/>
    </x:row>
    <x:row r="318" ht="29" customHeight="1">
      <x:c r="A318" s="199">
        <x:v>314</x:v>
      </x:c>
      <x:c r="B318" s="162"/>
      <x:c r="C318" s="163"/>
      <x:c r="D318" s="163"/>
      <x:c r="E318" s="164"/>
      <x:c r="F318" s="163"/>
      <x:c r="G318" s="185">
        <x:f t="shared" si="8"/>
        <x:v>0</x:v>
      </x:c>
      <x:c r="H318" s="185">
        <x:f t="shared" si="9"/>
        <x:v>0</x:v>
      </x:c>
      <x:c r="I318" s="186">
        <x:f>IF(AND(B318="",C318="",D318="",E318="",F318=""),"",IF(OR(B318="",C318="",E318=""),"БЛОК: нужны дата, тип операции и сумма",IF(N(E318)&lt;=0,"БЛОК: сумма должна быть больше нуля",IF(AND(H318&lt;&gt;0,F318=""),"БЛОК: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отделить",IF(AND(G318&lt;&gt;0,F318=""),"БЛОК: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нельзя",IF(AND(F318&lt;&gt;"",COUNTIF('Долг по актам'!$B$5:$B$34,F318)=0),"БЛОК: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договору")&gt;0)*($C$5:$C$504&lt;&gt;C318)*($E$5:$E$504=E318)*(($D$5:$D$504=D318)*(D318&lt;&gt;"")+($B$5:$B$504=B318)*(B318&lt;&gt;"")&gt;0))&gt;0,"БЛОК: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операцию",IF(AND(C318="Оплата",K318&lt;&gt;"Отдельный платёж — не сам аванс (сверено с выпиской банка)",OR(COUNTIFS($C$5:$C$504,"Зачёт аванса по договору",$E$5:$E$504,E318)&gt;0,ROUND(E318-$M$6,2)=0)),"БЛОК: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8" s="185" t="str">
        <x:f>IF(AND(B318="",C318="",E318=""),"",SUM($G$5:G318))</x:f>
        <x:v/>
      </x:c>
      <x:c r="K318" s="178"/>
      <x:c r="L318" s="46"/>
      <x:c r="M318" s="46"/>
    </x:row>
    <x:row r="319" ht="29" customHeight="1">
      <x:c r="A319" s="199">
        <x:v>315</x:v>
      </x:c>
      <x:c r="B319" s="162"/>
      <x:c r="C319" s="163"/>
      <x:c r="D319" s="163"/>
      <x:c r="E319" s="164"/>
      <x:c r="F319" s="163"/>
      <x:c r="G319" s="185">
        <x:f t="shared" si="8"/>
        <x:v>0</x:v>
      </x:c>
      <x:c r="H319" s="185">
        <x:f t="shared" si="9"/>
        <x:v>0</x:v>
      </x:c>
      <x:c r="I319" s="186">
        <x:f>IF(AND(B319="",C319="",D319="",E319="",F319=""),"",IF(OR(B319="",C319="",E319=""),"БЛОК: нужны дата, тип операции и сумма",IF(N(E319)&lt;=0,"БЛОК: сумма должна быть больше нуля",IF(AND(H319&lt;&gt;0,F319=""),"БЛОК: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отделить",IF(AND(G319&lt;&gt;0,F319=""),"БЛОК: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нельзя",IF(AND(F319&lt;&gt;"",COUNTIF('Долг по актам'!$B$5:$B$34,F319)=0),"БЛОК: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договору")&gt;0)*($C$5:$C$504&lt;&gt;C319)*($E$5:$E$504=E319)*(($D$5:$D$504=D319)*(D319&lt;&gt;"")+($B$5:$B$504=B319)*(B319&lt;&gt;"")&gt;0))&gt;0,"БЛОК: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операцию",IF(AND(C319="Оплата",K319&lt;&gt;"Отдельный платёж — не сам аванс (сверено с выпиской банка)",OR(COUNTIFS($C$5:$C$504,"Зачёт аванса по договору",$E$5:$E$504,E319)&gt;0,ROUND(E319-$M$6,2)=0)),"БЛОК: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19" s="185" t="str">
        <x:f>IF(AND(B319="",C319="",E319=""),"",SUM($G$5:G319))</x:f>
        <x:v/>
      </x:c>
      <x:c r="K319" s="178"/>
      <x:c r="L319" s="46"/>
      <x:c r="M319" s="46"/>
    </x:row>
    <x:row r="320" ht="29" customHeight="1">
      <x:c r="A320" s="199">
        <x:v>316</x:v>
      </x:c>
      <x:c r="B320" s="162"/>
      <x:c r="C320" s="163"/>
      <x:c r="D320" s="163"/>
      <x:c r="E320" s="164"/>
      <x:c r="F320" s="163"/>
      <x:c r="G320" s="185">
        <x:f t="shared" si="8"/>
        <x:v>0</x:v>
      </x:c>
      <x:c r="H320" s="185">
        <x:f t="shared" si="9"/>
        <x:v>0</x:v>
      </x:c>
      <x:c r="I320" s="186">
        <x:f>IF(AND(B320="",C320="",D320="",E320="",F320=""),"",IF(OR(B320="",C320="",E320=""),"БЛОК: нужны дата, тип операции и сумма",IF(N(E320)&lt;=0,"БЛОК: сумма должна быть больше нуля",IF(AND(H320&lt;&gt;0,F320=""),"БЛОК: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отделить",IF(AND(G320&lt;&gt;0,F320=""),"БЛОК: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нельзя",IF(AND(F320&lt;&gt;"",COUNTIF('Долг по актам'!$B$5:$B$34,F320)=0),"БЛОК: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договору")&gt;0)*($C$5:$C$504&lt;&gt;C320)*($E$5:$E$504=E320)*(($D$5:$D$504=D320)*(D320&lt;&gt;"")+($B$5:$B$504=B320)*(B320&lt;&gt;"")&gt;0))&gt;0,"БЛОК: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операцию",IF(AND(C320="Оплата",K320&lt;&gt;"Отдельный платёж — не сам аванс (сверено с выпиской банка)",OR(COUNTIFS($C$5:$C$504,"Зачёт аванса по договору",$E$5:$E$504,E320)&gt;0,ROUND(E320-$M$6,2)=0)),"БЛОК: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0" s="185" t="str">
        <x:f>IF(AND(B320="",C320="",E320=""),"",SUM($G$5:G320))</x:f>
        <x:v/>
      </x:c>
      <x:c r="K320" s="178"/>
      <x:c r="L320" s="46"/>
      <x:c r="M320" s="46"/>
    </x:row>
    <x:row r="321" ht="29" customHeight="1">
      <x:c r="A321" s="199">
        <x:v>317</x:v>
      </x:c>
      <x:c r="B321" s="162"/>
      <x:c r="C321" s="163"/>
      <x:c r="D321" s="163"/>
      <x:c r="E321" s="164"/>
      <x:c r="F321" s="163"/>
      <x:c r="G321" s="185">
        <x:f t="shared" si="8"/>
        <x:v>0</x:v>
      </x:c>
      <x:c r="H321" s="185">
        <x:f t="shared" si="9"/>
        <x:v>0</x:v>
      </x:c>
      <x:c r="I321" s="186">
        <x:f>IF(AND(B321="",C321="",D321="",E321="",F321=""),"",IF(OR(B321="",C321="",E321=""),"БЛОК: нужны дата, тип операции и сумма",IF(N(E321)&lt;=0,"БЛОК: сумма должна быть больше нуля",IF(AND(H321&lt;&gt;0,F321=""),"БЛОК: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отделить",IF(AND(G321&lt;&gt;0,F321=""),"БЛОК: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нельзя",IF(AND(F321&lt;&gt;"",COUNTIF('Долг по актам'!$B$5:$B$34,F321)=0),"БЛОК: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договору")&gt;0)*($C$5:$C$504&lt;&gt;C321)*($E$5:$E$504=E321)*(($D$5:$D$504=D321)*(D321&lt;&gt;"")+($B$5:$B$504=B321)*(B321&lt;&gt;"")&gt;0))&gt;0,"БЛОК: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операцию",IF(AND(C321="Оплата",K321&lt;&gt;"Отдельный платёж — не сам аванс (сверено с выпиской банка)",OR(COUNTIFS($C$5:$C$504,"Зачёт аванса по договору",$E$5:$E$504,E321)&gt;0,ROUND(E321-$M$6,2)=0)),"БЛОК: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1" s="185" t="str">
        <x:f>IF(AND(B321="",C321="",E321=""),"",SUM($G$5:G321))</x:f>
        <x:v/>
      </x:c>
      <x:c r="K321" s="178"/>
      <x:c r="L321" s="46"/>
      <x:c r="M321" s="46"/>
    </x:row>
    <x:row r="322" ht="29" customHeight="1">
      <x:c r="A322" s="199">
        <x:v>318</x:v>
      </x:c>
      <x:c r="B322" s="162"/>
      <x:c r="C322" s="163"/>
      <x:c r="D322" s="163"/>
      <x:c r="E322" s="164"/>
      <x:c r="F322" s="163"/>
      <x:c r="G322" s="185">
        <x:f t="shared" si="8"/>
        <x:v>0</x:v>
      </x:c>
      <x:c r="H322" s="185">
        <x:f t="shared" si="9"/>
        <x:v>0</x:v>
      </x:c>
      <x:c r="I322" s="186">
        <x:f>IF(AND(B322="",C322="",D322="",E322="",F322=""),"",IF(OR(B322="",C322="",E322=""),"БЛОК: нужны дата, тип операции и сумма",IF(N(E322)&lt;=0,"БЛОК: сумма должна быть больше нуля",IF(AND(H322&lt;&gt;0,F322=""),"БЛОК: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отделить",IF(AND(G322&lt;&gt;0,F322=""),"БЛОК: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нельзя",IF(AND(F322&lt;&gt;"",COUNTIF('Долг по актам'!$B$5:$B$34,F322)=0),"БЛОК: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договору")&gt;0)*($C$5:$C$504&lt;&gt;C322)*($E$5:$E$504=E322)*(($D$5:$D$504=D322)*(D322&lt;&gt;"")+($B$5:$B$504=B322)*(B322&lt;&gt;"")&gt;0))&gt;0,"БЛОК: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операцию",IF(AND(C322="Оплата",K322&lt;&gt;"Отдельный платёж — не сам аванс (сверено с выпиской банка)",OR(COUNTIFS($C$5:$C$504,"Зачёт аванса по договору",$E$5:$E$504,E322)&gt;0,ROUND(E322-$M$6,2)=0)),"БЛОК: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2" s="185" t="str">
        <x:f>IF(AND(B322="",C322="",E322=""),"",SUM($G$5:G322))</x:f>
        <x:v/>
      </x:c>
      <x:c r="K322" s="178"/>
      <x:c r="L322" s="46"/>
      <x:c r="M322" s="46"/>
    </x:row>
    <x:row r="323" ht="29" customHeight="1">
      <x:c r="A323" s="199">
        <x:v>319</x:v>
      </x:c>
      <x:c r="B323" s="162"/>
      <x:c r="C323" s="163"/>
      <x:c r="D323" s="163"/>
      <x:c r="E323" s="164"/>
      <x:c r="F323" s="163"/>
      <x:c r="G323" s="185">
        <x:f t="shared" si="8"/>
        <x:v>0</x:v>
      </x:c>
      <x:c r="H323" s="185">
        <x:f t="shared" si="9"/>
        <x:v>0</x:v>
      </x:c>
      <x:c r="I323" s="186">
        <x:f>IF(AND(B323="",C323="",D323="",E323="",F323=""),"",IF(OR(B323="",C323="",E323=""),"БЛОК: нужны дата, тип операции и сумма",IF(N(E323)&lt;=0,"БЛОК: сумма должна быть больше нуля",IF(AND(H323&lt;&gt;0,F323=""),"БЛОК: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отделить",IF(AND(G323&lt;&gt;0,F323=""),"БЛОК: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нельзя",IF(AND(F323&lt;&gt;"",COUNTIF('Долг по актам'!$B$5:$B$34,F323)=0),"БЛОК: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договору")&gt;0)*($C$5:$C$504&lt;&gt;C323)*($E$5:$E$504=E323)*(($D$5:$D$504=D323)*(D323&lt;&gt;"")+($B$5:$B$504=B323)*(B323&lt;&gt;"")&gt;0))&gt;0,"БЛОК: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операцию",IF(AND(C323="Оплата",K323&lt;&gt;"Отдельный платёж — не сам аванс (сверено с выпиской банка)",OR(COUNTIFS($C$5:$C$504,"Зачёт аванса по договору",$E$5:$E$504,E323)&gt;0,ROUND(E323-$M$6,2)=0)),"БЛОК: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3" s="185" t="str">
        <x:f>IF(AND(B323="",C323="",E323=""),"",SUM($G$5:G323))</x:f>
        <x:v/>
      </x:c>
      <x:c r="K323" s="178"/>
      <x:c r="L323" s="46"/>
      <x:c r="M323" s="46"/>
    </x:row>
    <x:row r="324" ht="29" customHeight="1">
      <x:c r="A324" s="199">
        <x:v>320</x:v>
      </x:c>
      <x:c r="B324" s="162"/>
      <x:c r="C324" s="163"/>
      <x:c r="D324" s="163"/>
      <x:c r="E324" s="164"/>
      <x:c r="F324" s="163"/>
      <x:c r="G324" s="185">
        <x:f t="shared" si="8"/>
        <x:v>0</x:v>
      </x:c>
      <x:c r="H324" s="185">
        <x:f t="shared" si="9"/>
        <x:v>0</x:v>
      </x:c>
      <x:c r="I324" s="186">
        <x:f>IF(AND(B324="",C324="",D324="",E324="",F324=""),"",IF(OR(B324="",C324="",E324=""),"БЛОК: нужны дата, тип операции и сумма",IF(N(E324)&lt;=0,"БЛОК: сумма должна быть больше нуля",IF(AND(H324&lt;&gt;0,F324=""),"БЛОК: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отделить",IF(AND(G324&lt;&gt;0,F324=""),"БЛОК: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нельзя",IF(AND(F324&lt;&gt;"",COUNTIF('Долг по актам'!$B$5:$B$34,F324)=0),"БЛОК: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договору")&gt;0)*($C$5:$C$504&lt;&gt;C324)*($E$5:$E$504=E324)*(($D$5:$D$504=D324)*(D324&lt;&gt;"")+($B$5:$B$504=B324)*(B324&lt;&gt;"")&gt;0))&gt;0,"БЛОК: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операцию",IF(AND(C324="Оплата",K324&lt;&gt;"Отдельный платёж — не сам аванс (сверено с выпиской банка)",OR(COUNTIFS($C$5:$C$504,"Зачёт аванса по договору",$E$5:$E$504,E324)&gt;0,ROUND(E324-$M$6,2)=0)),"БЛОК: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4" s="185" t="str">
        <x:f>IF(AND(B324="",C324="",E324=""),"",SUM($G$5:G324))</x:f>
        <x:v/>
      </x:c>
      <x:c r="K324" s="178"/>
      <x:c r="L324" s="46"/>
      <x:c r="M324" s="46"/>
    </x:row>
    <x:row r="325" ht="29" customHeight="1">
      <x:c r="A325" s="199">
        <x:v>321</x:v>
      </x:c>
      <x:c r="B325" s="162"/>
      <x:c r="C325" s="163"/>
      <x:c r="D325" s="163"/>
      <x:c r="E325" s="164"/>
      <x:c r="F325" s="163"/>
      <x:c r="G325" s="185">
        <x:f t="shared" ref="G325:G388" si="10">IF(OR(C325="",E325=""),0,IF(C325="Начисление по акту",E325,IF(OR(C325="Оплата",C325="Зачёт аванса по договору"),-E325,IF(C325="Корректировка (подписана обеими сторонами)",E325,0))))</x:f>
        <x:v>0</x:v>
      </x:c>
      <x:c r="H325" s="185">
        <x:f t="shared" ref="H325:H388" si="11">IF(OR(C325="Удержание",C325="Зачёт встречного требования",C325="Неустойка заявлена",C325="Допработы без соглашения (спорно)"),N(E325),0)</x:f>
        <x:v>0</x:v>
      </x:c>
      <x:c r="I325" s="186">
        <x:f>IF(AND(B325="",C325="",D325="",E325="",F325=""),"",IF(OR(B325="",C325="",E325=""),"БЛОК: нужны дата, тип операции и сумма",IF(N(E325)&lt;=0,"БЛОК: сумма должна быть больше нуля",IF(AND(H325&lt;&gt;0,F325=""),"БЛОК: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отделить",IF(AND(G325&lt;&gt;0,F325=""),"БЛОК: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нельзя",IF(AND(F325&lt;&gt;"",COUNTIF('Долг по актам'!$B$5:$B$34,F325)=0),"БЛОК: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договору")&gt;0)*($C$5:$C$504&lt;&gt;C325)*($E$5:$E$504=E325)*(($D$5:$D$504=D325)*(D325&lt;&gt;"")+($B$5:$B$504=B325)*(B325&lt;&gt;"")&gt;0))&gt;0,"БЛОК: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операцию",IF(AND(C325="Оплата",K325&lt;&gt;"Отдельный платёж — не сам аванс (сверено с выпиской банка)",OR(COUNTIFS($C$5:$C$504,"Зачёт аванса по договору",$E$5:$E$504,E325)&gt;0,ROUND(E325-$M$6,2)=0)),"БЛОК: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5" s="185" t="str">
        <x:f>IF(AND(B325="",C325="",E325=""),"",SUM($G$5:G325))</x:f>
        <x:v/>
      </x:c>
      <x:c r="K325" s="178"/>
      <x:c r="L325" s="46"/>
      <x:c r="M325" s="46"/>
    </x:row>
    <x:row r="326" ht="29" customHeight="1">
      <x:c r="A326" s="199">
        <x:v>322</x:v>
      </x:c>
      <x:c r="B326" s="162"/>
      <x:c r="C326" s="163"/>
      <x:c r="D326" s="163"/>
      <x:c r="E326" s="164"/>
      <x:c r="F326" s="163"/>
      <x:c r="G326" s="185">
        <x:f t="shared" si="10"/>
        <x:v>0</x:v>
      </x:c>
      <x:c r="H326" s="185">
        <x:f t="shared" si="11"/>
        <x:v>0</x:v>
      </x:c>
      <x:c r="I326" s="186">
        <x:f>IF(AND(B326="",C326="",D326="",E326="",F326=""),"",IF(OR(B326="",C326="",E326=""),"БЛОК: нужны дата, тип операции и сумма",IF(N(E326)&lt;=0,"БЛОК: сумма должна быть больше нуля",IF(AND(H326&lt;&gt;0,F326=""),"БЛОК: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отделить",IF(AND(G326&lt;&gt;0,F326=""),"БЛОК: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нельзя",IF(AND(F326&lt;&gt;"",COUNTIF('Долг по актам'!$B$5:$B$34,F326)=0),"БЛОК: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договору")&gt;0)*($C$5:$C$504&lt;&gt;C326)*($E$5:$E$504=E326)*(($D$5:$D$504=D326)*(D326&lt;&gt;"")+($B$5:$B$504=B326)*(B326&lt;&gt;"")&gt;0))&gt;0,"БЛОК: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операцию",IF(AND(C326="Оплата",K326&lt;&gt;"Отдельный платёж — не сам аванс (сверено с выпиской банка)",OR(COUNTIFS($C$5:$C$504,"Зачёт аванса по договору",$E$5:$E$504,E326)&gt;0,ROUND(E326-$M$6,2)=0)),"БЛОК: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6" s="185" t="str">
        <x:f>IF(AND(B326="",C326="",E326=""),"",SUM($G$5:G326))</x:f>
        <x:v/>
      </x:c>
      <x:c r="K326" s="178"/>
      <x:c r="L326" s="46"/>
      <x:c r="M326" s="46"/>
    </x:row>
    <x:row r="327" ht="29" customHeight="1">
      <x:c r="A327" s="199">
        <x:v>323</x:v>
      </x:c>
      <x:c r="B327" s="162"/>
      <x:c r="C327" s="163"/>
      <x:c r="D327" s="163"/>
      <x:c r="E327" s="164"/>
      <x:c r="F327" s="163"/>
      <x:c r="G327" s="185">
        <x:f t="shared" si="10"/>
        <x:v>0</x:v>
      </x:c>
      <x:c r="H327" s="185">
        <x:f t="shared" si="11"/>
        <x:v>0</x:v>
      </x:c>
      <x:c r="I327" s="186">
        <x:f>IF(AND(B327="",C327="",D327="",E327="",F327=""),"",IF(OR(B327="",C327="",E327=""),"БЛОК: нужны дата, тип операции и сумма",IF(N(E327)&lt;=0,"БЛОК: сумма должна быть больше нуля",IF(AND(H327&lt;&gt;0,F327=""),"БЛОК: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отделить",IF(AND(G327&lt;&gt;0,F327=""),"БЛОК: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нельзя",IF(AND(F327&lt;&gt;"",COUNTIF('Долг по актам'!$B$5:$B$34,F327)=0),"БЛОК: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договору")&gt;0)*($C$5:$C$504&lt;&gt;C327)*($E$5:$E$504=E327)*(($D$5:$D$504=D327)*(D327&lt;&gt;"")+($B$5:$B$504=B327)*(B327&lt;&gt;"")&gt;0))&gt;0,"БЛОК: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операцию",IF(AND(C327="Оплата",K327&lt;&gt;"Отдельный платёж — не сам аванс (сверено с выпиской банка)",OR(COUNTIFS($C$5:$C$504,"Зачёт аванса по договору",$E$5:$E$504,E327)&gt;0,ROUND(E327-$M$6,2)=0)),"БЛОК: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7" s="185" t="str">
        <x:f>IF(AND(B327="",C327="",E327=""),"",SUM($G$5:G327))</x:f>
        <x:v/>
      </x:c>
      <x:c r="K327" s="178"/>
      <x:c r="L327" s="46"/>
      <x:c r="M327" s="46"/>
    </x:row>
    <x:row r="328" ht="29" customHeight="1">
      <x:c r="A328" s="199">
        <x:v>324</x:v>
      </x:c>
      <x:c r="B328" s="162"/>
      <x:c r="C328" s="163"/>
      <x:c r="D328" s="163"/>
      <x:c r="E328" s="164"/>
      <x:c r="F328" s="163"/>
      <x:c r="G328" s="185">
        <x:f t="shared" si="10"/>
        <x:v>0</x:v>
      </x:c>
      <x:c r="H328" s="185">
        <x:f t="shared" si="11"/>
        <x:v>0</x:v>
      </x:c>
      <x:c r="I328" s="186">
        <x:f>IF(AND(B328="",C328="",D328="",E328="",F328=""),"",IF(OR(B328="",C328="",E328=""),"БЛОК: нужны дата, тип операции и сумма",IF(N(E328)&lt;=0,"БЛОК: сумма должна быть больше нуля",IF(AND(H328&lt;&gt;0,F328=""),"БЛОК: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отделить",IF(AND(G328&lt;&gt;0,F328=""),"БЛОК: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нельзя",IF(AND(F328&lt;&gt;"",COUNTIF('Долг по актам'!$B$5:$B$34,F328)=0),"БЛОК: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договору")&gt;0)*($C$5:$C$504&lt;&gt;C328)*($E$5:$E$504=E328)*(($D$5:$D$504=D328)*(D328&lt;&gt;"")+($B$5:$B$504=B328)*(B328&lt;&gt;"")&gt;0))&gt;0,"БЛОК: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операцию",IF(AND(C328="Оплата",K328&lt;&gt;"Отдельный платёж — не сам аванс (сверено с выпиской банка)",OR(COUNTIFS($C$5:$C$504,"Зачёт аванса по договору",$E$5:$E$504,E328)&gt;0,ROUND(E328-$M$6,2)=0)),"БЛОК: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8" s="185" t="str">
        <x:f>IF(AND(B328="",C328="",E328=""),"",SUM($G$5:G328))</x:f>
        <x:v/>
      </x:c>
      <x:c r="K328" s="178"/>
      <x:c r="L328" s="46"/>
      <x:c r="M328" s="46"/>
    </x:row>
    <x:row r="329" ht="29" customHeight="1">
      <x:c r="A329" s="199">
        <x:v>325</x:v>
      </x:c>
      <x:c r="B329" s="162"/>
      <x:c r="C329" s="163"/>
      <x:c r="D329" s="163"/>
      <x:c r="E329" s="164"/>
      <x:c r="F329" s="163"/>
      <x:c r="G329" s="185">
        <x:f t="shared" si="10"/>
        <x:v>0</x:v>
      </x:c>
      <x:c r="H329" s="185">
        <x:f t="shared" si="11"/>
        <x:v>0</x:v>
      </x:c>
      <x:c r="I329" s="186">
        <x:f>IF(AND(B329="",C329="",D329="",E329="",F329=""),"",IF(OR(B329="",C329="",E329=""),"БЛОК: нужны дата, тип операции и сумма",IF(N(E329)&lt;=0,"БЛОК: сумма должна быть больше нуля",IF(AND(H329&lt;&gt;0,F329=""),"БЛОК: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отделить",IF(AND(G329&lt;&gt;0,F329=""),"БЛОК: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нельзя",IF(AND(F329&lt;&gt;"",COUNTIF('Долг по актам'!$B$5:$B$34,F329)=0),"БЛОК: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договору")&gt;0)*($C$5:$C$504&lt;&gt;C329)*($E$5:$E$504=E329)*(($D$5:$D$504=D329)*(D329&lt;&gt;"")+($B$5:$B$504=B329)*(B329&lt;&gt;"")&gt;0))&gt;0,"БЛОК: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операцию",IF(AND(C329="Оплата",K329&lt;&gt;"Отдельный платёж — не сам аванс (сверено с выпиской банка)",OR(COUNTIFS($C$5:$C$504,"Зачёт аванса по договору",$E$5:$E$504,E329)&gt;0,ROUND(E329-$M$6,2)=0)),"БЛОК: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29" s="185" t="str">
        <x:f>IF(AND(B329="",C329="",E329=""),"",SUM($G$5:G329))</x:f>
        <x:v/>
      </x:c>
      <x:c r="K329" s="178"/>
      <x:c r="L329" s="46"/>
      <x:c r="M329" s="46"/>
    </x:row>
    <x:row r="330" ht="29" customHeight="1">
      <x:c r="A330" s="199">
        <x:v>326</x:v>
      </x:c>
      <x:c r="B330" s="162"/>
      <x:c r="C330" s="163"/>
      <x:c r="D330" s="163"/>
      <x:c r="E330" s="164"/>
      <x:c r="F330" s="163"/>
      <x:c r="G330" s="185">
        <x:f t="shared" si="10"/>
        <x:v>0</x:v>
      </x:c>
      <x:c r="H330" s="185">
        <x:f t="shared" si="11"/>
        <x:v>0</x:v>
      </x:c>
      <x:c r="I330" s="186">
        <x:f>IF(AND(B330="",C330="",D330="",E330="",F330=""),"",IF(OR(B330="",C330="",E330=""),"БЛОК: нужны дата, тип операции и сумма",IF(N(E330)&lt;=0,"БЛОК: сумма должна быть больше нуля",IF(AND(H330&lt;&gt;0,F330=""),"БЛОК: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отделить",IF(AND(G330&lt;&gt;0,F330=""),"БЛОК: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нельзя",IF(AND(F330&lt;&gt;"",COUNTIF('Долг по актам'!$B$5:$B$34,F330)=0),"БЛОК: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договору")&gt;0)*($C$5:$C$504&lt;&gt;C330)*($E$5:$E$504=E330)*(($D$5:$D$504=D330)*(D330&lt;&gt;"")+($B$5:$B$504=B330)*(B330&lt;&gt;"")&gt;0))&gt;0,"БЛОК: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операцию",IF(AND(C330="Оплата",K330&lt;&gt;"Отдельный платёж — не сам аванс (сверено с выпиской банка)",OR(COUNTIFS($C$5:$C$504,"Зачёт аванса по договору",$E$5:$E$504,E330)&gt;0,ROUND(E330-$M$6,2)=0)),"БЛОК: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0" s="185" t="str">
        <x:f>IF(AND(B330="",C330="",E330=""),"",SUM($G$5:G330))</x:f>
        <x:v/>
      </x:c>
      <x:c r="K330" s="178"/>
      <x:c r="L330" s="46"/>
      <x:c r="M330" s="46"/>
    </x:row>
    <x:row r="331" ht="29" customHeight="1">
      <x:c r="A331" s="199">
        <x:v>327</x:v>
      </x:c>
      <x:c r="B331" s="162"/>
      <x:c r="C331" s="163"/>
      <x:c r="D331" s="163"/>
      <x:c r="E331" s="164"/>
      <x:c r="F331" s="163"/>
      <x:c r="G331" s="185">
        <x:f t="shared" si="10"/>
        <x:v>0</x:v>
      </x:c>
      <x:c r="H331" s="185">
        <x:f t="shared" si="11"/>
        <x:v>0</x:v>
      </x:c>
      <x:c r="I331" s="186">
        <x:f>IF(AND(B331="",C331="",D331="",E331="",F331=""),"",IF(OR(B331="",C331="",E331=""),"БЛОК: нужны дата, тип операции и сумма",IF(N(E331)&lt;=0,"БЛОК: сумма должна быть больше нуля",IF(AND(H331&lt;&gt;0,F331=""),"БЛОК: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отделить",IF(AND(G331&lt;&gt;0,F331=""),"БЛОК: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нельзя",IF(AND(F331&lt;&gt;"",COUNTIF('Долг по актам'!$B$5:$B$34,F331)=0),"БЛОК: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договору")&gt;0)*($C$5:$C$504&lt;&gt;C331)*($E$5:$E$504=E331)*(($D$5:$D$504=D331)*(D331&lt;&gt;"")+($B$5:$B$504=B331)*(B331&lt;&gt;"")&gt;0))&gt;0,"БЛОК: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операцию",IF(AND(C331="Оплата",K331&lt;&gt;"Отдельный платёж — не сам аванс (сверено с выпиской банка)",OR(COUNTIFS($C$5:$C$504,"Зачёт аванса по договору",$E$5:$E$504,E331)&gt;0,ROUND(E331-$M$6,2)=0)),"БЛОК: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1" s="185" t="str">
        <x:f>IF(AND(B331="",C331="",E331=""),"",SUM($G$5:G331))</x:f>
        <x:v/>
      </x:c>
      <x:c r="K331" s="178"/>
      <x:c r="L331" s="46"/>
      <x:c r="M331" s="46"/>
    </x:row>
    <x:row r="332" ht="29" customHeight="1">
      <x:c r="A332" s="199">
        <x:v>328</x:v>
      </x:c>
      <x:c r="B332" s="162"/>
      <x:c r="C332" s="163"/>
      <x:c r="D332" s="163"/>
      <x:c r="E332" s="164"/>
      <x:c r="F332" s="163"/>
      <x:c r="G332" s="185">
        <x:f t="shared" si="10"/>
        <x:v>0</x:v>
      </x:c>
      <x:c r="H332" s="185">
        <x:f t="shared" si="11"/>
        <x:v>0</x:v>
      </x:c>
      <x:c r="I332" s="186">
        <x:f>IF(AND(B332="",C332="",D332="",E332="",F332=""),"",IF(OR(B332="",C332="",E332=""),"БЛОК: нужны дата, тип операции и сумма",IF(N(E332)&lt;=0,"БЛОК: сумма должна быть больше нуля",IF(AND(H332&lt;&gt;0,F332=""),"БЛОК: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отделить",IF(AND(G332&lt;&gt;0,F332=""),"БЛОК: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нельзя",IF(AND(F332&lt;&gt;"",COUNTIF('Долг по актам'!$B$5:$B$34,F332)=0),"БЛОК: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договору")&gt;0)*($C$5:$C$504&lt;&gt;C332)*($E$5:$E$504=E332)*(($D$5:$D$504=D332)*(D332&lt;&gt;"")+($B$5:$B$504=B332)*(B332&lt;&gt;"")&gt;0))&gt;0,"БЛОК: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операцию",IF(AND(C332="Оплата",K332&lt;&gt;"Отдельный платёж — не сам аванс (сверено с выпиской банка)",OR(COUNTIFS($C$5:$C$504,"Зачёт аванса по договору",$E$5:$E$504,E332)&gt;0,ROUND(E332-$M$6,2)=0)),"БЛОК: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2" s="185" t="str">
        <x:f>IF(AND(B332="",C332="",E332=""),"",SUM($G$5:G332))</x:f>
        <x:v/>
      </x:c>
      <x:c r="K332" s="178"/>
      <x:c r="L332" s="46"/>
      <x:c r="M332" s="46"/>
    </x:row>
    <x:row r="333" ht="29" customHeight="1">
      <x:c r="A333" s="199">
        <x:v>329</x:v>
      </x:c>
      <x:c r="B333" s="162"/>
      <x:c r="C333" s="163"/>
      <x:c r="D333" s="163"/>
      <x:c r="E333" s="164"/>
      <x:c r="F333" s="163"/>
      <x:c r="G333" s="185">
        <x:f t="shared" si="10"/>
        <x:v>0</x:v>
      </x:c>
      <x:c r="H333" s="185">
        <x:f t="shared" si="11"/>
        <x:v>0</x:v>
      </x:c>
      <x:c r="I333" s="186">
        <x:f>IF(AND(B333="",C333="",D333="",E333="",F333=""),"",IF(OR(B333="",C333="",E333=""),"БЛОК: нужны дата, тип операции и сумма",IF(N(E333)&lt;=0,"БЛОК: сумма должна быть больше нуля",IF(AND(H333&lt;&gt;0,F333=""),"БЛОК: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отделить",IF(AND(G333&lt;&gt;0,F333=""),"БЛОК: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нельзя",IF(AND(F333&lt;&gt;"",COUNTIF('Долг по актам'!$B$5:$B$34,F333)=0),"БЛОК: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договору")&gt;0)*($C$5:$C$504&lt;&gt;C333)*($E$5:$E$504=E333)*(($D$5:$D$504=D333)*(D333&lt;&gt;"")+($B$5:$B$504=B333)*(B333&lt;&gt;"")&gt;0))&gt;0,"БЛОК: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операцию",IF(AND(C333="Оплата",K333&lt;&gt;"Отдельный платёж — не сам аванс (сверено с выпиской банка)",OR(COUNTIFS($C$5:$C$504,"Зачёт аванса по договору",$E$5:$E$504,E333)&gt;0,ROUND(E333-$M$6,2)=0)),"БЛОК: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3" s="185" t="str">
        <x:f>IF(AND(B333="",C333="",E333=""),"",SUM($G$5:G333))</x:f>
        <x:v/>
      </x:c>
      <x:c r="K333" s="178"/>
      <x:c r="L333" s="46"/>
      <x:c r="M333" s="46"/>
    </x:row>
    <x:row r="334" ht="29" customHeight="1">
      <x:c r="A334" s="199">
        <x:v>330</x:v>
      </x:c>
      <x:c r="B334" s="162"/>
      <x:c r="C334" s="163"/>
      <x:c r="D334" s="163"/>
      <x:c r="E334" s="164"/>
      <x:c r="F334" s="163"/>
      <x:c r="G334" s="185">
        <x:f t="shared" si="10"/>
        <x:v>0</x:v>
      </x:c>
      <x:c r="H334" s="185">
        <x:f t="shared" si="11"/>
        <x:v>0</x:v>
      </x:c>
      <x:c r="I334" s="186">
        <x:f>IF(AND(B334="",C334="",D334="",E334="",F334=""),"",IF(OR(B334="",C334="",E334=""),"БЛОК: нужны дата, тип операции и сумма",IF(N(E334)&lt;=0,"БЛОК: сумма должна быть больше нуля",IF(AND(H334&lt;&gt;0,F334=""),"БЛОК: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отделить",IF(AND(G334&lt;&gt;0,F334=""),"БЛОК: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нельзя",IF(AND(F334&lt;&gt;"",COUNTIF('Долг по актам'!$B$5:$B$34,F334)=0),"БЛОК: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договору")&gt;0)*($C$5:$C$504&lt;&gt;C334)*($E$5:$E$504=E334)*(($D$5:$D$504=D334)*(D334&lt;&gt;"")+($B$5:$B$504=B334)*(B334&lt;&gt;"")&gt;0))&gt;0,"БЛОК: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операцию",IF(AND(C334="Оплата",K334&lt;&gt;"Отдельный платёж — не сам аванс (сверено с выпиской банка)",OR(COUNTIFS($C$5:$C$504,"Зачёт аванса по договору",$E$5:$E$504,E334)&gt;0,ROUND(E334-$M$6,2)=0)),"БЛОК: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4" s="185" t="str">
        <x:f>IF(AND(B334="",C334="",E334=""),"",SUM($G$5:G334))</x:f>
        <x:v/>
      </x:c>
      <x:c r="K334" s="178"/>
      <x:c r="L334" s="46"/>
      <x:c r="M334" s="46"/>
    </x:row>
    <x:row r="335" ht="29" customHeight="1">
      <x:c r="A335" s="199">
        <x:v>331</x:v>
      </x:c>
      <x:c r="B335" s="162"/>
      <x:c r="C335" s="163"/>
      <x:c r="D335" s="163"/>
      <x:c r="E335" s="164"/>
      <x:c r="F335" s="163"/>
      <x:c r="G335" s="185">
        <x:f t="shared" si="10"/>
        <x:v>0</x:v>
      </x:c>
      <x:c r="H335" s="185">
        <x:f t="shared" si="11"/>
        <x:v>0</x:v>
      </x:c>
      <x:c r="I335" s="186">
        <x:f>IF(AND(B335="",C335="",D335="",E335="",F335=""),"",IF(OR(B335="",C335="",E335=""),"БЛОК: нужны дата, тип операции и сумма",IF(N(E335)&lt;=0,"БЛОК: сумма должна быть больше нуля",IF(AND(H335&lt;&gt;0,F335=""),"БЛОК: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отделить",IF(AND(G335&lt;&gt;0,F335=""),"БЛОК: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нельзя",IF(AND(F335&lt;&gt;"",COUNTIF('Долг по актам'!$B$5:$B$34,F335)=0),"БЛОК: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договору")&gt;0)*($C$5:$C$504&lt;&gt;C335)*($E$5:$E$504=E335)*(($D$5:$D$504=D335)*(D335&lt;&gt;"")+($B$5:$B$504=B335)*(B335&lt;&gt;"")&gt;0))&gt;0,"БЛОК: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операцию",IF(AND(C335="Оплата",K335&lt;&gt;"Отдельный платёж — не сам аванс (сверено с выпиской банка)",OR(COUNTIFS($C$5:$C$504,"Зачёт аванса по договору",$E$5:$E$504,E335)&gt;0,ROUND(E335-$M$6,2)=0)),"БЛОК: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5" s="185" t="str">
        <x:f>IF(AND(B335="",C335="",E335=""),"",SUM($G$5:G335))</x:f>
        <x:v/>
      </x:c>
      <x:c r="K335" s="178"/>
      <x:c r="L335" s="46"/>
      <x:c r="M335" s="46"/>
    </x:row>
    <x:row r="336" ht="29" customHeight="1">
      <x:c r="A336" s="199">
        <x:v>332</x:v>
      </x:c>
      <x:c r="B336" s="162"/>
      <x:c r="C336" s="163"/>
      <x:c r="D336" s="163"/>
      <x:c r="E336" s="164"/>
      <x:c r="F336" s="163"/>
      <x:c r="G336" s="185">
        <x:f t="shared" si="10"/>
        <x:v>0</x:v>
      </x:c>
      <x:c r="H336" s="185">
        <x:f t="shared" si="11"/>
        <x:v>0</x:v>
      </x:c>
      <x:c r="I336" s="186">
        <x:f>IF(AND(B336="",C336="",D336="",E336="",F336=""),"",IF(OR(B336="",C336="",E336=""),"БЛОК: нужны дата, тип операции и сумма",IF(N(E336)&lt;=0,"БЛОК: сумма должна быть больше нуля",IF(AND(H336&lt;&gt;0,F336=""),"БЛОК: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отделить",IF(AND(G336&lt;&gt;0,F336=""),"БЛОК: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нельзя",IF(AND(F336&lt;&gt;"",COUNTIF('Долг по актам'!$B$5:$B$34,F336)=0),"БЛОК: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договору")&gt;0)*($C$5:$C$504&lt;&gt;C336)*($E$5:$E$504=E336)*(($D$5:$D$504=D336)*(D336&lt;&gt;"")+($B$5:$B$504=B336)*(B336&lt;&gt;"")&gt;0))&gt;0,"БЛОК: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операцию",IF(AND(C336="Оплата",K336&lt;&gt;"Отдельный платёж — не сам аванс (сверено с выпиской банка)",OR(COUNTIFS($C$5:$C$504,"Зачёт аванса по договору",$E$5:$E$504,E336)&gt;0,ROUND(E336-$M$6,2)=0)),"БЛОК: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6" s="185" t="str">
        <x:f>IF(AND(B336="",C336="",E336=""),"",SUM($G$5:G336))</x:f>
        <x:v/>
      </x:c>
      <x:c r="K336" s="178"/>
      <x:c r="L336" s="46"/>
      <x:c r="M336" s="46"/>
    </x:row>
    <x:row r="337" ht="29" customHeight="1">
      <x:c r="A337" s="199">
        <x:v>333</x:v>
      </x:c>
      <x:c r="B337" s="162"/>
      <x:c r="C337" s="163"/>
      <x:c r="D337" s="163"/>
      <x:c r="E337" s="164"/>
      <x:c r="F337" s="163"/>
      <x:c r="G337" s="185">
        <x:f t="shared" si="10"/>
        <x:v>0</x:v>
      </x:c>
      <x:c r="H337" s="185">
        <x:f t="shared" si="11"/>
        <x:v>0</x:v>
      </x:c>
      <x:c r="I337" s="186">
        <x:f>IF(AND(B337="",C337="",D337="",E337="",F337=""),"",IF(OR(B337="",C337="",E337=""),"БЛОК: нужны дата, тип операции и сумма",IF(N(E337)&lt;=0,"БЛОК: сумма должна быть больше нуля",IF(AND(H337&lt;&gt;0,F337=""),"БЛОК: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отделить",IF(AND(G337&lt;&gt;0,F337=""),"БЛОК: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нельзя",IF(AND(F337&lt;&gt;"",COUNTIF('Долг по актам'!$B$5:$B$34,F337)=0),"БЛОК: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договору")&gt;0)*($C$5:$C$504&lt;&gt;C337)*($E$5:$E$504=E337)*(($D$5:$D$504=D337)*(D337&lt;&gt;"")+($B$5:$B$504=B337)*(B337&lt;&gt;"")&gt;0))&gt;0,"БЛОК: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операцию",IF(AND(C337="Оплата",K337&lt;&gt;"Отдельный платёж — не сам аванс (сверено с выпиской банка)",OR(COUNTIFS($C$5:$C$504,"Зачёт аванса по договору",$E$5:$E$504,E337)&gt;0,ROUND(E337-$M$6,2)=0)),"БЛОК: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7" s="185" t="str">
        <x:f>IF(AND(B337="",C337="",E337=""),"",SUM($G$5:G337))</x:f>
        <x:v/>
      </x:c>
      <x:c r="K337" s="178"/>
      <x:c r="L337" s="46"/>
      <x:c r="M337" s="46"/>
    </x:row>
    <x:row r="338" ht="29" customHeight="1">
      <x:c r="A338" s="199">
        <x:v>334</x:v>
      </x:c>
      <x:c r="B338" s="162"/>
      <x:c r="C338" s="163"/>
      <x:c r="D338" s="163"/>
      <x:c r="E338" s="164"/>
      <x:c r="F338" s="163"/>
      <x:c r="G338" s="185">
        <x:f t="shared" si="10"/>
        <x:v>0</x:v>
      </x:c>
      <x:c r="H338" s="185">
        <x:f t="shared" si="11"/>
        <x:v>0</x:v>
      </x:c>
      <x:c r="I338" s="186">
        <x:f>IF(AND(B338="",C338="",D338="",E338="",F338=""),"",IF(OR(B338="",C338="",E338=""),"БЛОК: нужны дата, тип операции и сумма",IF(N(E338)&lt;=0,"БЛОК: сумма должна быть больше нуля",IF(AND(H338&lt;&gt;0,F338=""),"БЛОК: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отделить",IF(AND(G338&lt;&gt;0,F338=""),"БЛОК: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нельзя",IF(AND(F338&lt;&gt;"",COUNTIF('Долг по актам'!$B$5:$B$34,F338)=0),"БЛОК: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договору")&gt;0)*($C$5:$C$504&lt;&gt;C338)*($E$5:$E$504=E338)*(($D$5:$D$504=D338)*(D338&lt;&gt;"")+($B$5:$B$504=B338)*(B338&lt;&gt;"")&gt;0))&gt;0,"БЛОК: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операцию",IF(AND(C338="Оплата",K338&lt;&gt;"Отдельный платёж — не сам аванс (сверено с выпиской банка)",OR(COUNTIFS($C$5:$C$504,"Зачёт аванса по договору",$E$5:$E$504,E338)&gt;0,ROUND(E338-$M$6,2)=0)),"БЛОК: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8" s="185" t="str">
        <x:f>IF(AND(B338="",C338="",E338=""),"",SUM($G$5:G338))</x:f>
        <x:v/>
      </x:c>
      <x:c r="K338" s="178"/>
      <x:c r="L338" s="46"/>
      <x:c r="M338" s="46"/>
    </x:row>
    <x:row r="339" ht="29" customHeight="1">
      <x:c r="A339" s="199">
        <x:v>335</x:v>
      </x:c>
      <x:c r="B339" s="162"/>
      <x:c r="C339" s="163"/>
      <x:c r="D339" s="163"/>
      <x:c r="E339" s="164"/>
      <x:c r="F339" s="163"/>
      <x:c r="G339" s="185">
        <x:f t="shared" si="10"/>
        <x:v>0</x:v>
      </x:c>
      <x:c r="H339" s="185">
        <x:f t="shared" si="11"/>
        <x:v>0</x:v>
      </x:c>
      <x:c r="I339" s="186">
        <x:f>IF(AND(B339="",C339="",D339="",E339="",F339=""),"",IF(OR(B339="",C339="",E339=""),"БЛОК: нужны дата, тип операции и сумма",IF(N(E339)&lt;=0,"БЛОК: сумма должна быть больше нуля",IF(AND(H339&lt;&gt;0,F339=""),"БЛОК: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отделить",IF(AND(G339&lt;&gt;0,F339=""),"БЛОК: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нельзя",IF(AND(F339&lt;&gt;"",COUNTIF('Долг по актам'!$B$5:$B$34,F339)=0),"БЛОК: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договору")&gt;0)*($C$5:$C$504&lt;&gt;C339)*($E$5:$E$504=E339)*(($D$5:$D$504=D339)*(D339&lt;&gt;"")+($B$5:$B$504=B339)*(B339&lt;&gt;"")&gt;0))&gt;0,"БЛОК: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операцию",IF(AND(C339="Оплата",K339&lt;&gt;"Отдельный платёж — не сам аванс (сверено с выпиской банка)",OR(COUNTIFS($C$5:$C$504,"Зачёт аванса по договору",$E$5:$E$504,E339)&gt;0,ROUND(E339-$M$6,2)=0)),"БЛОК: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39" s="185" t="str">
        <x:f>IF(AND(B339="",C339="",E339=""),"",SUM($G$5:G339))</x:f>
        <x:v/>
      </x:c>
      <x:c r="K339" s="178"/>
      <x:c r="L339" s="46"/>
      <x:c r="M339" s="46"/>
    </x:row>
    <x:row r="340" ht="29" customHeight="1">
      <x:c r="A340" s="199">
        <x:v>336</x:v>
      </x:c>
      <x:c r="B340" s="162"/>
      <x:c r="C340" s="163"/>
      <x:c r="D340" s="163"/>
      <x:c r="E340" s="164"/>
      <x:c r="F340" s="163"/>
      <x:c r="G340" s="185">
        <x:f t="shared" si="10"/>
        <x:v>0</x:v>
      </x:c>
      <x:c r="H340" s="185">
        <x:f t="shared" si="11"/>
        <x:v>0</x:v>
      </x:c>
      <x:c r="I340" s="186">
        <x:f>IF(AND(B340="",C340="",D340="",E340="",F340=""),"",IF(OR(B340="",C340="",E340=""),"БЛОК: нужны дата, тип операции и сумма",IF(N(E340)&lt;=0,"БЛОК: сумма должна быть больше нуля",IF(AND(H340&lt;&gt;0,F340=""),"БЛОК: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отделить",IF(AND(G340&lt;&gt;0,F340=""),"БЛОК: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нельзя",IF(AND(F340&lt;&gt;"",COUNTIF('Долг по актам'!$B$5:$B$34,F340)=0),"БЛОК: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договору")&gt;0)*($C$5:$C$504&lt;&gt;C340)*($E$5:$E$504=E340)*(($D$5:$D$504=D340)*(D340&lt;&gt;"")+($B$5:$B$504=B340)*(B340&lt;&gt;"")&gt;0))&gt;0,"БЛОК: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операцию",IF(AND(C340="Оплата",K340&lt;&gt;"Отдельный платёж — не сам аванс (сверено с выпиской банка)",OR(COUNTIFS($C$5:$C$504,"Зачёт аванса по договору",$E$5:$E$504,E340)&gt;0,ROUND(E340-$M$6,2)=0)),"БЛОК: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0" s="185" t="str">
        <x:f>IF(AND(B340="",C340="",E340=""),"",SUM($G$5:G340))</x:f>
        <x:v/>
      </x:c>
      <x:c r="K340" s="178"/>
      <x:c r="L340" s="46"/>
      <x:c r="M340" s="46"/>
    </x:row>
    <x:row r="341" ht="29" customHeight="1">
      <x:c r="A341" s="199">
        <x:v>337</x:v>
      </x:c>
      <x:c r="B341" s="162"/>
      <x:c r="C341" s="163"/>
      <x:c r="D341" s="163"/>
      <x:c r="E341" s="164"/>
      <x:c r="F341" s="163"/>
      <x:c r="G341" s="185">
        <x:f t="shared" si="10"/>
        <x:v>0</x:v>
      </x:c>
      <x:c r="H341" s="185">
        <x:f t="shared" si="11"/>
        <x:v>0</x:v>
      </x:c>
      <x:c r="I341" s="186">
        <x:f>IF(AND(B341="",C341="",D341="",E341="",F341=""),"",IF(OR(B341="",C341="",E341=""),"БЛОК: нужны дата, тип операции и сумма",IF(N(E341)&lt;=0,"БЛОК: сумма должна быть больше нуля",IF(AND(H341&lt;&gt;0,F341=""),"БЛОК: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отделить",IF(AND(G341&lt;&gt;0,F341=""),"БЛОК: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нельзя",IF(AND(F341&lt;&gt;"",COUNTIF('Долг по актам'!$B$5:$B$34,F341)=0),"БЛОК: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договору")&gt;0)*($C$5:$C$504&lt;&gt;C341)*($E$5:$E$504=E341)*(($D$5:$D$504=D341)*(D341&lt;&gt;"")+($B$5:$B$504=B341)*(B341&lt;&gt;"")&gt;0))&gt;0,"БЛОК: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операцию",IF(AND(C341="Оплата",K341&lt;&gt;"Отдельный платёж — не сам аванс (сверено с выпиской банка)",OR(COUNTIFS($C$5:$C$504,"Зачёт аванса по договору",$E$5:$E$504,E341)&gt;0,ROUND(E341-$M$6,2)=0)),"БЛОК: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1" s="185" t="str">
        <x:f>IF(AND(B341="",C341="",E341=""),"",SUM($G$5:G341))</x:f>
        <x:v/>
      </x:c>
      <x:c r="K341" s="178"/>
      <x:c r="L341" s="46"/>
      <x:c r="M341" s="46"/>
    </x:row>
    <x:row r="342" ht="29" customHeight="1">
      <x:c r="A342" s="199">
        <x:v>338</x:v>
      </x:c>
      <x:c r="B342" s="162"/>
      <x:c r="C342" s="163"/>
      <x:c r="D342" s="163"/>
      <x:c r="E342" s="164"/>
      <x:c r="F342" s="163"/>
      <x:c r="G342" s="185">
        <x:f t="shared" si="10"/>
        <x:v>0</x:v>
      </x:c>
      <x:c r="H342" s="185">
        <x:f t="shared" si="11"/>
        <x:v>0</x:v>
      </x:c>
      <x:c r="I342" s="186">
        <x:f>IF(AND(B342="",C342="",D342="",E342="",F342=""),"",IF(OR(B342="",C342="",E342=""),"БЛОК: нужны дата, тип операции и сумма",IF(N(E342)&lt;=0,"БЛОК: сумма должна быть больше нуля",IF(AND(H342&lt;&gt;0,F342=""),"БЛОК: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отделить",IF(AND(G342&lt;&gt;0,F342=""),"БЛОК: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нельзя",IF(AND(F342&lt;&gt;"",COUNTIF('Долг по актам'!$B$5:$B$34,F342)=0),"БЛОК: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договору")&gt;0)*($C$5:$C$504&lt;&gt;C342)*($E$5:$E$504=E342)*(($D$5:$D$504=D342)*(D342&lt;&gt;"")+($B$5:$B$504=B342)*(B342&lt;&gt;"")&gt;0))&gt;0,"БЛОК: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операцию",IF(AND(C342="Оплата",K342&lt;&gt;"Отдельный платёж — не сам аванс (сверено с выпиской банка)",OR(COUNTIFS($C$5:$C$504,"Зачёт аванса по договору",$E$5:$E$504,E342)&gt;0,ROUND(E342-$M$6,2)=0)),"БЛОК: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2" s="185" t="str">
        <x:f>IF(AND(B342="",C342="",E342=""),"",SUM($G$5:G342))</x:f>
        <x:v/>
      </x:c>
      <x:c r="K342" s="178"/>
      <x:c r="L342" s="46"/>
      <x:c r="M342" s="46"/>
    </x:row>
    <x:row r="343" ht="29" customHeight="1">
      <x:c r="A343" s="199">
        <x:v>339</x:v>
      </x:c>
      <x:c r="B343" s="162"/>
      <x:c r="C343" s="163"/>
      <x:c r="D343" s="163"/>
      <x:c r="E343" s="164"/>
      <x:c r="F343" s="163"/>
      <x:c r="G343" s="185">
        <x:f t="shared" si="10"/>
        <x:v>0</x:v>
      </x:c>
      <x:c r="H343" s="185">
        <x:f t="shared" si="11"/>
        <x:v>0</x:v>
      </x:c>
      <x:c r="I343" s="186">
        <x:f>IF(AND(B343="",C343="",D343="",E343="",F343=""),"",IF(OR(B343="",C343="",E343=""),"БЛОК: нужны дата, тип операции и сумма",IF(N(E343)&lt;=0,"БЛОК: сумма должна быть больше нуля",IF(AND(H343&lt;&gt;0,F343=""),"БЛОК: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отделить",IF(AND(G343&lt;&gt;0,F343=""),"БЛОК: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нельзя",IF(AND(F343&lt;&gt;"",COUNTIF('Долг по актам'!$B$5:$B$34,F343)=0),"БЛОК: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договору")&gt;0)*($C$5:$C$504&lt;&gt;C343)*($E$5:$E$504=E343)*(($D$5:$D$504=D343)*(D343&lt;&gt;"")+($B$5:$B$504=B343)*(B343&lt;&gt;"")&gt;0))&gt;0,"БЛОК: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операцию",IF(AND(C343="Оплата",K343&lt;&gt;"Отдельный платёж — не сам аванс (сверено с выпиской банка)",OR(COUNTIFS($C$5:$C$504,"Зачёт аванса по договору",$E$5:$E$504,E343)&gt;0,ROUND(E343-$M$6,2)=0)),"БЛОК: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3" s="185" t="str">
        <x:f>IF(AND(B343="",C343="",E343=""),"",SUM($G$5:G343))</x:f>
        <x:v/>
      </x:c>
      <x:c r="K343" s="178"/>
      <x:c r="L343" s="46"/>
      <x:c r="M343" s="46"/>
    </x:row>
    <x:row r="344" ht="29" customHeight="1">
      <x:c r="A344" s="199">
        <x:v>340</x:v>
      </x:c>
      <x:c r="B344" s="162"/>
      <x:c r="C344" s="163"/>
      <x:c r="D344" s="163"/>
      <x:c r="E344" s="164"/>
      <x:c r="F344" s="163"/>
      <x:c r="G344" s="185">
        <x:f t="shared" si="10"/>
        <x:v>0</x:v>
      </x:c>
      <x:c r="H344" s="185">
        <x:f t="shared" si="11"/>
        <x:v>0</x:v>
      </x:c>
      <x:c r="I344" s="186">
        <x:f>IF(AND(B344="",C344="",D344="",E344="",F344=""),"",IF(OR(B344="",C344="",E344=""),"БЛОК: нужны дата, тип операции и сумма",IF(N(E344)&lt;=0,"БЛОК: сумма должна быть больше нуля",IF(AND(H344&lt;&gt;0,F344=""),"БЛОК: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отделить",IF(AND(G344&lt;&gt;0,F344=""),"БЛОК: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нельзя",IF(AND(F344&lt;&gt;"",COUNTIF('Долг по актам'!$B$5:$B$34,F344)=0),"БЛОК: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договору")&gt;0)*($C$5:$C$504&lt;&gt;C344)*($E$5:$E$504=E344)*(($D$5:$D$504=D344)*(D344&lt;&gt;"")+($B$5:$B$504=B344)*(B344&lt;&gt;"")&gt;0))&gt;0,"БЛОК: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операцию",IF(AND(C344="Оплата",K344&lt;&gt;"Отдельный платёж — не сам аванс (сверено с выпиской банка)",OR(COUNTIFS($C$5:$C$504,"Зачёт аванса по договору",$E$5:$E$504,E344)&gt;0,ROUND(E344-$M$6,2)=0)),"БЛОК: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4" s="185" t="str">
        <x:f>IF(AND(B344="",C344="",E344=""),"",SUM($G$5:G344))</x:f>
        <x:v/>
      </x:c>
      <x:c r="K344" s="178"/>
      <x:c r="L344" s="46"/>
      <x:c r="M344" s="46"/>
    </x:row>
    <x:row r="345" ht="29" customHeight="1">
      <x:c r="A345" s="199">
        <x:v>341</x:v>
      </x:c>
      <x:c r="B345" s="162"/>
      <x:c r="C345" s="163"/>
      <x:c r="D345" s="163"/>
      <x:c r="E345" s="164"/>
      <x:c r="F345" s="163"/>
      <x:c r="G345" s="185">
        <x:f t="shared" si="10"/>
        <x:v>0</x:v>
      </x:c>
      <x:c r="H345" s="185">
        <x:f t="shared" si="11"/>
        <x:v>0</x:v>
      </x:c>
      <x:c r="I345" s="186">
        <x:f>IF(AND(B345="",C345="",D345="",E345="",F345=""),"",IF(OR(B345="",C345="",E345=""),"БЛОК: нужны дата, тип операции и сумма",IF(N(E345)&lt;=0,"БЛОК: сумма должна быть больше нуля",IF(AND(H345&lt;&gt;0,F345=""),"БЛОК: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отделить",IF(AND(G345&lt;&gt;0,F345=""),"БЛОК: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нельзя",IF(AND(F345&lt;&gt;"",COUNTIF('Долг по актам'!$B$5:$B$34,F345)=0),"БЛОК: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договору")&gt;0)*($C$5:$C$504&lt;&gt;C345)*($E$5:$E$504=E345)*(($D$5:$D$504=D345)*(D345&lt;&gt;"")+($B$5:$B$504=B345)*(B345&lt;&gt;"")&gt;0))&gt;0,"БЛОК: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операцию",IF(AND(C345="Оплата",K345&lt;&gt;"Отдельный платёж — не сам аванс (сверено с выпиской банка)",OR(COUNTIFS($C$5:$C$504,"Зачёт аванса по договору",$E$5:$E$504,E345)&gt;0,ROUND(E345-$M$6,2)=0)),"БЛОК: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5" s="185" t="str">
        <x:f>IF(AND(B345="",C345="",E345=""),"",SUM($G$5:G345))</x:f>
        <x:v/>
      </x:c>
      <x:c r="K345" s="178"/>
      <x:c r="L345" s="46"/>
      <x:c r="M345" s="46"/>
    </x:row>
    <x:row r="346" ht="29" customHeight="1">
      <x:c r="A346" s="199">
        <x:v>342</x:v>
      </x:c>
      <x:c r="B346" s="162"/>
      <x:c r="C346" s="163"/>
      <x:c r="D346" s="163"/>
      <x:c r="E346" s="164"/>
      <x:c r="F346" s="163"/>
      <x:c r="G346" s="185">
        <x:f t="shared" si="10"/>
        <x:v>0</x:v>
      </x:c>
      <x:c r="H346" s="185">
        <x:f t="shared" si="11"/>
        <x:v>0</x:v>
      </x:c>
      <x:c r="I346" s="186">
        <x:f>IF(AND(B346="",C346="",D346="",E346="",F346=""),"",IF(OR(B346="",C346="",E346=""),"БЛОК: нужны дата, тип операции и сумма",IF(N(E346)&lt;=0,"БЛОК: сумма должна быть больше нуля",IF(AND(H346&lt;&gt;0,F346=""),"БЛОК: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отделить",IF(AND(G346&lt;&gt;0,F346=""),"БЛОК: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нельзя",IF(AND(F346&lt;&gt;"",COUNTIF('Долг по актам'!$B$5:$B$34,F346)=0),"БЛОК: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договору")&gt;0)*($C$5:$C$504&lt;&gt;C346)*($E$5:$E$504=E346)*(($D$5:$D$504=D346)*(D346&lt;&gt;"")+($B$5:$B$504=B346)*(B346&lt;&gt;"")&gt;0))&gt;0,"БЛОК: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операцию",IF(AND(C346="Оплата",K346&lt;&gt;"Отдельный платёж — не сам аванс (сверено с выпиской банка)",OR(COUNTIFS($C$5:$C$504,"Зачёт аванса по договору",$E$5:$E$504,E346)&gt;0,ROUND(E346-$M$6,2)=0)),"БЛОК: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6" s="185" t="str">
        <x:f>IF(AND(B346="",C346="",E346=""),"",SUM($G$5:G346))</x:f>
        <x:v/>
      </x:c>
      <x:c r="K346" s="178"/>
      <x:c r="L346" s="46"/>
      <x:c r="M346" s="46"/>
    </x:row>
    <x:row r="347" ht="29" customHeight="1">
      <x:c r="A347" s="199">
        <x:v>343</x:v>
      </x:c>
      <x:c r="B347" s="162"/>
      <x:c r="C347" s="163"/>
      <x:c r="D347" s="163"/>
      <x:c r="E347" s="164"/>
      <x:c r="F347" s="163"/>
      <x:c r="G347" s="185">
        <x:f t="shared" si="10"/>
        <x:v>0</x:v>
      </x:c>
      <x:c r="H347" s="185">
        <x:f t="shared" si="11"/>
        <x:v>0</x:v>
      </x:c>
      <x:c r="I347" s="186">
        <x:f>IF(AND(B347="",C347="",D347="",E347="",F347=""),"",IF(OR(B347="",C347="",E347=""),"БЛОК: нужны дата, тип операции и сумма",IF(N(E347)&lt;=0,"БЛОК: сумма должна быть больше нуля",IF(AND(H347&lt;&gt;0,F347=""),"БЛОК: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отделить",IF(AND(G347&lt;&gt;0,F347=""),"БЛОК: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нельзя",IF(AND(F347&lt;&gt;"",COUNTIF('Долг по актам'!$B$5:$B$34,F347)=0),"БЛОК: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договору")&gt;0)*($C$5:$C$504&lt;&gt;C347)*($E$5:$E$504=E347)*(($D$5:$D$504=D347)*(D347&lt;&gt;"")+($B$5:$B$504=B347)*(B347&lt;&gt;"")&gt;0))&gt;0,"БЛОК: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операцию",IF(AND(C347="Оплата",K347&lt;&gt;"Отдельный платёж — не сам аванс (сверено с выпиской банка)",OR(COUNTIFS($C$5:$C$504,"Зачёт аванса по договору",$E$5:$E$504,E347)&gt;0,ROUND(E347-$M$6,2)=0)),"БЛОК: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7" s="185" t="str">
        <x:f>IF(AND(B347="",C347="",E347=""),"",SUM($G$5:G347))</x:f>
        <x:v/>
      </x:c>
      <x:c r="K347" s="178"/>
      <x:c r="L347" s="46"/>
      <x:c r="M347" s="46"/>
    </x:row>
    <x:row r="348" ht="29" customHeight="1">
      <x:c r="A348" s="199">
        <x:v>344</x:v>
      </x:c>
      <x:c r="B348" s="162"/>
      <x:c r="C348" s="163"/>
      <x:c r="D348" s="163"/>
      <x:c r="E348" s="164"/>
      <x:c r="F348" s="163"/>
      <x:c r="G348" s="185">
        <x:f t="shared" si="10"/>
        <x:v>0</x:v>
      </x:c>
      <x:c r="H348" s="185">
        <x:f t="shared" si="11"/>
        <x:v>0</x:v>
      </x:c>
      <x:c r="I348" s="186">
        <x:f>IF(AND(B348="",C348="",D348="",E348="",F348=""),"",IF(OR(B348="",C348="",E348=""),"БЛОК: нужны дата, тип операции и сумма",IF(N(E348)&lt;=0,"БЛОК: сумма должна быть больше нуля",IF(AND(H348&lt;&gt;0,F348=""),"БЛОК: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отделить",IF(AND(G348&lt;&gt;0,F348=""),"БЛОК: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нельзя",IF(AND(F348&lt;&gt;"",COUNTIF('Долг по актам'!$B$5:$B$34,F348)=0),"БЛОК: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договору")&gt;0)*($C$5:$C$504&lt;&gt;C348)*($E$5:$E$504=E348)*(($D$5:$D$504=D348)*(D348&lt;&gt;"")+($B$5:$B$504=B348)*(B348&lt;&gt;"")&gt;0))&gt;0,"БЛОК: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операцию",IF(AND(C348="Оплата",K348&lt;&gt;"Отдельный платёж — не сам аванс (сверено с выпиской банка)",OR(COUNTIFS($C$5:$C$504,"Зачёт аванса по договору",$E$5:$E$504,E348)&gt;0,ROUND(E348-$M$6,2)=0)),"БЛОК: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8" s="185" t="str">
        <x:f>IF(AND(B348="",C348="",E348=""),"",SUM($G$5:G348))</x:f>
        <x:v/>
      </x:c>
      <x:c r="K348" s="178"/>
      <x:c r="L348" s="46"/>
      <x:c r="M348" s="46"/>
    </x:row>
    <x:row r="349" ht="29" customHeight="1">
      <x:c r="A349" s="199">
        <x:v>345</x:v>
      </x:c>
      <x:c r="B349" s="162"/>
      <x:c r="C349" s="163"/>
      <x:c r="D349" s="163"/>
      <x:c r="E349" s="164"/>
      <x:c r="F349" s="163"/>
      <x:c r="G349" s="185">
        <x:f t="shared" si="10"/>
        <x:v>0</x:v>
      </x:c>
      <x:c r="H349" s="185">
        <x:f t="shared" si="11"/>
        <x:v>0</x:v>
      </x:c>
      <x:c r="I349" s="186">
        <x:f>IF(AND(B349="",C349="",D349="",E349="",F349=""),"",IF(OR(B349="",C349="",E349=""),"БЛОК: нужны дата, тип операции и сумма",IF(N(E349)&lt;=0,"БЛОК: сумма должна быть больше нуля",IF(AND(H349&lt;&gt;0,F349=""),"БЛОК: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отделить",IF(AND(G349&lt;&gt;0,F349=""),"БЛОК: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нельзя",IF(AND(F349&lt;&gt;"",COUNTIF('Долг по актам'!$B$5:$B$34,F349)=0),"БЛОК: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договору")&gt;0)*($C$5:$C$504&lt;&gt;C349)*($E$5:$E$504=E349)*(($D$5:$D$504=D349)*(D349&lt;&gt;"")+($B$5:$B$504=B349)*(B349&lt;&gt;"")&gt;0))&gt;0,"БЛОК: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операцию",IF(AND(C349="Оплата",K349&lt;&gt;"Отдельный платёж — не сам аванс (сверено с выпиской банка)",OR(COUNTIFS($C$5:$C$504,"Зачёт аванса по договору",$E$5:$E$504,E349)&gt;0,ROUND(E349-$M$6,2)=0)),"БЛОК: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49" s="185" t="str">
        <x:f>IF(AND(B349="",C349="",E349=""),"",SUM($G$5:G349))</x:f>
        <x:v/>
      </x:c>
      <x:c r="K349" s="178"/>
      <x:c r="L349" s="46"/>
      <x:c r="M349" s="46"/>
    </x:row>
    <x:row r="350" ht="29" customHeight="1">
      <x:c r="A350" s="199">
        <x:v>346</x:v>
      </x:c>
      <x:c r="B350" s="162"/>
      <x:c r="C350" s="163"/>
      <x:c r="D350" s="163"/>
      <x:c r="E350" s="164"/>
      <x:c r="F350" s="163"/>
      <x:c r="G350" s="185">
        <x:f t="shared" si="10"/>
        <x:v>0</x:v>
      </x:c>
      <x:c r="H350" s="185">
        <x:f t="shared" si="11"/>
        <x:v>0</x:v>
      </x:c>
      <x:c r="I350" s="186">
        <x:f>IF(AND(B350="",C350="",D350="",E350="",F350=""),"",IF(OR(B350="",C350="",E350=""),"БЛОК: нужны дата, тип операции и сумма",IF(N(E350)&lt;=0,"БЛОК: сумма должна быть больше нуля",IF(AND(H350&lt;&gt;0,F350=""),"БЛОК: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отделить",IF(AND(G350&lt;&gt;0,F350=""),"БЛОК: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нельзя",IF(AND(F350&lt;&gt;"",COUNTIF('Долг по актам'!$B$5:$B$34,F350)=0),"БЛОК: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договору")&gt;0)*($C$5:$C$504&lt;&gt;C350)*($E$5:$E$504=E350)*(($D$5:$D$504=D350)*(D350&lt;&gt;"")+($B$5:$B$504=B350)*(B350&lt;&gt;"")&gt;0))&gt;0,"БЛОК: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операцию",IF(AND(C350="Оплата",K350&lt;&gt;"Отдельный платёж — не сам аванс (сверено с выпиской банка)",OR(COUNTIFS($C$5:$C$504,"Зачёт аванса по договору",$E$5:$E$504,E350)&gt;0,ROUND(E350-$M$6,2)=0)),"БЛОК: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0" s="185" t="str">
        <x:f>IF(AND(B350="",C350="",E350=""),"",SUM($G$5:G350))</x:f>
        <x:v/>
      </x:c>
      <x:c r="K350" s="178"/>
      <x:c r="L350" s="46"/>
      <x:c r="M350" s="46"/>
    </x:row>
    <x:row r="351" ht="29" customHeight="1">
      <x:c r="A351" s="199">
        <x:v>347</x:v>
      </x:c>
      <x:c r="B351" s="162"/>
      <x:c r="C351" s="163"/>
      <x:c r="D351" s="163"/>
      <x:c r="E351" s="164"/>
      <x:c r="F351" s="163"/>
      <x:c r="G351" s="185">
        <x:f t="shared" si="10"/>
        <x:v>0</x:v>
      </x:c>
      <x:c r="H351" s="185">
        <x:f t="shared" si="11"/>
        <x:v>0</x:v>
      </x:c>
      <x:c r="I351" s="186">
        <x:f>IF(AND(B351="",C351="",D351="",E351="",F351=""),"",IF(OR(B351="",C351="",E351=""),"БЛОК: нужны дата, тип операции и сумма",IF(N(E351)&lt;=0,"БЛОК: сумма должна быть больше нуля",IF(AND(H351&lt;&gt;0,F351=""),"БЛОК: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отделить",IF(AND(G351&lt;&gt;0,F351=""),"БЛОК: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нельзя",IF(AND(F351&lt;&gt;"",COUNTIF('Долг по актам'!$B$5:$B$34,F351)=0),"БЛОК: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договору")&gt;0)*($C$5:$C$504&lt;&gt;C351)*($E$5:$E$504=E351)*(($D$5:$D$504=D351)*(D351&lt;&gt;"")+($B$5:$B$504=B351)*(B351&lt;&gt;"")&gt;0))&gt;0,"БЛОК: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операцию",IF(AND(C351="Оплата",K351&lt;&gt;"Отдельный платёж — не сам аванс (сверено с выпиской банка)",OR(COUNTIFS($C$5:$C$504,"Зачёт аванса по договору",$E$5:$E$504,E351)&gt;0,ROUND(E351-$M$6,2)=0)),"БЛОК: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1" s="185" t="str">
        <x:f>IF(AND(B351="",C351="",E351=""),"",SUM($G$5:G351))</x:f>
        <x:v/>
      </x:c>
      <x:c r="K351" s="178"/>
      <x:c r="L351" s="46"/>
      <x:c r="M351" s="46"/>
    </x:row>
    <x:row r="352" ht="29" customHeight="1">
      <x:c r="A352" s="199">
        <x:v>348</x:v>
      </x:c>
      <x:c r="B352" s="162"/>
      <x:c r="C352" s="163"/>
      <x:c r="D352" s="163"/>
      <x:c r="E352" s="164"/>
      <x:c r="F352" s="163"/>
      <x:c r="G352" s="185">
        <x:f t="shared" si="10"/>
        <x:v>0</x:v>
      </x:c>
      <x:c r="H352" s="185">
        <x:f t="shared" si="11"/>
        <x:v>0</x:v>
      </x:c>
      <x:c r="I352" s="186">
        <x:f>IF(AND(B352="",C352="",D352="",E352="",F352=""),"",IF(OR(B352="",C352="",E352=""),"БЛОК: нужны дата, тип операции и сумма",IF(N(E352)&lt;=0,"БЛОК: сумма должна быть больше нуля",IF(AND(H352&lt;&gt;0,F352=""),"БЛОК: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отделить",IF(AND(G352&lt;&gt;0,F352=""),"БЛОК: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нельзя",IF(AND(F352&lt;&gt;"",COUNTIF('Долг по актам'!$B$5:$B$34,F352)=0),"БЛОК: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договору")&gt;0)*($C$5:$C$504&lt;&gt;C352)*($E$5:$E$504=E352)*(($D$5:$D$504=D352)*(D352&lt;&gt;"")+($B$5:$B$504=B352)*(B352&lt;&gt;"")&gt;0))&gt;0,"БЛОК: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операцию",IF(AND(C352="Оплата",K352&lt;&gt;"Отдельный платёж — не сам аванс (сверено с выпиской банка)",OR(COUNTIFS($C$5:$C$504,"Зачёт аванса по договору",$E$5:$E$504,E352)&gt;0,ROUND(E352-$M$6,2)=0)),"БЛОК: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2" s="185" t="str">
        <x:f>IF(AND(B352="",C352="",E352=""),"",SUM($G$5:G352))</x:f>
        <x:v/>
      </x:c>
      <x:c r="K352" s="178"/>
      <x:c r="L352" s="46"/>
      <x:c r="M352" s="46"/>
    </x:row>
    <x:row r="353" ht="29" customHeight="1">
      <x:c r="A353" s="199">
        <x:v>349</x:v>
      </x:c>
      <x:c r="B353" s="162"/>
      <x:c r="C353" s="163"/>
      <x:c r="D353" s="163"/>
      <x:c r="E353" s="164"/>
      <x:c r="F353" s="163"/>
      <x:c r="G353" s="185">
        <x:f t="shared" si="10"/>
        <x:v>0</x:v>
      </x:c>
      <x:c r="H353" s="185">
        <x:f t="shared" si="11"/>
        <x:v>0</x:v>
      </x:c>
      <x:c r="I353" s="186">
        <x:f>IF(AND(B353="",C353="",D353="",E353="",F353=""),"",IF(OR(B353="",C353="",E353=""),"БЛОК: нужны дата, тип операции и сумма",IF(N(E353)&lt;=0,"БЛОК: сумма должна быть больше нуля",IF(AND(H353&lt;&gt;0,F353=""),"БЛОК: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отделить",IF(AND(G353&lt;&gt;0,F353=""),"БЛОК: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нельзя",IF(AND(F353&lt;&gt;"",COUNTIF('Долг по актам'!$B$5:$B$34,F353)=0),"БЛОК: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договору")&gt;0)*($C$5:$C$504&lt;&gt;C353)*($E$5:$E$504=E353)*(($D$5:$D$504=D353)*(D353&lt;&gt;"")+($B$5:$B$504=B353)*(B353&lt;&gt;"")&gt;0))&gt;0,"БЛОК: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операцию",IF(AND(C353="Оплата",K353&lt;&gt;"Отдельный платёж — не сам аванс (сверено с выпиской банка)",OR(COUNTIFS($C$5:$C$504,"Зачёт аванса по договору",$E$5:$E$504,E353)&gt;0,ROUND(E353-$M$6,2)=0)),"БЛОК: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3" s="185" t="str">
        <x:f>IF(AND(B353="",C353="",E353=""),"",SUM($G$5:G353))</x:f>
        <x:v/>
      </x:c>
      <x:c r="K353" s="178"/>
      <x:c r="L353" s="46"/>
      <x:c r="M353" s="46"/>
    </x:row>
    <x:row r="354" ht="29" customHeight="1">
      <x:c r="A354" s="199">
        <x:v>350</x:v>
      </x:c>
      <x:c r="B354" s="162"/>
      <x:c r="C354" s="163"/>
      <x:c r="D354" s="163"/>
      <x:c r="E354" s="164"/>
      <x:c r="F354" s="163"/>
      <x:c r="G354" s="185">
        <x:f t="shared" si="10"/>
        <x:v>0</x:v>
      </x:c>
      <x:c r="H354" s="185">
        <x:f t="shared" si="11"/>
        <x:v>0</x:v>
      </x:c>
      <x:c r="I354" s="186">
        <x:f>IF(AND(B354="",C354="",D354="",E354="",F354=""),"",IF(OR(B354="",C354="",E354=""),"БЛОК: нужны дата, тип операции и сумма",IF(N(E354)&lt;=0,"БЛОК: сумма должна быть больше нуля",IF(AND(H354&lt;&gt;0,F354=""),"БЛОК: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отделить",IF(AND(G354&lt;&gt;0,F354=""),"БЛОК: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нельзя",IF(AND(F354&lt;&gt;"",COUNTIF('Долг по актам'!$B$5:$B$34,F354)=0),"БЛОК: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договору")&gt;0)*($C$5:$C$504&lt;&gt;C354)*($E$5:$E$504=E354)*(($D$5:$D$504=D354)*(D354&lt;&gt;"")+($B$5:$B$504=B354)*(B354&lt;&gt;"")&gt;0))&gt;0,"БЛОК: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операцию",IF(AND(C354="Оплата",K354&lt;&gt;"Отдельный платёж — не сам аванс (сверено с выпиской банка)",OR(COUNTIFS($C$5:$C$504,"Зачёт аванса по договору",$E$5:$E$504,E354)&gt;0,ROUND(E354-$M$6,2)=0)),"БЛОК: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4" s="185" t="str">
        <x:f>IF(AND(B354="",C354="",E354=""),"",SUM($G$5:G354))</x:f>
        <x:v/>
      </x:c>
      <x:c r="K354" s="178"/>
      <x:c r="L354" s="46"/>
      <x:c r="M354" s="46"/>
    </x:row>
    <x:row r="355" ht="29" customHeight="1">
      <x:c r="A355" s="199">
        <x:v>351</x:v>
      </x:c>
      <x:c r="B355" s="162"/>
      <x:c r="C355" s="163"/>
      <x:c r="D355" s="163"/>
      <x:c r="E355" s="164"/>
      <x:c r="F355" s="163"/>
      <x:c r="G355" s="185">
        <x:f t="shared" si="10"/>
        <x:v>0</x:v>
      </x:c>
      <x:c r="H355" s="185">
        <x:f t="shared" si="11"/>
        <x:v>0</x:v>
      </x:c>
      <x:c r="I355" s="186">
        <x:f>IF(AND(B355="",C355="",D355="",E355="",F355=""),"",IF(OR(B355="",C355="",E355=""),"БЛОК: нужны дата, тип операции и сумма",IF(N(E355)&lt;=0,"БЛОК: сумма должна быть больше нуля",IF(AND(H355&lt;&gt;0,F355=""),"БЛОК: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отделить",IF(AND(G355&lt;&gt;0,F355=""),"БЛОК: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нельзя",IF(AND(F355&lt;&gt;"",COUNTIF('Долг по актам'!$B$5:$B$34,F355)=0),"БЛОК: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договору")&gt;0)*($C$5:$C$504&lt;&gt;C355)*($E$5:$E$504=E355)*(($D$5:$D$504=D355)*(D355&lt;&gt;"")+($B$5:$B$504=B355)*(B355&lt;&gt;"")&gt;0))&gt;0,"БЛОК: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операцию",IF(AND(C355="Оплата",K355&lt;&gt;"Отдельный платёж — не сам аванс (сверено с выпиской банка)",OR(COUNTIFS($C$5:$C$504,"Зачёт аванса по договору",$E$5:$E$504,E355)&gt;0,ROUND(E355-$M$6,2)=0)),"БЛОК: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5" s="185" t="str">
        <x:f>IF(AND(B355="",C355="",E355=""),"",SUM($G$5:G355))</x:f>
        <x:v/>
      </x:c>
      <x:c r="K355" s="178"/>
      <x:c r="L355" s="46"/>
      <x:c r="M355" s="46"/>
    </x:row>
    <x:row r="356" ht="29" customHeight="1">
      <x:c r="A356" s="199">
        <x:v>352</x:v>
      </x:c>
      <x:c r="B356" s="162"/>
      <x:c r="C356" s="163"/>
      <x:c r="D356" s="163"/>
      <x:c r="E356" s="164"/>
      <x:c r="F356" s="163"/>
      <x:c r="G356" s="185">
        <x:f t="shared" si="10"/>
        <x:v>0</x:v>
      </x:c>
      <x:c r="H356" s="185">
        <x:f t="shared" si="11"/>
        <x:v>0</x:v>
      </x:c>
      <x:c r="I356" s="186">
        <x:f>IF(AND(B356="",C356="",D356="",E356="",F356=""),"",IF(OR(B356="",C356="",E356=""),"БЛОК: нужны дата, тип операции и сумма",IF(N(E356)&lt;=0,"БЛОК: сумма должна быть больше нуля",IF(AND(H356&lt;&gt;0,F356=""),"БЛОК: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отделить",IF(AND(G356&lt;&gt;0,F356=""),"БЛОК: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нельзя",IF(AND(F356&lt;&gt;"",COUNTIF('Долг по актам'!$B$5:$B$34,F356)=0),"БЛОК: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договору")&gt;0)*($C$5:$C$504&lt;&gt;C356)*($E$5:$E$504=E356)*(($D$5:$D$504=D356)*(D356&lt;&gt;"")+($B$5:$B$504=B356)*(B356&lt;&gt;"")&gt;0))&gt;0,"БЛОК: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операцию",IF(AND(C356="Оплата",K356&lt;&gt;"Отдельный платёж — не сам аванс (сверено с выпиской банка)",OR(COUNTIFS($C$5:$C$504,"Зачёт аванса по договору",$E$5:$E$504,E356)&gt;0,ROUND(E356-$M$6,2)=0)),"БЛОК: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6" s="185" t="str">
        <x:f>IF(AND(B356="",C356="",E356=""),"",SUM($G$5:G356))</x:f>
        <x:v/>
      </x:c>
      <x:c r="K356" s="178"/>
      <x:c r="L356" s="46"/>
      <x:c r="M356" s="46"/>
    </x:row>
    <x:row r="357" ht="29" customHeight="1">
      <x:c r="A357" s="199">
        <x:v>353</x:v>
      </x:c>
      <x:c r="B357" s="162"/>
      <x:c r="C357" s="163"/>
      <x:c r="D357" s="163"/>
      <x:c r="E357" s="164"/>
      <x:c r="F357" s="163"/>
      <x:c r="G357" s="185">
        <x:f t="shared" si="10"/>
        <x:v>0</x:v>
      </x:c>
      <x:c r="H357" s="185">
        <x:f t="shared" si="11"/>
        <x:v>0</x:v>
      </x:c>
      <x:c r="I357" s="186">
        <x:f>IF(AND(B357="",C357="",D357="",E357="",F357=""),"",IF(OR(B357="",C357="",E357=""),"БЛОК: нужны дата, тип операции и сумма",IF(N(E357)&lt;=0,"БЛОК: сумма должна быть больше нуля",IF(AND(H357&lt;&gt;0,F357=""),"БЛОК: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отделить",IF(AND(G357&lt;&gt;0,F357=""),"БЛОК: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нельзя",IF(AND(F357&lt;&gt;"",COUNTIF('Долг по актам'!$B$5:$B$34,F357)=0),"БЛОК: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договору")&gt;0)*($C$5:$C$504&lt;&gt;C357)*($E$5:$E$504=E357)*(($D$5:$D$504=D357)*(D357&lt;&gt;"")+($B$5:$B$504=B357)*(B357&lt;&gt;"")&gt;0))&gt;0,"БЛОК: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операцию",IF(AND(C357="Оплата",K357&lt;&gt;"Отдельный платёж — не сам аванс (сверено с выпиской банка)",OR(COUNTIFS($C$5:$C$504,"Зачёт аванса по договору",$E$5:$E$504,E357)&gt;0,ROUND(E357-$M$6,2)=0)),"БЛОК: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7" s="185" t="str">
        <x:f>IF(AND(B357="",C357="",E357=""),"",SUM($G$5:G357))</x:f>
        <x:v/>
      </x:c>
      <x:c r="K357" s="178"/>
      <x:c r="L357" s="46"/>
      <x:c r="M357" s="46"/>
    </x:row>
    <x:row r="358" ht="29" customHeight="1">
      <x:c r="A358" s="199">
        <x:v>354</x:v>
      </x:c>
      <x:c r="B358" s="162"/>
      <x:c r="C358" s="163"/>
      <x:c r="D358" s="163"/>
      <x:c r="E358" s="164"/>
      <x:c r="F358" s="163"/>
      <x:c r="G358" s="185">
        <x:f t="shared" si="10"/>
        <x:v>0</x:v>
      </x:c>
      <x:c r="H358" s="185">
        <x:f t="shared" si="11"/>
        <x:v>0</x:v>
      </x:c>
      <x:c r="I358" s="186">
        <x:f>IF(AND(B358="",C358="",D358="",E358="",F358=""),"",IF(OR(B358="",C358="",E358=""),"БЛОК: нужны дата, тип операции и сумма",IF(N(E358)&lt;=0,"БЛОК: сумма должна быть больше нуля",IF(AND(H358&lt;&gt;0,F358=""),"БЛОК: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отделить",IF(AND(G358&lt;&gt;0,F358=""),"БЛОК: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нельзя",IF(AND(F358&lt;&gt;"",COUNTIF('Долг по актам'!$B$5:$B$34,F358)=0),"БЛОК: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договору")&gt;0)*($C$5:$C$504&lt;&gt;C358)*($E$5:$E$504=E358)*(($D$5:$D$504=D358)*(D358&lt;&gt;"")+($B$5:$B$504=B358)*(B358&lt;&gt;"")&gt;0))&gt;0,"БЛОК: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операцию",IF(AND(C358="Оплата",K358&lt;&gt;"Отдельный платёж — не сам аванс (сверено с выпиской банка)",OR(COUNTIFS($C$5:$C$504,"Зачёт аванса по договору",$E$5:$E$504,E358)&gt;0,ROUND(E358-$M$6,2)=0)),"БЛОК: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8" s="185" t="str">
        <x:f>IF(AND(B358="",C358="",E358=""),"",SUM($G$5:G358))</x:f>
        <x:v/>
      </x:c>
      <x:c r="K358" s="178"/>
      <x:c r="L358" s="46"/>
      <x:c r="M358" s="46"/>
    </x:row>
    <x:row r="359" ht="29" customHeight="1">
      <x:c r="A359" s="199">
        <x:v>355</x:v>
      </x:c>
      <x:c r="B359" s="162"/>
      <x:c r="C359" s="163"/>
      <x:c r="D359" s="163"/>
      <x:c r="E359" s="164"/>
      <x:c r="F359" s="163"/>
      <x:c r="G359" s="185">
        <x:f t="shared" si="10"/>
        <x:v>0</x:v>
      </x:c>
      <x:c r="H359" s="185">
        <x:f t="shared" si="11"/>
        <x:v>0</x:v>
      </x:c>
      <x:c r="I359" s="186">
        <x:f>IF(AND(B359="",C359="",D359="",E359="",F359=""),"",IF(OR(B359="",C359="",E359=""),"БЛОК: нужны дата, тип операции и сумма",IF(N(E359)&lt;=0,"БЛОК: сумма должна быть больше нуля",IF(AND(H359&lt;&gt;0,F359=""),"БЛОК: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отделить",IF(AND(G359&lt;&gt;0,F359=""),"БЛОК: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нельзя",IF(AND(F359&lt;&gt;"",COUNTIF('Долг по актам'!$B$5:$B$34,F359)=0),"БЛОК: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договору")&gt;0)*($C$5:$C$504&lt;&gt;C359)*($E$5:$E$504=E359)*(($D$5:$D$504=D359)*(D359&lt;&gt;"")+($B$5:$B$504=B359)*(B359&lt;&gt;"")&gt;0))&gt;0,"БЛОК: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операцию",IF(AND(C359="Оплата",K359&lt;&gt;"Отдельный платёж — не сам аванс (сверено с выпиской банка)",OR(COUNTIFS($C$5:$C$504,"Зачёт аванса по договору",$E$5:$E$504,E359)&gt;0,ROUND(E359-$M$6,2)=0)),"БЛОК: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59" s="185" t="str">
        <x:f>IF(AND(B359="",C359="",E359=""),"",SUM($G$5:G359))</x:f>
        <x:v/>
      </x:c>
      <x:c r="K359" s="178"/>
      <x:c r="L359" s="46"/>
      <x:c r="M359" s="46"/>
    </x:row>
    <x:row r="360" ht="29" customHeight="1">
      <x:c r="A360" s="199">
        <x:v>356</x:v>
      </x:c>
      <x:c r="B360" s="162"/>
      <x:c r="C360" s="163"/>
      <x:c r="D360" s="163"/>
      <x:c r="E360" s="164"/>
      <x:c r="F360" s="163"/>
      <x:c r="G360" s="185">
        <x:f t="shared" si="10"/>
        <x:v>0</x:v>
      </x:c>
      <x:c r="H360" s="185">
        <x:f t="shared" si="11"/>
        <x:v>0</x:v>
      </x:c>
      <x:c r="I360" s="186">
        <x:f>IF(AND(B360="",C360="",D360="",E360="",F360=""),"",IF(OR(B360="",C360="",E360=""),"БЛОК: нужны дата, тип операции и сумма",IF(N(E360)&lt;=0,"БЛОК: сумма должна быть больше нуля",IF(AND(H360&lt;&gt;0,F360=""),"БЛОК: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отделить",IF(AND(G360&lt;&gt;0,F360=""),"БЛОК: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нельзя",IF(AND(F360&lt;&gt;"",COUNTIF('Долг по актам'!$B$5:$B$34,F360)=0),"БЛОК: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договору")&gt;0)*($C$5:$C$504&lt;&gt;C360)*($E$5:$E$504=E360)*(($D$5:$D$504=D360)*(D360&lt;&gt;"")+($B$5:$B$504=B360)*(B360&lt;&gt;"")&gt;0))&gt;0,"БЛОК: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операцию",IF(AND(C360="Оплата",K360&lt;&gt;"Отдельный платёж — не сам аванс (сверено с выпиской банка)",OR(COUNTIFS($C$5:$C$504,"Зачёт аванса по договору",$E$5:$E$504,E360)&gt;0,ROUND(E360-$M$6,2)=0)),"БЛОК: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0" s="185" t="str">
        <x:f>IF(AND(B360="",C360="",E360=""),"",SUM($G$5:G360))</x:f>
        <x:v/>
      </x:c>
      <x:c r="K360" s="178"/>
      <x:c r="L360" s="46"/>
      <x:c r="M360" s="46"/>
    </x:row>
    <x:row r="361" ht="29" customHeight="1">
      <x:c r="A361" s="199">
        <x:v>357</x:v>
      </x:c>
      <x:c r="B361" s="162"/>
      <x:c r="C361" s="163"/>
      <x:c r="D361" s="163"/>
      <x:c r="E361" s="164"/>
      <x:c r="F361" s="163"/>
      <x:c r="G361" s="185">
        <x:f t="shared" si="10"/>
        <x:v>0</x:v>
      </x:c>
      <x:c r="H361" s="185">
        <x:f t="shared" si="11"/>
        <x:v>0</x:v>
      </x:c>
      <x:c r="I361" s="186">
        <x:f>IF(AND(B361="",C361="",D361="",E361="",F361=""),"",IF(OR(B361="",C361="",E361=""),"БЛОК: нужны дата, тип операции и сумма",IF(N(E361)&lt;=0,"БЛОК: сумма должна быть больше нуля",IF(AND(H361&lt;&gt;0,F361=""),"БЛОК: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отделить",IF(AND(G361&lt;&gt;0,F361=""),"БЛОК: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нельзя",IF(AND(F361&lt;&gt;"",COUNTIF('Долг по актам'!$B$5:$B$34,F361)=0),"БЛОК: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договору")&gt;0)*($C$5:$C$504&lt;&gt;C361)*($E$5:$E$504=E361)*(($D$5:$D$504=D361)*(D361&lt;&gt;"")+($B$5:$B$504=B361)*(B361&lt;&gt;"")&gt;0))&gt;0,"БЛОК: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операцию",IF(AND(C361="Оплата",K361&lt;&gt;"Отдельный платёж — не сам аванс (сверено с выпиской банка)",OR(COUNTIFS($C$5:$C$504,"Зачёт аванса по договору",$E$5:$E$504,E361)&gt;0,ROUND(E361-$M$6,2)=0)),"БЛОК: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1" s="185" t="str">
        <x:f>IF(AND(B361="",C361="",E361=""),"",SUM($G$5:G361))</x:f>
        <x:v/>
      </x:c>
      <x:c r="K361" s="178"/>
      <x:c r="L361" s="46"/>
      <x:c r="M361" s="46"/>
    </x:row>
    <x:row r="362" ht="29" customHeight="1">
      <x:c r="A362" s="199">
        <x:v>358</x:v>
      </x:c>
      <x:c r="B362" s="162"/>
      <x:c r="C362" s="163"/>
      <x:c r="D362" s="163"/>
      <x:c r="E362" s="164"/>
      <x:c r="F362" s="163"/>
      <x:c r="G362" s="185">
        <x:f t="shared" si="10"/>
        <x:v>0</x:v>
      </x:c>
      <x:c r="H362" s="185">
        <x:f t="shared" si="11"/>
        <x:v>0</x:v>
      </x:c>
      <x:c r="I362" s="186">
        <x:f>IF(AND(B362="",C362="",D362="",E362="",F362=""),"",IF(OR(B362="",C362="",E362=""),"БЛОК: нужны дата, тип операции и сумма",IF(N(E362)&lt;=0,"БЛОК: сумма должна быть больше нуля",IF(AND(H362&lt;&gt;0,F362=""),"БЛОК: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отделить",IF(AND(G362&lt;&gt;0,F362=""),"БЛОК: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нельзя",IF(AND(F362&lt;&gt;"",COUNTIF('Долг по актам'!$B$5:$B$34,F362)=0),"БЛОК: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договору")&gt;0)*($C$5:$C$504&lt;&gt;C362)*($E$5:$E$504=E362)*(($D$5:$D$504=D362)*(D362&lt;&gt;"")+($B$5:$B$504=B362)*(B362&lt;&gt;"")&gt;0))&gt;0,"БЛОК: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операцию",IF(AND(C362="Оплата",K362&lt;&gt;"Отдельный платёж — не сам аванс (сверено с выпиской банка)",OR(COUNTIFS($C$5:$C$504,"Зачёт аванса по договору",$E$5:$E$504,E362)&gt;0,ROUND(E362-$M$6,2)=0)),"БЛОК: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2" s="185" t="str">
        <x:f>IF(AND(B362="",C362="",E362=""),"",SUM($G$5:G362))</x:f>
        <x:v/>
      </x:c>
      <x:c r="K362" s="178"/>
      <x:c r="L362" s="46"/>
      <x:c r="M362" s="46"/>
    </x:row>
    <x:row r="363" ht="29" customHeight="1">
      <x:c r="A363" s="199">
        <x:v>359</x:v>
      </x:c>
      <x:c r="B363" s="162"/>
      <x:c r="C363" s="163"/>
      <x:c r="D363" s="163"/>
      <x:c r="E363" s="164"/>
      <x:c r="F363" s="163"/>
      <x:c r="G363" s="185">
        <x:f t="shared" si="10"/>
        <x:v>0</x:v>
      </x:c>
      <x:c r="H363" s="185">
        <x:f t="shared" si="11"/>
        <x:v>0</x:v>
      </x:c>
      <x:c r="I363" s="186">
        <x:f>IF(AND(B363="",C363="",D363="",E363="",F363=""),"",IF(OR(B363="",C363="",E363=""),"БЛОК: нужны дата, тип операции и сумма",IF(N(E363)&lt;=0,"БЛОК: сумма должна быть больше нуля",IF(AND(H363&lt;&gt;0,F363=""),"БЛОК: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отделить",IF(AND(G363&lt;&gt;0,F363=""),"БЛОК: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нельзя",IF(AND(F363&lt;&gt;"",COUNTIF('Долг по актам'!$B$5:$B$34,F363)=0),"БЛОК: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договору")&gt;0)*($C$5:$C$504&lt;&gt;C363)*($E$5:$E$504=E363)*(($D$5:$D$504=D363)*(D363&lt;&gt;"")+($B$5:$B$504=B363)*(B363&lt;&gt;"")&gt;0))&gt;0,"БЛОК: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операцию",IF(AND(C363="Оплата",K363&lt;&gt;"Отдельный платёж — не сам аванс (сверено с выпиской банка)",OR(COUNTIFS($C$5:$C$504,"Зачёт аванса по договору",$E$5:$E$504,E363)&gt;0,ROUND(E363-$M$6,2)=0)),"БЛОК: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3" s="185" t="str">
        <x:f>IF(AND(B363="",C363="",E363=""),"",SUM($G$5:G363))</x:f>
        <x:v/>
      </x:c>
      <x:c r="K363" s="178"/>
      <x:c r="L363" s="46"/>
      <x:c r="M363" s="46"/>
    </x:row>
    <x:row r="364" ht="29" customHeight="1">
      <x:c r="A364" s="199">
        <x:v>360</x:v>
      </x:c>
      <x:c r="B364" s="162"/>
      <x:c r="C364" s="163"/>
      <x:c r="D364" s="163"/>
      <x:c r="E364" s="164"/>
      <x:c r="F364" s="163"/>
      <x:c r="G364" s="185">
        <x:f t="shared" si="10"/>
        <x:v>0</x:v>
      </x:c>
      <x:c r="H364" s="185">
        <x:f t="shared" si="11"/>
        <x:v>0</x:v>
      </x:c>
      <x:c r="I364" s="186">
        <x:f>IF(AND(B364="",C364="",D364="",E364="",F364=""),"",IF(OR(B364="",C364="",E364=""),"БЛОК: нужны дата, тип операции и сумма",IF(N(E364)&lt;=0,"БЛОК: сумма должна быть больше нуля",IF(AND(H364&lt;&gt;0,F364=""),"БЛОК: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отделить",IF(AND(G364&lt;&gt;0,F364=""),"БЛОК: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нельзя",IF(AND(F364&lt;&gt;"",COUNTIF('Долг по актам'!$B$5:$B$34,F364)=0),"БЛОК: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договору")&gt;0)*($C$5:$C$504&lt;&gt;C364)*($E$5:$E$504=E364)*(($D$5:$D$504=D364)*(D364&lt;&gt;"")+($B$5:$B$504=B364)*(B364&lt;&gt;"")&gt;0))&gt;0,"БЛОК: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операцию",IF(AND(C364="Оплата",K364&lt;&gt;"Отдельный платёж — не сам аванс (сверено с выпиской банка)",OR(COUNTIFS($C$5:$C$504,"Зачёт аванса по договору",$E$5:$E$504,E364)&gt;0,ROUND(E364-$M$6,2)=0)),"БЛОК: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4" s="185" t="str">
        <x:f>IF(AND(B364="",C364="",E364=""),"",SUM($G$5:G364))</x:f>
        <x:v/>
      </x:c>
      <x:c r="K364" s="178"/>
      <x:c r="L364" s="46"/>
      <x:c r="M364" s="46"/>
    </x:row>
    <x:row r="365" ht="29" customHeight="1">
      <x:c r="A365" s="199">
        <x:v>361</x:v>
      </x:c>
      <x:c r="B365" s="162"/>
      <x:c r="C365" s="163"/>
      <x:c r="D365" s="163"/>
      <x:c r="E365" s="164"/>
      <x:c r="F365" s="163"/>
      <x:c r="G365" s="185">
        <x:f t="shared" si="10"/>
        <x:v>0</x:v>
      </x:c>
      <x:c r="H365" s="185">
        <x:f t="shared" si="11"/>
        <x:v>0</x:v>
      </x:c>
      <x:c r="I365" s="186">
        <x:f>IF(AND(B365="",C365="",D365="",E365="",F365=""),"",IF(OR(B365="",C365="",E365=""),"БЛОК: нужны дата, тип операции и сумма",IF(N(E365)&lt;=0,"БЛОК: сумма должна быть больше нуля",IF(AND(H365&lt;&gt;0,F365=""),"БЛОК: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отделить",IF(AND(G365&lt;&gt;0,F365=""),"БЛОК: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нельзя",IF(AND(F365&lt;&gt;"",COUNTIF('Долг по актам'!$B$5:$B$34,F365)=0),"БЛОК: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договору")&gt;0)*($C$5:$C$504&lt;&gt;C365)*($E$5:$E$504=E365)*(($D$5:$D$504=D365)*(D365&lt;&gt;"")+($B$5:$B$504=B365)*(B365&lt;&gt;"")&gt;0))&gt;0,"БЛОК: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операцию",IF(AND(C365="Оплата",K365&lt;&gt;"Отдельный платёж — не сам аванс (сверено с выпиской банка)",OR(COUNTIFS($C$5:$C$504,"Зачёт аванса по договору",$E$5:$E$504,E365)&gt;0,ROUND(E365-$M$6,2)=0)),"БЛОК: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5" s="185" t="str">
        <x:f>IF(AND(B365="",C365="",E365=""),"",SUM($G$5:G365))</x:f>
        <x:v/>
      </x:c>
      <x:c r="K365" s="178"/>
      <x:c r="L365" s="46"/>
      <x:c r="M365" s="46"/>
    </x:row>
    <x:row r="366" ht="29" customHeight="1">
      <x:c r="A366" s="199">
        <x:v>362</x:v>
      </x:c>
      <x:c r="B366" s="162"/>
      <x:c r="C366" s="163"/>
      <x:c r="D366" s="163"/>
      <x:c r="E366" s="164"/>
      <x:c r="F366" s="163"/>
      <x:c r="G366" s="185">
        <x:f t="shared" si="10"/>
        <x:v>0</x:v>
      </x:c>
      <x:c r="H366" s="185">
        <x:f t="shared" si="11"/>
        <x:v>0</x:v>
      </x:c>
      <x:c r="I366" s="186">
        <x:f>IF(AND(B366="",C366="",D366="",E366="",F366=""),"",IF(OR(B366="",C366="",E366=""),"БЛОК: нужны дата, тип операции и сумма",IF(N(E366)&lt;=0,"БЛОК: сумма должна быть больше нуля",IF(AND(H366&lt;&gt;0,F366=""),"БЛОК: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отделить",IF(AND(G366&lt;&gt;0,F366=""),"БЛОК: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нельзя",IF(AND(F366&lt;&gt;"",COUNTIF('Долг по актам'!$B$5:$B$34,F366)=0),"БЛОК: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договору")&gt;0)*($C$5:$C$504&lt;&gt;C366)*($E$5:$E$504=E366)*(($D$5:$D$504=D366)*(D366&lt;&gt;"")+($B$5:$B$504=B366)*(B366&lt;&gt;"")&gt;0))&gt;0,"БЛОК: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операцию",IF(AND(C366="Оплата",K366&lt;&gt;"Отдельный платёж — не сам аванс (сверено с выпиской банка)",OR(COUNTIFS($C$5:$C$504,"Зачёт аванса по договору",$E$5:$E$504,E366)&gt;0,ROUND(E366-$M$6,2)=0)),"БЛОК: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6" s="185" t="str">
        <x:f>IF(AND(B366="",C366="",E366=""),"",SUM($G$5:G366))</x:f>
        <x:v/>
      </x:c>
      <x:c r="K366" s="178"/>
      <x:c r="L366" s="46"/>
      <x:c r="M366" s="46"/>
    </x:row>
    <x:row r="367" ht="29" customHeight="1">
      <x:c r="A367" s="199">
        <x:v>363</x:v>
      </x:c>
      <x:c r="B367" s="162"/>
      <x:c r="C367" s="163"/>
      <x:c r="D367" s="163"/>
      <x:c r="E367" s="164"/>
      <x:c r="F367" s="163"/>
      <x:c r="G367" s="185">
        <x:f t="shared" si="10"/>
        <x:v>0</x:v>
      </x:c>
      <x:c r="H367" s="185">
        <x:f t="shared" si="11"/>
        <x:v>0</x:v>
      </x:c>
      <x:c r="I367" s="186">
        <x:f>IF(AND(B367="",C367="",D367="",E367="",F367=""),"",IF(OR(B367="",C367="",E367=""),"БЛОК: нужны дата, тип операции и сумма",IF(N(E367)&lt;=0,"БЛОК: сумма должна быть больше нуля",IF(AND(H367&lt;&gt;0,F367=""),"БЛОК: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отделить",IF(AND(G367&lt;&gt;0,F367=""),"БЛОК: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нельзя",IF(AND(F367&lt;&gt;"",COUNTIF('Долг по актам'!$B$5:$B$34,F367)=0),"БЛОК: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договору")&gt;0)*($C$5:$C$504&lt;&gt;C367)*($E$5:$E$504=E367)*(($D$5:$D$504=D367)*(D367&lt;&gt;"")+($B$5:$B$504=B367)*(B367&lt;&gt;"")&gt;0))&gt;0,"БЛОК: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операцию",IF(AND(C367="Оплата",K367&lt;&gt;"Отдельный платёж — не сам аванс (сверено с выпиской банка)",OR(COUNTIFS($C$5:$C$504,"Зачёт аванса по договору",$E$5:$E$504,E367)&gt;0,ROUND(E367-$M$6,2)=0)),"БЛОК: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7" s="185" t="str">
        <x:f>IF(AND(B367="",C367="",E367=""),"",SUM($G$5:G367))</x:f>
        <x:v/>
      </x:c>
      <x:c r="K367" s="178"/>
      <x:c r="L367" s="46"/>
      <x:c r="M367" s="46"/>
    </x:row>
    <x:row r="368" ht="29" customHeight="1">
      <x:c r="A368" s="199">
        <x:v>364</x:v>
      </x:c>
      <x:c r="B368" s="162"/>
      <x:c r="C368" s="163"/>
      <x:c r="D368" s="163"/>
      <x:c r="E368" s="164"/>
      <x:c r="F368" s="163"/>
      <x:c r="G368" s="185">
        <x:f t="shared" si="10"/>
        <x:v>0</x:v>
      </x:c>
      <x:c r="H368" s="185">
        <x:f t="shared" si="11"/>
        <x:v>0</x:v>
      </x:c>
      <x:c r="I368" s="186">
        <x:f>IF(AND(B368="",C368="",D368="",E368="",F368=""),"",IF(OR(B368="",C368="",E368=""),"БЛОК: нужны дата, тип операции и сумма",IF(N(E368)&lt;=0,"БЛОК: сумма должна быть больше нуля",IF(AND(H368&lt;&gt;0,F368=""),"БЛОК: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отделить",IF(AND(G368&lt;&gt;0,F368=""),"БЛОК: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нельзя",IF(AND(F368&lt;&gt;"",COUNTIF('Долг по актам'!$B$5:$B$34,F368)=0),"БЛОК: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договору")&gt;0)*($C$5:$C$504&lt;&gt;C368)*($E$5:$E$504=E368)*(($D$5:$D$504=D368)*(D368&lt;&gt;"")+($B$5:$B$504=B368)*(B368&lt;&gt;"")&gt;0))&gt;0,"БЛОК: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операцию",IF(AND(C368="Оплата",K368&lt;&gt;"Отдельный платёж — не сам аванс (сверено с выпиской банка)",OR(COUNTIFS($C$5:$C$504,"Зачёт аванса по договору",$E$5:$E$504,E368)&gt;0,ROUND(E368-$M$6,2)=0)),"БЛОК: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8" s="185" t="str">
        <x:f>IF(AND(B368="",C368="",E368=""),"",SUM($G$5:G368))</x:f>
        <x:v/>
      </x:c>
      <x:c r="K368" s="178"/>
      <x:c r="L368" s="46"/>
      <x:c r="M368" s="46"/>
    </x:row>
    <x:row r="369" ht="29" customHeight="1">
      <x:c r="A369" s="199">
        <x:v>365</x:v>
      </x:c>
      <x:c r="B369" s="162"/>
      <x:c r="C369" s="163"/>
      <x:c r="D369" s="163"/>
      <x:c r="E369" s="164"/>
      <x:c r="F369" s="163"/>
      <x:c r="G369" s="185">
        <x:f t="shared" si="10"/>
        <x:v>0</x:v>
      </x:c>
      <x:c r="H369" s="185">
        <x:f t="shared" si="11"/>
        <x:v>0</x:v>
      </x:c>
      <x:c r="I369" s="186">
        <x:f>IF(AND(B369="",C369="",D369="",E369="",F369=""),"",IF(OR(B369="",C369="",E369=""),"БЛОК: нужны дата, тип операции и сумма",IF(N(E369)&lt;=0,"БЛОК: сумма должна быть больше нуля",IF(AND(H369&lt;&gt;0,F369=""),"БЛОК: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отделить",IF(AND(G369&lt;&gt;0,F369=""),"БЛОК: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нельзя",IF(AND(F369&lt;&gt;"",COUNTIF('Долг по актам'!$B$5:$B$34,F369)=0),"БЛОК: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договору")&gt;0)*($C$5:$C$504&lt;&gt;C369)*($E$5:$E$504=E369)*(($D$5:$D$504=D369)*(D369&lt;&gt;"")+($B$5:$B$504=B369)*(B369&lt;&gt;"")&gt;0))&gt;0,"БЛОК: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операцию",IF(AND(C369="Оплата",K369&lt;&gt;"Отдельный платёж — не сам аванс (сверено с выпиской банка)",OR(COUNTIFS($C$5:$C$504,"Зачёт аванса по договору",$E$5:$E$504,E369)&gt;0,ROUND(E369-$M$6,2)=0)),"БЛОК: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69" s="185" t="str">
        <x:f>IF(AND(B369="",C369="",E369=""),"",SUM($G$5:G369))</x:f>
        <x:v/>
      </x:c>
      <x:c r="K369" s="178"/>
      <x:c r="L369" s="46"/>
      <x:c r="M369" s="46"/>
    </x:row>
    <x:row r="370" ht="29" customHeight="1">
      <x:c r="A370" s="199">
        <x:v>366</x:v>
      </x:c>
      <x:c r="B370" s="162"/>
      <x:c r="C370" s="163"/>
      <x:c r="D370" s="163"/>
      <x:c r="E370" s="164"/>
      <x:c r="F370" s="163"/>
      <x:c r="G370" s="185">
        <x:f t="shared" si="10"/>
        <x:v>0</x:v>
      </x:c>
      <x:c r="H370" s="185">
        <x:f t="shared" si="11"/>
        <x:v>0</x:v>
      </x:c>
      <x:c r="I370" s="186">
        <x:f>IF(AND(B370="",C370="",D370="",E370="",F370=""),"",IF(OR(B370="",C370="",E370=""),"БЛОК: нужны дата, тип операции и сумма",IF(N(E370)&lt;=0,"БЛОК: сумма должна быть больше нуля",IF(AND(H370&lt;&gt;0,F370=""),"БЛОК: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отделить",IF(AND(G370&lt;&gt;0,F370=""),"БЛОК: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нельзя",IF(AND(F370&lt;&gt;"",COUNTIF('Долг по актам'!$B$5:$B$34,F370)=0),"БЛОК: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договору")&gt;0)*($C$5:$C$504&lt;&gt;C370)*($E$5:$E$504=E370)*(($D$5:$D$504=D370)*(D370&lt;&gt;"")+($B$5:$B$504=B370)*(B370&lt;&gt;"")&gt;0))&gt;0,"БЛОК: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операцию",IF(AND(C370="Оплата",K370&lt;&gt;"Отдельный платёж — не сам аванс (сверено с выпиской банка)",OR(COUNTIFS($C$5:$C$504,"Зачёт аванса по договору",$E$5:$E$504,E370)&gt;0,ROUND(E370-$M$6,2)=0)),"БЛОК: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0" s="185" t="str">
        <x:f>IF(AND(B370="",C370="",E370=""),"",SUM($G$5:G370))</x:f>
        <x:v/>
      </x:c>
      <x:c r="K370" s="178"/>
      <x:c r="L370" s="46"/>
      <x:c r="M370" s="46"/>
    </x:row>
    <x:row r="371" ht="29" customHeight="1">
      <x:c r="A371" s="199">
        <x:v>367</x:v>
      </x:c>
      <x:c r="B371" s="162"/>
      <x:c r="C371" s="163"/>
      <x:c r="D371" s="163"/>
      <x:c r="E371" s="164"/>
      <x:c r="F371" s="163"/>
      <x:c r="G371" s="185">
        <x:f t="shared" si="10"/>
        <x:v>0</x:v>
      </x:c>
      <x:c r="H371" s="185">
        <x:f t="shared" si="11"/>
        <x:v>0</x:v>
      </x:c>
      <x:c r="I371" s="186">
        <x:f>IF(AND(B371="",C371="",D371="",E371="",F371=""),"",IF(OR(B371="",C371="",E371=""),"БЛОК: нужны дата, тип операции и сумма",IF(N(E371)&lt;=0,"БЛОК: сумма должна быть больше нуля",IF(AND(H371&lt;&gt;0,F371=""),"БЛОК: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отделить",IF(AND(G371&lt;&gt;0,F371=""),"БЛОК: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нельзя",IF(AND(F371&lt;&gt;"",COUNTIF('Долг по актам'!$B$5:$B$34,F371)=0),"БЛОК: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договору")&gt;0)*($C$5:$C$504&lt;&gt;C371)*($E$5:$E$504=E371)*(($D$5:$D$504=D371)*(D371&lt;&gt;"")+($B$5:$B$504=B371)*(B371&lt;&gt;"")&gt;0))&gt;0,"БЛОК: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операцию",IF(AND(C371="Оплата",K371&lt;&gt;"Отдельный платёж — не сам аванс (сверено с выпиской банка)",OR(COUNTIFS($C$5:$C$504,"Зачёт аванса по договору",$E$5:$E$504,E371)&gt;0,ROUND(E371-$M$6,2)=0)),"БЛОК: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1" s="185" t="str">
        <x:f>IF(AND(B371="",C371="",E371=""),"",SUM($G$5:G371))</x:f>
        <x:v/>
      </x:c>
      <x:c r="K371" s="178"/>
      <x:c r="L371" s="46"/>
      <x:c r="M371" s="46"/>
    </x:row>
    <x:row r="372" ht="29" customHeight="1">
      <x:c r="A372" s="199">
        <x:v>368</x:v>
      </x:c>
      <x:c r="B372" s="162"/>
      <x:c r="C372" s="163"/>
      <x:c r="D372" s="163"/>
      <x:c r="E372" s="164"/>
      <x:c r="F372" s="163"/>
      <x:c r="G372" s="185">
        <x:f t="shared" si="10"/>
        <x:v>0</x:v>
      </x:c>
      <x:c r="H372" s="185">
        <x:f t="shared" si="11"/>
        <x:v>0</x:v>
      </x:c>
      <x:c r="I372" s="186">
        <x:f>IF(AND(B372="",C372="",D372="",E372="",F372=""),"",IF(OR(B372="",C372="",E372=""),"БЛОК: нужны дата, тип операции и сумма",IF(N(E372)&lt;=0,"БЛОК: сумма должна быть больше нуля",IF(AND(H372&lt;&gt;0,F372=""),"БЛОК: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отделить",IF(AND(G372&lt;&gt;0,F372=""),"БЛОК: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нельзя",IF(AND(F372&lt;&gt;"",COUNTIF('Долг по актам'!$B$5:$B$34,F372)=0),"БЛОК: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договору")&gt;0)*($C$5:$C$504&lt;&gt;C372)*($E$5:$E$504=E372)*(($D$5:$D$504=D372)*(D372&lt;&gt;"")+($B$5:$B$504=B372)*(B372&lt;&gt;"")&gt;0))&gt;0,"БЛОК: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операцию",IF(AND(C372="Оплата",K372&lt;&gt;"Отдельный платёж — не сам аванс (сверено с выпиской банка)",OR(COUNTIFS($C$5:$C$504,"Зачёт аванса по договору",$E$5:$E$504,E372)&gt;0,ROUND(E372-$M$6,2)=0)),"БЛОК: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2" s="185" t="str">
        <x:f>IF(AND(B372="",C372="",E372=""),"",SUM($G$5:G372))</x:f>
        <x:v/>
      </x:c>
      <x:c r="K372" s="178"/>
      <x:c r="L372" s="46"/>
      <x:c r="M372" s="46"/>
    </x:row>
    <x:row r="373" ht="29" customHeight="1">
      <x:c r="A373" s="199">
        <x:v>369</x:v>
      </x:c>
      <x:c r="B373" s="162"/>
      <x:c r="C373" s="163"/>
      <x:c r="D373" s="163"/>
      <x:c r="E373" s="164"/>
      <x:c r="F373" s="163"/>
      <x:c r="G373" s="185">
        <x:f t="shared" si="10"/>
        <x:v>0</x:v>
      </x:c>
      <x:c r="H373" s="185">
        <x:f t="shared" si="11"/>
        <x:v>0</x:v>
      </x:c>
      <x:c r="I373" s="186">
        <x:f>IF(AND(B373="",C373="",D373="",E373="",F373=""),"",IF(OR(B373="",C373="",E373=""),"БЛОК: нужны дата, тип операции и сумма",IF(N(E373)&lt;=0,"БЛОК: сумма должна быть больше нуля",IF(AND(H373&lt;&gt;0,F373=""),"БЛОК: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отделить",IF(AND(G373&lt;&gt;0,F373=""),"БЛОК: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нельзя",IF(AND(F373&lt;&gt;"",COUNTIF('Долг по актам'!$B$5:$B$34,F373)=0),"БЛОК: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договору")&gt;0)*($C$5:$C$504&lt;&gt;C373)*($E$5:$E$504=E373)*(($D$5:$D$504=D373)*(D373&lt;&gt;"")+($B$5:$B$504=B373)*(B373&lt;&gt;"")&gt;0))&gt;0,"БЛОК: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операцию",IF(AND(C373="Оплата",K373&lt;&gt;"Отдельный платёж — не сам аванс (сверено с выпиской банка)",OR(COUNTIFS($C$5:$C$504,"Зачёт аванса по договору",$E$5:$E$504,E373)&gt;0,ROUND(E373-$M$6,2)=0)),"БЛОК: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3" s="185" t="str">
        <x:f>IF(AND(B373="",C373="",E373=""),"",SUM($G$5:G373))</x:f>
        <x:v/>
      </x:c>
      <x:c r="K373" s="178"/>
      <x:c r="L373" s="46"/>
      <x:c r="M373" s="46"/>
    </x:row>
    <x:row r="374" ht="29" customHeight="1">
      <x:c r="A374" s="199">
        <x:v>370</x:v>
      </x:c>
      <x:c r="B374" s="162"/>
      <x:c r="C374" s="163"/>
      <x:c r="D374" s="163"/>
      <x:c r="E374" s="164"/>
      <x:c r="F374" s="163"/>
      <x:c r="G374" s="185">
        <x:f t="shared" si="10"/>
        <x:v>0</x:v>
      </x:c>
      <x:c r="H374" s="185">
        <x:f t="shared" si="11"/>
        <x:v>0</x:v>
      </x:c>
      <x:c r="I374" s="186">
        <x:f>IF(AND(B374="",C374="",D374="",E374="",F374=""),"",IF(OR(B374="",C374="",E374=""),"БЛОК: нужны дата, тип операции и сумма",IF(N(E374)&lt;=0,"БЛОК: сумма должна быть больше нуля",IF(AND(H374&lt;&gt;0,F374=""),"БЛОК: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отделить",IF(AND(G374&lt;&gt;0,F374=""),"БЛОК: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нельзя",IF(AND(F374&lt;&gt;"",COUNTIF('Долг по актам'!$B$5:$B$34,F374)=0),"БЛОК: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договору")&gt;0)*($C$5:$C$504&lt;&gt;C374)*($E$5:$E$504=E374)*(($D$5:$D$504=D374)*(D374&lt;&gt;"")+($B$5:$B$504=B374)*(B374&lt;&gt;"")&gt;0))&gt;0,"БЛОК: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операцию",IF(AND(C374="Оплата",K374&lt;&gt;"Отдельный платёж — не сам аванс (сверено с выпиской банка)",OR(COUNTIFS($C$5:$C$504,"Зачёт аванса по договору",$E$5:$E$504,E374)&gt;0,ROUND(E374-$M$6,2)=0)),"БЛОК: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4" s="185" t="str">
        <x:f>IF(AND(B374="",C374="",E374=""),"",SUM($G$5:G374))</x:f>
        <x:v/>
      </x:c>
      <x:c r="K374" s="178"/>
      <x:c r="L374" s="46"/>
      <x:c r="M374" s="46"/>
    </x:row>
    <x:row r="375" ht="29" customHeight="1">
      <x:c r="A375" s="199">
        <x:v>371</x:v>
      </x:c>
      <x:c r="B375" s="162"/>
      <x:c r="C375" s="163"/>
      <x:c r="D375" s="163"/>
      <x:c r="E375" s="164"/>
      <x:c r="F375" s="163"/>
      <x:c r="G375" s="185">
        <x:f t="shared" si="10"/>
        <x:v>0</x:v>
      </x:c>
      <x:c r="H375" s="185">
        <x:f t="shared" si="11"/>
        <x:v>0</x:v>
      </x:c>
      <x:c r="I375" s="186">
        <x:f>IF(AND(B375="",C375="",D375="",E375="",F375=""),"",IF(OR(B375="",C375="",E375=""),"БЛОК: нужны дата, тип операции и сумма",IF(N(E375)&lt;=0,"БЛОК: сумма должна быть больше нуля",IF(AND(H375&lt;&gt;0,F375=""),"БЛОК: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отделить",IF(AND(G375&lt;&gt;0,F375=""),"БЛОК: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нельзя",IF(AND(F375&lt;&gt;"",COUNTIF('Долг по актам'!$B$5:$B$34,F375)=0),"БЛОК: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договору")&gt;0)*($C$5:$C$504&lt;&gt;C375)*($E$5:$E$504=E375)*(($D$5:$D$504=D375)*(D375&lt;&gt;"")+($B$5:$B$504=B375)*(B375&lt;&gt;"")&gt;0))&gt;0,"БЛОК: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операцию",IF(AND(C375="Оплата",K375&lt;&gt;"Отдельный платёж — не сам аванс (сверено с выпиской банка)",OR(COUNTIFS($C$5:$C$504,"Зачёт аванса по договору",$E$5:$E$504,E375)&gt;0,ROUND(E375-$M$6,2)=0)),"БЛОК: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5" s="185" t="str">
        <x:f>IF(AND(B375="",C375="",E375=""),"",SUM($G$5:G375))</x:f>
        <x:v/>
      </x:c>
      <x:c r="K375" s="178"/>
      <x:c r="L375" s="46"/>
      <x:c r="M375" s="46"/>
    </x:row>
    <x:row r="376" ht="29" customHeight="1">
      <x:c r="A376" s="199">
        <x:v>372</x:v>
      </x:c>
      <x:c r="B376" s="162"/>
      <x:c r="C376" s="163"/>
      <x:c r="D376" s="163"/>
      <x:c r="E376" s="164"/>
      <x:c r="F376" s="163"/>
      <x:c r="G376" s="185">
        <x:f t="shared" si="10"/>
        <x:v>0</x:v>
      </x:c>
      <x:c r="H376" s="185">
        <x:f t="shared" si="11"/>
        <x:v>0</x:v>
      </x:c>
      <x:c r="I376" s="186">
        <x:f>IF(AND(B376="",C376="",D376="",E376="",F376=""),"",IF(OR(B376="",C376="",E376=""),"БЛОК: нужны дата, тип операции и сумма",IF(N(E376)&lt;=0,"БЛОК: сумма должна быть больше нуля",IF(AND(H376&lt;&gt;0,F376=""),"БЛОК: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отделить",IF(AND(G376&lt;&gt;0,F376=""),"БЛОК: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нельзя",IF(AND(F376&lt;&gt;"",COUNTIF('Долг по актам'!$B$5:$B$34,F376)=0),"БЛОК: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договору")&gt;0)*($C$5:$C$504&lt;&gt;C376)*($E$5:$E$504=E376)*(($D$5:$D$504=D376)*(D376&lt;&gt;"")+($B$5:$B$504=B376)*(B376&lt;&gt;"")&gt;0))&gt;0,"БЛОК: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операцию",IF(AND(C376="Оплата",K376&lt;&gt;"Отдельный платёж — не сам аванс (сверено с выпиской банка)",OR(COUNTIFS($C$5:$C$504,"Зачёт аванса по договору",$E$5:$E$504,E376)&gt;0,ROUND(E376-$M$6,2)=0)),"БЛОК: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6" s="185" t="str">
        <x:f>IF(AND(B376="",C376="",E376=""),"",SUM($G$5:G376))</x:f>
        <x:v/>
      </x:c>
      <x:c r="K376" s="178"/>
      <x:c r="L376" s="46"/>
      <x:c r="M376" s="46"/>
    </x:row>
    <x:row r="377" ht="29" customHeight="1">
      <x:c r="A377" s="199">
        <x:v>373</x:v>
      </x:c>
      <x:c r="B377" s="162"/>
      <x:c r="C377" s="163"/>
      <x:c r="D377" s="163"/>
      <x:c r="E377" s="164"/>
      <x:c r="F377" s="163"/>
      <x:c r="G377" s="185">
        <x:f t="shared" si="10"/>
        <x:v>0</x:v>
      </x:c>
      <x:c r="H377" s="185">
        <x:f t="shared" si="11"/>
        <x:v>0</x:v>
      </x:c>
      <x:c r="I377" s="186">
        <x:f>IF(AND(B377="",C377="",D377="",E377="",F377=""),"",IF(OR(B377="",C377="",E377=""),"БЛОК: нужны дата, тип операции и сумма",IF(N(E377)&lt;=0,"БЛОК: сумма должна быть больше нуля",IF(AND(H377&lt;&gt;0,F377=""),"БЛОК: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отделить",IF(AND(G377&lt;&gt;0,F377=""),"БЛОК: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нельзя",IF(AND(F377&lt;&gt;"",COUNTIF('Долг по актам'!$B$5:$B$34,F377)=0),"БЛОК: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договору")&gt;0)*($C$5:$C$504&lt;&gt;C377)*($E$5:$E$504=E377)*(($D$5:$D$504=D377)*(D377&lt;&gt;"")+($B$5:$B$504=B377)*(B377&lt;&gt;"")&gt;0))&gt;0,"БЛОК: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операцию",IF(AND(C377="Оплата",K377&lt;&gt;"Отдельный платёж — не сам аванс (сверено с выпиской банка)",OR(COUNTIFS($C$5:$C$504,"Зачёт аванса по договору",$E$5:$E$504,E377)&gt;0,ROUND(E377-$M$6,2)=0)),"БЛОК: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7" s="185" t="str">
        <x:f>IF(AND(B377="",C377="",E377=""),"",SUM($G$5:G377))</x:f>
        <x:v/>
      </x:c>
      <x:c r="K377" s="178"/>
      <x:c r="L377" s="46"/>
      <x:c r="M377" s="46"/>
    </x:row>
    <x:row r="378" ht="29" customHeight="1">
      <x:c r="A378" s="199">
        <x:v>374</x:v>
      </x:c>
      <x:c r="B378" s="162"/>
      <x:c r="C378" s="163"/>
      <x:c r="D378" s="163"/>
      <x:c r="E378" s="164"/>
      <x:c r="F378" s="163"/>
      <x:c r="G378" s="185">
        <x:f t="shared" si="10"/>
        <x:v>0</x:v>
      </x:c>
      <x:c r="H378" s="185">
        <x:f t="shared" si="11"/>
        <x:v>0</x:v>
      </x:c>
      <x:c r="I378" s="186">
        <x:f>IF(AND(B378="",C378="",D378="",E378="",F378=""),"",IF(OR(B378="",C378="",E378=""),"БЛОК: нужны дата, тип операции и сумма",IF(N(E378)&lt;=0,"БЛОК: сумма должна быть больше нуля",IF(AND(H378&lt;&gt;0,F378=""),"БЛОК: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отделить",IF(AND(G378&lt;&gt;0,F378=""),"БЛОК: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нельзя",IF(AND(F378&lt;&gt;"",COUNTIF('Долг по актам'!$B$5:$B$34,F378)=0),"БЛОК: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договору")&gt;0)*($C$5:$C$504&lt;&gt;C378)*($E$5:$E$504=E378)*(($D$5:$D$504=D378)*(D378&lt;&gt;"")+($B$5:$B$504=B378)*(B378&lt;&gt;"")&gt;0))&gt;0,"БЛОК: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операцию",IF(AND(C378="Оплата",K378&lt;&gt;"Отдельный платёж — не сам аванс (сверено с выпиской банка)",OR(COUNTIFS($C$5:$C$504,"Зачёт аванса по договору",$E$5:$E$504,E378)&gt;0,ROUND(E378-$M$6,2)=0)),"БЛОК: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8" s="185" t="str">
        <x:f>IF(AND(B378="",C378="",E378=""),"",SUM($G$5:G378))</x:f>
        <x:v/>
      </x:c>
      <x:c r="K378" s="178"/>
      <x:c r="L378" s="46"/>
      <x:c r="M378" s="46"/>
    </x:row>
    <x:row r="379" ht="29" customHeight="1">
      <x:c r="A379" s="199">
        <x:v>375</x:v>
      </x:c>
      <x:c r="B379" s="162"/>
      <x:c r="C379" s="163"/>
      <x:c r="D379" s="163"/>
      <x:c r="E379" s="164"/>
      <x:c r="F379" s="163"/>
      <x:c r="G379" s="185">
        <x:f t="shared" si="10"/>
        <x:v>0</x:v>
      </x:c>
      <x:c r="H379" s="185">
        <x:f t="shared" si="11"/>
        <x:v>0</x:v>
      </x:c>
      <x:c r="I379" s="186">
        <x:f>IF(AND(B379="",C379="",D379="",E379="",F379=""),"",IF(OR(B379="",C379="",E379=""),"БЛОК: нужны дата, тип операции и сумма",IF(N(E379)&lt;=0,"БЛОК: сумма должна быть больше нуля",IF(AND(H379&lt;&gt;0,F379=""),"БЛОК: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отделить",IF(AND(G379&lt;&gt;0,F379=""),"БЛОК: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нельзя",IF(AND(F379&lt;&gt;"",COUNTIF('Долг по актам'!$B$5:$B$34,F379)=0),"БЛОК: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договору")&gt;0)*($C$5:$C$504&lt;&gt;C379)*($E$5:$E$504=E379)*(($D$5:$D$504=D379)*(D379&lt;&gt;"")+($B$5:$B$504=B379)*(B379&lt;&gt;"")&gt;0))&gt;0,"БЛОК: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операцию",IF(AND(C379="Оплата",K379&lt;&gt;"Отдельный платёж — не сам аванс (сверено с выпиской банка)",OR(COUNTIFS($C$5:$C$504,"Зачёт аванса по договору",$E$5:$E$504,E379)&gt;0,ROUND(E379-$M$6,2)=0)),"БЛОК: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79" s="185" t="str">
        <x:f>IF(AND(B379="",C379="",E379=""),"",SUM($G$5:G379))</x:f>
        <x:v/>
      </x:c>
      <x:c r="K379" s="178"/>
      <x:c r="L379" s="46"/>
      <x:c r="M379" s="46"/>
    </x:row>
    <x:row r="380" ht="29" customHeight="1">
      <x:c r="A380" s="199">
        <x:v>376</x:v>
      </x:c>
      <x:c r="B380" s="162"/>
      <x:c r="C380" s="163"/>
      <x:c r="D380" s="163"/>
      <x:c r="E380" s="164"/>
      <x:c r="F380" s="163"/>
      <x:c r="G380" s="185">
        <x:f t="shared" si="10"/>
        <x:v>0</x:v>
      </x:c>
      <x:c r="H380" s="185">
        <x:f t="shared" si="11"/>
        <x:v>0</x:v>
      </x:c>
      <x:c r="I380" s="186">
        <x:f>IF(AND(B380="",C380="",D380="",E380="",F380=""),"",IF(OR(B380="",C380="",E380=""),"БЛОК: нужны дата, тип операции и сумма",IF(N(E380)&lt;=0,"БЛОК: сумма должна быть больше нуля",IF(AND(H380&lt;&gt;0,F380=""),"БЛОК: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отделить",IF(AND(G380&lt;&gt;0,F380=""),"БЛОК: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нельзя",IF(AND(F380&lt;&gt;"",COUNTIF('Долг по актам'!$B$5:$B$34,F380)=0),"БЛОК: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договору")&gt;0)*($C$5:$C$504&lt;&gt;C380)*($E$5:$E$504=E380)*(($D$5:$D$504=D380)*(D380&lt;&gt;"")+($B$5:$B$504=B380)*(B380&lt;&gt;"")&gt;0))&gt;0,"БЛОК: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операцию",IF(AND(C380="Оплата",K380&lt;&gt;"Отдельный платёж — не сам аванс (сверено с выпиской банка)",OR(COUNTIFS($C$5:$C$504,"Зачёт аванса по договору",$E$5:$E$504,E380)&gt;0,ROUND(E380-$M$6,2)=0)),"БЛОК: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0" s="185" t="str">
        <x:f>IF(AND(B380="",C380="",E380=""),"",SUM($G$5:G380))</x:f>
        <x:v/>
      </x:c>
      <x:c r="K380" s="178"/>
      <x:c r="L380" s="46"/>
      <x:c r="M380" s="46"/>
    </x:row>
    <x:row r="381" ht="29" customHeight="1">
      <x:c r="A381" s="199">
        <x:v>377</x:v>
      </x:c>
      <x:c r="B381" s="162"/>
      <x:c r="C381" s="163"/>
      <x:c r="D381" s="163"/>
      <x:c r="E381" s="164"/>
      <x:c r="F381" s="163"/>
      <x:c r="G381" s="185">
        <x:f t="shared" si="10"/>
        <x:v>0</x:v>
      </x:c>
      <x:c r="H381" s="185">
        <x:f t="shared" si="11"/>
        <x:v>0</x:v>
      </x:c>
      <x:c r="I381" s="186">
        <x:f>IF(AND(B381="",C381="",D381="",E381="",F381=""),"",IF(OR(B381="",C381="",E381=""),"БЛОК: нужны дата, тип операции и сумма",IF(N(E381)&lt;=0,"БЛОК: сумма должна быть больше нуля",IF(AND(H381&lt;&gt;0,F381=""),"БЛОК: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отделить",IF(AND(G381&lt;&gt;0,F381=""),"БЛОК: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нельзя",IF(AND(F381&lt;&gt;"",COUNTIF('Долг по актам'!$B$5:$B$34,F381)=0),"БЛОК: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договору")&gt;0)*($C$5:$C$504&lt;&gt;C381)*($E$5:$E$504=E381)*(($D$5:$D$504=D381)*(D381&lt;&gt;"")+($B$5:$B$504=B381)*(B381&lt;&gt;"")&gt;0))&gt;0,"БЛОК: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операцию",IF(AND(C381="Оплата",K381&lt;&gt;"Отдельный платёж — не сам аванс (сверено с выпиской банка)",OR(COUNTIFS($C$5:$C$504,"Зачёт аванса по договору",$E$5:$E$504,E381)&gt;0,ROUND(E381-$M$6,2)=0)),"БЛОК: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1" s="185" t="str">
        <x:f>IF(AND(B381="",C381="",E381=""),"",SUM($G$5:G381))</x:f>
        <x:v/>
      </x:c>
      <x:c r="K381" s="178"/>
      <x:c r="L381" s="46"/>
      <x:c r="M381" s="46"/>
    </x:row>
    <x:row r="382" ht="29" customHeight="1">
      <x:c r="A382" s="199">
        <x:v>378</x:v>
      </x:c>
      <x:c r="B382" s="162"/>
      <x:c r="C382" s="163"/>
      <x:c r="D382" s="163"/>
      <x:c r="E382" s="164"/>
      <x:c r="F382" s="163"/>
      <x:c r="G382" s="185">
        <x:f t="shared" si="10"/>
        <x:v>0</x:v>
      </x:c>
      <x:c r="H382" s="185">
        <x:f t="shared" si="11"/>
        <x:v>0</x:v>
      </x:c>
      <x:c r="I382" s="186">
        <x:f>IF(AND(B382="",C382="",D382="",E382="",F382=""),"",IF(OR(B382="",C382="",E382=""),"БЛОК: нужны дата, тип операции и сумма",IF(N(E382)&lt;=0,"БЛОК: сумма должна быть больше нуля",IF(AND(H382&lt;&gt;0,F382=""),"БЛОК: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отделить",IF(AND(G382&lt;&gt;0,F382=""),"БЛОК: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нельзя",IF(AND(F382&lt;&gt;"",COUNTIF('Долг по актам'!$B$5:$B$34,F382)=0),"БЛОК: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договору")&gt;0)*($C$5:$C$504&lt;&gt;C382)*($E$5:$E$504=E382)*(($D$5:$D$504=D382)*(D382&lt;&gt;"")+($B$5:$B$504=B382)*(B382&lt;&gt;"")&gt;0))&gt;0,"БЛОК: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операцию",IF(AND(C382="Оплата",K382&lt;&gt;"Отдельный платёж — не сам аванс (сверено с выпиской банка)",OR(COUNTIFS($C$5:$C$504,"Зачёт аванса по договору",$E$5:$E$504,E382)&gt;0,ROUND(E382-$M$6,2)=0)),"БЛОК: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2" s="185" t="str">
        <x:f>IF(AND(B382="",C382="",E382=""),"",SUM($G$5:G382))</x:f>
        <x:v/>
      </x:c>
      <x:c r="K382" s="178"/>
      <x:c r="L382" s="46"/>
      <x:c r="M382" s="46"/>
    </x:row>
    <x:row r="383" ht="29" customHeight="1">
      <x:c r="A383" s="199">
        <x:v>379</x:v>
      </x:c>
      <x:c r="B383" s="162"/>
      <x:c r="C383" s="163"/>
      <x:c r="D383" s="163"/>
      <x:c r="E383" s="164"/>
      <x:c r="F383" s="163"/>
      <x:c r="G383" s="185">
        <x:f t="shared" si="10"/>
        <x:v>0</x:v>
      </x:c>
      <x:c r="H383" s="185">
        <x:f t="shared" si="11"/>
        <x:v>0</x:v>
      </x:c>
      <x:c r="I383" s="186">
        <x:f>IF(AND(B383="",C383="",D383="",E383="",F383=""),"",IF(OR(B383="",C383="",E383=""),"БЛОК: нужны дата, тип операции и сумма",IF(N(E383)&lt;=0,"БЛОК: сумма должна быть больше нуля",IF(AND(H383&lt;&gt;0,F383=""),"БЛОК: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отделить",IF(AND(G383&lt;&gt;0,F383=""),"БЛОК: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нельзя",IF(AND(F383&lt;&gt;"",COUNTIF('Долг по актам'!$B$5:$B$34,F383)=0),"БЛОК: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договору")&gt;0)*($C$5:$C$504&lt;&gt;C383)*($E$5:$E$504=E383)*(($D$5:$D$504=D383)*(D383&lt;&gt;"")+($B$5:$B$504=B383)*(B383&lt;&gt;"")&gt;0))&gt;0,"БЛОК: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операцию",IF(AND(C383="Оплата",K383&lt;&gt;"Отдельный платёж — не сам аванс (сверено с выпиской банка)",OR(COUNTIFS($C$5:$C$504,"Зачёт аванса по договору",$E$5:$E$504,E383)&gt;0,ROUND(E383-$M$6,2)=0)),"БЛОК: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3" s="185" t="str">
        <x:f>IF(AND(B383="",C383="",E383=""),"",SUM($G$5:G383))</x:f>
        <x:v/>
      </x:c>
      <x:c r="K383" s="178"/>
      <x:c r="L383" s="46"/>
      <x:c r="M383" s="46"/>
    </x:row>
    <x:row r="384" ht="29" customHeight="1">
      <x:c r="A384" s="199">
        <x:v>380</x:v>
      </x:c>
      <x:c r="B384" s="162"/>
      <x:c r="C384" s="163"/>
      <x:c r="D384" s="163"/>
      <x:c r="E384" s="164"/>
      <x:c r="F384" s="163"/>
      <x:c r="G384" s="185">
        <x:f t="shared" si="10"/>
        <x:v>0</x:v>
      </x:c>
      <x:c r="H384" s="185">
        <x:f t="shared" si="11"/>
        <x:v>0</x:v>
      </x:c>
      <x:c r="I384" s="186">
        <x:f>IF(AND(B384="",C384="",D384="",E384="",F384=""),"",IF(OR(B384="",C384="",E384=""),"БЛОК: нужны дата, тип операции и сумма",IF(N(E384)&lt;=0,"БЛОК: сумма должна быть больше нуля",IF(AND(H384&lt;&gt;0,F384=""),"БЛОК: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отделить",IF(AND(G384&lt;&gt;0,F384=""),"БЛОК: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нельзя",IF(AND(F384&lt;&gt;"",COUNTIF('Долг по актам'!$B$5:$B$34,F384)=0),"БЛОК: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договору")&gt;0)*($C$5:$C$504&lt;&gt;C384)*($E$5:$E$504=E384)*(($D$5:$D$504=D384)*(D384&lt;&gt;"")+($B$5:$B$504=B384)*(B384&lt;&gt;"")&gt;0))&gt;0,"БЛОК: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операцию",IF(AND(C384="Оплата",K384&lt;&gt;"Отдельный платёж — не сам аванс (сверено с выпиской банка)",OR(COUNTIFS($C$5:$C$504,"Зачёт аванса по договору",$E$5:$E$504,E384)&gt;0,ROUND(E384-$M$6,2)=0)),"БЛОК: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4" s="185" t="str">
        <x:f>IF(AND(B384="",C384="",E384=""),"",SUM($G$5:G384))</x:f>
        <x:v/>
      </x:c>
      <x:c r="K384" s="178"/>
      <x:c r="L384" s="46"/>
      <x:c r="M384" s="46"/>
    </x:row>
    <x:row r="385" ht="29" customHeight="1">
      <x:c r="A385" s="199">
        <x:v>381</x:v>
      </x:c>
      <x:c r="B385" s="162"/>
      <x:c r="C385" s="163"/>
      <x:c r="D385" s="163"/>
      <x:c r="E385" s="164"/>
      <x:c r="F385" s="163"/>
      <x:c r="G385" s="185">
        <x:f t="shared" si="10"/>
        <x:v>0</x:v>
      </x:c>
      <x:c r="H385" s="185">
        <x:f t="shared" si="11"/>
        <x:v>0</x:v>
      </x:c>
      <x:c r="I385" s="186">
        <x:f>IF(AND(B385="",C385="",D385="",E385="",F385=""),"",IF(OR(B385="",C385="",E385=""),"БЛОК: нужны дата, тип операции и сумма",IF(N(E385)&lt;=0,"БЛОК: сумма должна быть больше нуля",IF(AND(H385&lt;&gt;0,F385=""),"БЛОК: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отделить",IF(AND(G385&lt;&gt;0,F385=""),"БЛОК: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нельзя",IF(AND(F385&lt;&gt;"",COUNTIF('Долг по актам'!$B$5:$B$34,F385)=0),"БЛОК: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договору")&gt;0)*($C$5:$C$504&lt;&gt;C385)*($E$5:$E$504=E385)*(($D$5:$D$504=D385)*(D385&lt;&gt;"")+($B$5:$B$504=B385)*(B385&lt;&gt;"")&gt;0))&gt;0,"БЛОК: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операцию",IF(AND(C385="Оплата",K385&lt;&gt;"Отдельный платёж — не сам аванс (сверено с выпиской банка)",OR(COUNTIFS($C$5:$C$504,"Зачёт аванса по договору",$E$5:$E$504,E385)&gt;0,ROUND(E385-$M$6,2)=0)),"БЛОК: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5" s="185" t="str">
        <x:f>IF(AND(B385="",C385="",E385=""),"",SUM($G$5:G385))</x:f>
        <x:v/>
      </x:c>
      <x:c r="K385" s="178"/>
      <x:c r="L385" s="46"/>
      <x:c r="M385" s="46"/>
    </x:row>
    <x:row r="386" ht="29" customHeight="1">
      <x:c r="A386" s="199">
        <x:v>382</x:v>
      </x:c>
      <x:c r="B386" s="162"/>
      <x:c r="C386" s="163"/>
      <x:c r="D386" s="163"/>
      <x:c r="E386" s="164"/>
      <x:c r="F386" s="163"/>
      <x:c r="G386" s="185">
        <x:f t="shared" si="10"/>
        <x:v>0</x:v>
      </x:c>
      <x:c r="H386" s="185">
        <x:f t="shared" si="11"/>
        <x:v>0</x:v>
      </x:c>
      <x:c r="I386" s="186">
        <x:f>IF(AND(B386="",C386="",D386="",E386="",F386=""),"",IF(OR(B386="",C386="",E386=""),"БЛОК: нужны дата, тип операции и сумма",IF(N(E386)&lt;=0,"БЛОК: сумма должна быть больше нуля",IF(AND(H386&lt;&gt;0,F386=""),"БЛОК: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отделить",IF(AND(G386&lt;&gt;0,F386=""),"БЛОК: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нельзя",IF(AND(F386&lt;&gt;"",COUNTIF('Долг по актам'!$B$5:$B$34,F386)=0),"БЛОК: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договору")&gt;0)*($C$5:$C$504&lt;&gt;C386)*($E$5:$E$504=E386)*(($D$5:$D$504=D386)*(D386&lt;&gt;"")+($B$5:$B$504=B386)*(B386&lt;&gt;"")&gt;0))&gt;0,"БЛОК: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операцию",IF(AND(C386="Оплата",K386&lt;&gt;"Отдельный платёж — не сам аванс (сверено с выпиской банка)",OR(COUNTIFS($C$5:$C$504,"Зачёт аванса по договору",$E$5:$E$504,E386)&gt;0,ROUND(E386-$M$6,2)=0)),"БЛОК: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6" s="185" t="str">
        <x:f>IF(AND(B386="",C386="",E386=""),"",SUM($G$5:G386))</x:f>
        <x:v/>
      </x:c>
      <x:c r="K386" s="178"/>
      <x:c r="L386" s="46"/>
      <x:c r="M386" s="46"/>
    </x:row>
    <x:row r="387" ht="29" customHeight="1">
      <x:c r="A387" s="199">
        <x:v>383</x:v>
      </x:c>
      <x:c r="B387" s="162"/>
      <x:c r="C387" s="163"/>
      <x:c r="D387" s="163"/>
      <x:c r="E387" s="164"/>
      <x:c r="F387" s="163"/>
      <x:c r="G387" s="185">
        <x:f t="shared" si="10"/>
        <x:v>0</x:v>
      </x:c>
      <x:c r="H387" s="185">
        <x:f t="shared" si="11"/>
        <x:v>0</x:v>
      </x:c>
      <x:c r="I387" s="186">
        <x:f>IF(AND(B387="",C387="",D387="",E387="",F387=""),"",IF(OR(B387="",C387="",E387=""),"БЛОК: нужны дата, тип операции и сумма",IF(N(E387)&lt;=0,"БЛОК: сумма должна быть больше нуля",IF(AND(H387&lt;&gt;0,F387=""),"БЛОК: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отделить",IF(AND(G387&lt;&gt;0,F387=""),"БЛОК: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нельзя",IF(AND(F387&lt;&gt;"",COUNTIF('Долг по актам'!$B$5:$B$34,F387)=0),"БЛОК: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договору")&gt;0)*($C$5:$C$504&lt;&gt;C387)*($E$5:$E$504=E387)*(($D$5:$D$504=D387)*(D387&lt;&gt;"")+($B$5:$B$504=B387)*(B387&lt;&gt;"")&gt;0))&gt;0,"БЛОК: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операцию",IF(AND(C387="Оплата",K387&lt;&gt;"Отдельный платёж — не сам аванс (сверено с выпиской банка)",OR(COUNTIFS($C$5:$C$504,"Зачёт аванса по договору",$E$5:$E$504,E387)&gt;0,ROUND(E387-$M$6,2)=0)),"БЛОК: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7" s="185" t="str">
        <x:f>IF(AND(B387="",C387="",E387=""),"",SUM($G$5:G387))</x:f>
        <x:v/>
      </x:c>
      <x:c r="K387" s="178"/>
      <x:c r="L387" s="46"/>
      <x:c r="M387" s="46"/>
    </x:row>
    <x:row r="388" ht="29" customHeight="1">
      <x:c r="A388" s="199">
        <x:v>384</x:v>
      </x:c>
      <x:c r="B388" s="162"/>
      <x:c r="C388" s="163"/>
      <x:c r="D388" s="163"/>
      <x:c r="E388" s="164"/>
      <x:c r="F388" s="163"/>
      <x:c r="G388" s="185">
        <x:f t="shared" si="10"/>
        <x:v>0</x:v>
      </x:c>
      <x:c r="H388" s="185">
        <x:f t="shared" si="11"/>
        <x:v>0</x:v>
      </x:c>
      <x:c r="I388" s="186">
        <x:f>IF(AND(B388="",C388="",D388="",E388="",F388=""),"",IF(OR(B388="",C388="",E388=""),"БЛОК: нужны дата, тип операции и сумма",IF(N(E388)&lt;=0,"БЛОК: сумма должна быть больше нуля",IF(AND(H388&lt;&gt;0,F388=""),"БЛОК: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отделить",IF(AND(G388&lt;&gt;0,F388=""),"БЛОК: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нельзя",IF(AND(F388&lt;&gt;"",COUNTIF('Долг по актам'!$B$5:$B$34,F388)=0),"БЛОК: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договору")&gt;0)*($C$5:$C$504&lt;&gt;C388)*($E$5:$E$504=E388)*(($D$5:$D$504=D388)*(D388&lt;&gt;"")+($B$5:$B$504=B388)*(B388&lt;&gt;"")&gt;0))&gt;0,"БЛОК: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операцию",IF(AND(C388="Оплата",K388&lt;&gt;"Отдельный платёж — не сам аванс (сверено с выпиской банка)",OR(COUNTIFS($C$5:$C$504,"Зачёт аванса по договору",$E$5:$E$504,E388)&gt;0,ROUND(E388-$M$6,2)=0)),"БЛОК: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8" s="185" t="str">
        <x:f>IF(AND(B388="",C388="",E388=""),"",SUM($G$5:G388))</x:f>
        <x:v/>
      </x:c>
      <x:c r="K388" s="178"/>
      <x:c r="L388" s="46"/>
      <x:c r="M388" s="46"/>
    </x:row>
    <x:row r="389" ht="29" customHeight="1">
      <x:c r="A389" s="199">
        <x:v>385</x:v>
      </x:c>
      <x:c r="B389" s="162"/>
      <x:c r="C389" s="163"/>
      <x:c r="D389" s="163"/>
      <x:c r="E389" s="164"/>
      <x:c r="F389" s="163"/>
      <x:c r="G389" s="185">
        <x:f t="shared" ref="G389:G452" si="12">IF(OR(C389="",E389=""),0,IF(C389="Начисление по акту",E389,IF(OR(C389="Оплата",C389="Зачёт аванса по договору"),-E389,IF(C389="Корректировка (подписана обеими сторонами)",E389,0))))</x:f>
        <x:v>0</x:v>
      </x:c>
      <x:c r="H389" s="185">
        <x:f t="shared" ref="H389:H452" si="13">IF(OR(C389="Удержание",C389="Зачёт встречного требования",C389="Неустойка заявлена",C389="Допработы без соглашения (спорно)"),N(E389),0)</x:f>
        <x:v>0</x:v>
      </x:c>
      <x:c r="I389" s="186">
        <x:f>IF(AND(B389="",C389="",D389="",E389="",F389=""),"",IF(OR(B389="",C389="",E389=""),"БЛОК: нужны дата, тип операции и сумма",IF(N(E389)&lt;=0,"БЛОК: сумма должна быть больше нуля",IF(AND(H389&lt;&gt;0,F389=""),"БЛОК: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отделить",IF(AND(G389&lt;&gt;0,F389=""),"БЛОК: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нельзя",IF(AND(F389&lt;&gt;"",COUNTIF('Долг по актам'!$B$5:$B$34,F389)=0),"БЛОК: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договору")&gt;0)*($C$5:$C$504&lt;&gt;C389)*($E$5:$E$504=E389)*(($D$5:$D$504=D389)*(D389&lt;&gt;"")+($B$5:$B$504=B389)*(B389&lt;&gt;"")&gt;0))&gt;0,"БЛОК: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операцию",IF(AND(C389="Оплата",K389&lt;&gt;"Отдельный платёж — не сам аванс (сверено с выпиской банка)",OR(COUNTIFS($C$5:$C$504,"Зачёт аванса по договору",$E$5:$E$504,E389)&gt;0,ROUND(E389-$M$6,2)=0)),"БЛОК: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89" s="185" t="str">
        <x:f>IF(AND(B389="",C389="",E389=""),"",SUM($G$5:G389))</x:f>
        <x:v/>
      </x:c>
      <x:c r="K389" s="178"/>
      <x:c r="L389" s="46"/>
      <x:c r="M389" s="46"/>
    </x:row>
    <x:row r="390" ht="29" customHeight="1">
      <x:c r="A390" s="199">
        <x:v>386</x:v>
      </x:c>
      <x:c r="B390" s="162"/>
      <x:c r="C390" s="163"/>
      <x:c r="D390" s="163"/>
      <x:c r="E390" s="164"/>
      <x:c r="F390" s="163"/>
      <x:c r="G390" s="185">
        <x:f t="shared" si="12"/>
        <x:v>0</x:v>
      </x:c>
      <x:c r="H390" s="185">
        <x:f t="shared" si="13"/>
        <x:v>0</x:v>
      </x:c>
      <x:c r="I390" s="186">
        <x:f>IF(AND(B390="",C390="",D390="",E390="",F390=""),"",IF(OR(B390="",C390="",E390=""),"БЛОК: нужны дата, тип операции и сумма",IF(N(E390)&lt;=0,"БЛОК: сумма должна быть больше нуля",IF(AND(H390&lt;&gt;0,F390=""),"БЛОК: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отделить",IF(AND(G390&lt;&gt;0,F390=""),"БЛОК: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нельзя",IF(AND(F390&lt;&gt;"",COUNTIF('Долг по актам'!$B$5:$B$34,F390)=0),"БЛОК: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договору")&gt;0)*($C$5:$C$504&lt;&gt;C390)*($E$5:$E$504=E390)*(($D$5:$D$504=D390)*(D390&lt;&gt;"")+($B$5:$B$504=B390)*(B390&lt;&gt;"")&gt;0))&gt;0,"БЛОК: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операцию",IF(AND(C390="Оплата",K390&lt;&gt;"Отдельный платёж — не сам аванс (сверено с выпиской банка)",OR(COUNTIFS($C$5:$C$504,"Зачёт аванса по договору",$E$5:$E$504,E390)&gt;0,ROUND(E390-$M$6,2)=0)),"БЛОК: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0" s="185" t="str">
        <x:f>IF(AND(B390="",C390="",E390=""),"",SUM($G$5:G390))</x:f>
        <x:v/>
      </x:c>
      <x:c r="K390" s="178"/>
      <x:c r="L390" s="46"/>
      <x:c r="M390" s="46"/>
    </x:row>
    <x:row r="391" ht="29" customHeight="1">
      <x:c r="A391" s="199">
        <x:v>387</x:v>
      </x:c>
      <x:c r="B391" s="162"/>
      <x:c r="C391" s="163"/>
      <x:c r="D391" s="163"/>
      <x:c r="E391" s="164"/>
      <x:c r="F391" s="163"/>
      <x:c r="G391" s="185">
        <x:f t="shared" si="12"/>
        <x:v>0</x:v>
      </x:c>
      <x:c r="H391" s="185">
        <x:f t="shared" si="13"/>
        <x:v>0</x:v>
      </x:c>
      <x:c r="I391" s="186">
        <x:f>IF(AND(B391="",C391="",D391="",E391="",F391=""),"",IF(OR(B391="",C391="",E391=""),"БЛОК: нужны дата, тип операции и сумма",IF(N(E391)&lt;=0,"БЛОК: сумма должна быть больше нуля",IF(AND(H391&lt;&gt;0,F391=""),"БЛОК: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отделить",IF(AND(G391&lt;&gt;0,F391=""),"БЛОК: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нельзя",IF(AND(F391&lt;&gt;"",COUNTIF('Долг по актам'!$B$5:$B$34,F391)=0),"БЛОК: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договору")&gt;0)*($C$5:$C$504&lt;&gt;C391)*($E$5:$E$504=E391)*(($D$5:$D$504=D391)*(D391&lt;&gt;"")+($B$5:$B$504=B391)*(B391&lt;&gt;"")&gt;0))&gt;0,"БЛОК: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операцию",IF(AND(C391="Оплата",K391&lt;&gt;"Отдельный платёж — не сам аванс (сверено с выпиской банка)",OR(COUNTIFS($C$5:$C$504,"Зачёт аванса по договору",$E$5:$E$504,E391)&gt;0,ROUND(E391-$M$6,2)=0)),"БЛОК: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1" s="185" t="str">
        <x:f>IF(AND(B391="",C391="",E391=""),"",SUM($G$5:G391))</x:f>
        <x:v/>
      </x:c>
      <x:c r="K391" s="178"/>
      <x:c r="L391" s="46"/>
      <x:c r="M391" s="46"/>
    </x:row>
    <x:row r="392" ht="29" customHeight="1">
      <x:c r="A392" s="199">
        <x:v>388</x:v>
      </x:c>
      <x:c r="B392" s="162"/>
      <x:c r="C392" s="163"/>
      <x:c r="D392" s="163"/>
      <x:c r="E392" s="164"/>
      <x:c r="F392" s="163"/>
      <x:c r="G392" s="185">
        <x:f t="shared" si="12"/>
        <x:v>0</x:v>
      </x:c>
      <x:c r="H392" s="185">
        <x:f t="shared" si="13"/>
        <x:v>0</x:v>
      </x:c>
      <x:c r="I392" s="186">
        <x:f>IF(AND(B392="",C392="",D392="",E392="",F392=""),"",IF(OR(B392="",C392="",E392=""),"БЛОК: нужны дата, тип операции и сумма",IF(N(E392)&lt;=0,"БЛОК: сумма должна быть больше нуля",IF(AND(H392&lt;&gt;0,F392=""),"БЛОК: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отделить",IF(AND(G392&lt;&gt;0,F392=""),"БЛОК: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нельзя",IF(AND(F392&lt;&gt;"",COUNTIF('Долг по актам'!$B$5:$B$34,F392)=0),"БЛОК: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договору")&gt;0)*($C$5:$C$504&lt;&gt;C392)*($E$5:$E$504=E392)*(($D$5:$D$504=D392)*(D392&lt;&gt;"")+($B$5:$B$504=B392)*(B392&lt;&gt;"")&gt;0))&gt;0,"БЛОК: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операцию",IF(AND(C392="Оплата",K392&lt;&gt;"Отдельный платёж — не сам аванс (сверено с выпиской банка)",OR(COUNTIFS($C$5:$C$504,"Зачёт аванса по договору",$E$5:$E$504,E392)&gt;0,ROUND(E392-$M$6,2)=0)),"БЛОК: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2" s="185" t="str">
        <x:f>IF(AND(B392="",C392="",E392=""),"",SUM($G$5:G392))</x:f>
        <x:v/>
      </x:c>
      <x:c r="K392" s="178"/>
      <x:c r="L392" s="46"/>
      <x:c r="M392" s="46"/>
    </x:row>
    <x:row r="393" ht="29" customHeight="1">
      <x:c r="A393" s="199">
        <x:v>389</x:v>
      </x:c>
      <x:c r="B393" s="162"/>
      <x:c r="C393" s="163"/>
      <x:c r="D393" s="163"/>
      <x:c r="E393" s="164"/>
      <x:c r="F393" s="163"/>
      <x:c r="G393" s="185">
        <x:f t="shared" si="12"/>
        <x:v>0</x:v>
      </x:c>
      <x:c r="H393" s="185">
        <x:f t="shared" si="13"/>
        <x:v>0</x:v>
      </x:c>
      <x:c r="I393" s="186">
        <x:f>IF(AND(B393="",C393="",D393="",E393="",F393=""),"",IF(OR(B393="",C393="",E393=""),"БЛОК: нужны дата, тип операции и сумма",IF(N(E393)&lt;=0,"БЛОК: сумма должна быть больше нуля",IF(AND(H393&lt;&gt;0,F393=""),"БЛОК: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отделить",IF(AND(G393&lt;&gt;0,F393=""),"БЛОК: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нельзя",IF(AND(F393&lt;&gt;"",COUNTIF('Долг по актам'!$B$5:$B$34,F393)=0),"БЛОК: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договору")&gt;0)*($C$5:$C$504&lt;&gt;C393)*($E$5:$E$504=E393)*(($D$5:$D$504=D393)*(D393&lt;&gt;"")+($B$5:$B$504=B393)*(B393&lt;&gt;"")&gt;0))&gt;0,"БЛОК: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операцию",IF(AND(C393="Оплата",K393&lt;&gt;"Отдельный платёж — не сам аванс (сверено с выпиской банка)",OR(COUNTIFS($C$5:$C$504,"Зачёт аванса по договору",$E$5:$E$504,E393)&gt;0,ROUND(E393-$M$6,2)=0)),"БЛОК: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3" s="185" t="str">
        <x:f>IF(AND(B393="",C393="",E393=""),"",SUM($G$5:G393))</x:f>
        <x:v/>
      </x:c>
      <x:c r="K393" s="178"/>
      <x:c r="L393" s="46"/>
      <x:c r="M393" s="46"/>
    </x:row>
    <x:row r="394" ht="29" customHeight="1">
      <x:c r="A394" s="199">
        <x:v>390</x:v>
      </x:c>
      <x:c r="B394" s="162"/>
      <x:c r="C394" s="163"/>
      <x:c r="D394" s="163"/>
      <x:c r="E394" s="164"/>
      <x:c r="F394" s="163"/>
      <x:c r="G394" s="185">
        <x:f t="shared" si="12"/>
        <x:v>0</x:v>
      </x:c>
      <x:c r="H394" s="185">
        <x:f t="shared" si="13"/>
        <x:v>0</x:v>
      </x:c>
      <x:c r="I394" s="186">
        <x:f>IF(AND(B394="",C394="",D394="",E394="",F394=""),"",IF(OR(B394="",C394="",E394=""),"БЛОК: нужны дата, тип операции и сумма",IF(N(E394)&lt;=0,"БЛОК: сумма должна быть больше нуля",IF(AND(H394&lt;&gt;0,F394=""),"БЛОК: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отделить",IF(AND(G394&lt;&gt;0,F394=""),"БЛОК: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нельзя",IF(AND(F394&lt;&gt;"",COUNTIF('Долг по актам'!$B$5:$B$34,F394)=0),"БЛОК: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договору")&gt;0)*($C$5:$C$504&lt;&gt;C394)*($E$5:$E$504=E394)*(($D$5:$D$504=D394)*(D394&lt;&gt;"")+($B$5:$B$504=B394)*(B394&lt;&gt;"")&gt;0))&gt;0,"БЛОК: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операцию",IF(AND(C394="Оплата",K394&lt;&gt;"Отдельный платёж — не сам аванс (сверено с выпиской банка)",OR(COUNTIFS($C$5:$C$504,"Зачёт аванса по договору",$E$5:$E$504,E394)&gt;0,ROUND(E394-$M$6,2)=0)),"БЛОК: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4" s="185" t="str">
        <x:f>IF(AND(B394="",C394="",E394=""),"",SUM($G$5:G394))</x:f>
        <x:v/>
      </x:c>
      <x:c r="K394" s="178"/>
      <x:c r="L394" s="46"/>
      <x:c r="M394" s="46"/>
    </x:row>
    <x:row r="395" ht="29" customHeight="1">
      <x:c r="A395" s="199">
        <x:v>391</x:v>
      </x:c>
      <x:c r="B395" s="162"/>
      <x:c r="C395" s="163"/>
      <x:c r="D395" s="163"/>
      <x:c r="E395" s="164"/>
      <x:c r="F395" s="163"/>
      <x:c r="G395" s="185">
        <x:f t="shared" si="12"/>
        <x:v>0</x:v>
      </x:c>
      <x:c r="H395" s="185">
        <x:f t="shared" si="13"/>
        <x:v>0</x:v>
      </x:c>
      <x:c r="I395" s="186">
        <x:f>IF(AND(B395="",C395="",D395="",E395="",F395=""),"",IF(OR(B395="",C395="",E395=""),"БЛОК: нужны дата, тип операции и сумма",IF(N(E395)&lt;=0,"БЛОК: сумма должна быть больше нуля",IF(AND(H395&lt;&gt;0,F395=""),"БЛОК: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отделить",IF(AND(G395&lt;&gt;0,F395=""),"БЛОК: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нельзя",IF(AND(F395&lt;&gt;"",COUNTIF('Долг по актам'!$B$5:$B$34,F395)=0),"БЛОК: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договору")&gt;0)*($C$5:$C$504&lt;&gt;C395)*($E$5:$E$504=E395)*(($D$5:$D$504=D395)*(D395&lt;&gt;"")+($B$5:$B$504=B395)*(B395&lt;&gt;"")&gt;0))&gt;0,"БЛОК: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операцию",IF(AND(C395="Оплата",K395&lt;&gt;"Отдельный платёж — не сам аванс (сверено с выпиской банка)",OR(COUNTIFS($C$5:$C$504,"Зачёт аванса по договору",$E$5:$E$504,E395)&gt;0,ROUND(E395-$M$6,2)=0)),"БЛОК: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5" s="185" t="str">
        <x:f>IF(AND(B395="",C395="",E395=""),"",SUM($G$5:G395))</x:f>
        <x:v/>
      </x:c>
      <x:c r="K395" s="178"/>
      <x:c r="L395" s="46"/>
      <x:c r="M395" s="46"/>
    </x:row>
    <x:row r="396" ht="29" customHeight="1">
      <x:c r="A396" s="199">
        <x:v>392</x:v>
      </x:c>
      <x:c r="B396" s="162"/>
      <x:c r="C396" s="163"/>
      <x:c r="D396" s="163"/>
      <x:c r="E396" s="164"/>
      <x:c r="F396" s="163"/>
      <x:c r="G396" s="185">
        <x:f t="shared" si="12"/>
        <x:v>0</x:v>
      </x:c>
      <x:c r="H396" s="185">
        <x:f t="shared" si="13"/>
        <x:v>0</x:v>
      </x:c>
      <x:c r="I396" s="186">
        <x:f>IF(AND(B396="",C396="",D396="",E396="",F396=""),"",IF(OR(B396="",C396="",E396=""),"БЛОК: нужны дата, тип операции и сумма",IF(N(E396)&lt;=0,"БЛОК: сумма должна быть больше нуля",IF(AND(H396&lt;&gt;0,F396=""),"БЛОК: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отделить",IF(AND(G396&lt;&gt;0,F396=""),"БЛОК: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нельзя",IF(AND(F396&lt;&gt;"",COUNTIF('Долг по актам'!$B$5:$B$34,F396)=0),"БЛОК: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договору")&gt;0)*($C$5:$C$504&lt;&gt;C396)*($E$5:$E$504=E396)*(($D$5:$D$504=D396)*(D396&lt;&gt;"")+($B$5:$B$504=B396)*(B396&lt;&gt;"")&gt;0))&gt;0,"БЛОК: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операцию",IF(AND(C396="Оплата",K396&lt;&gt;"Отдельный платёж — не сам аванс (сверено с выпиской банка)",OR(COUNTIFS($C$5:$C$504,"Зачёт аванса по договору",$E$5:$E$504,E396)&gt;0,ROUND(E396-$M$6,2)=0)),"БЛОК: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6" s="185" t="str">
        <x:f>IF(AND(B396="",C396="",E396=""),"",SUM($G$5:G396))</x:f>
        <x:v/>
      </x:c>
      <x:c r="K396" s="178"/>
      <x:c r="L396" s="46"/>
      <x:c r="M396" s="46"/>
    </x:row>
    <x:row r="397" ht="29" customHeight="1">
      <x:c r="A397" s="199">
        <x:v>393</x:v>
      </x:c>
      <x:c r="B397" s="162"/>
      <x:c r="C397" s="163"/>
      <x:c r="D397" s="163"/>
      <x:c r="E397" s="164"/>
      <x:c r="F397" s="163"/>
      <x:c r="G397" s="185">
        <x:f t="shared" si="12"/>
        <x:v>0</x:v>
      </x:c>
      <x:c r="H397" s="185">
        <x:f t="shared" si="13"/>
        <x:v>0</x:v>
      </x:c>
      <x:c r="I397" s="186">
        <x:f>IF(AND(B397="",C397="",D397="",E397="",F397=""),"",IF(OR(B397="",C397="",E397=""),"БЛОК: нужны дата, тип операции и сумма",IF(N(E397)&lt;=0,"БЛОК: сумма должна быть больше нуля",IF(AND(H397&lt;&gt;0,F397=""),"БЛОК: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отделить",IF(AND(G397&lt;&gt;0,F397=""),"БЛОК: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нельзя",IF(AND(F397&lt;&gt;"",COUNTIF('Долг по актам'!$B$5:$B$34,F397)=0),"БЛОК: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договору")&gt;0)*($C$5:$C$504&lt;&gt;C397)*($E$5:$E$504=E397)*(($D$5:$D$504=D397)*(D397&lt;&gt;"")+($B$5:$B$504=B397)*(B397&lt;&gt;"")&gt;0))&gt;0,"БЛОК: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операцию",IF(AND(C397="Оплата",K397&lt;&gt;"Отдельный платёж — не сам аванс (сверено с выпиской банка)",OR(COUNTIFS($C$5:$C$504,"Зачёт аванса по договору",$E$5:$E$504,E397)&gt;0,ROUND(E397-$M$6,2)=0)),"БЛОК: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7" s="185" t="str">
        <x:f>IF(AND(B397="",C397="",E397=""),"",SUM($G$5:G397))</x:f>
        <x:v/>
      </x:c>
      <x:c r="K397" s="178"/>
      <x:c r="L397" s="46"/>
      <x:c r="M397" s="46"/>
    </x:row>
    <x:row r="398" ht="29" customHeight="1">
      <x:c r="A398" s="199">
        <x:v>394</x:v>
      </x:c>
      <x:c r="B398" s="162"/>
      <x:c r="C398" s="163"/>
      <x:c r="D398" s="163"/>
      <x:c r="E398" s="164"/>
      <x:c r="F398" s="163"/>
      <x:c r="G398" s="185">
        <x:f t="shared" si="12"/>
        <x:v>0</x:v>
      </x:c>
      <x:c r="H398" s="185">
        <x:f t="shared" si="13"/>
        <x:v>0</x:v>
      </x:c>
      <x:c r="I398" s="186">
        <x:f>IF(AND(B398="",C398="",D398="",E398="",F398=""),"",IF(OR(B398="",C398="",E398=""),"БЛОК: нужны дата, тип операции и сумма",IF(N(E398)&lt;=0,"БЛОК: сумма должна быть больше нуля",IF(AND(H398&lt;&gt;0,F398=""),"БЛОК: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отделить",IF(AND(G398&lt;&gt;0,F398=""),"БЛОК: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нельзя",IF(AND(F398&lt;&gt;"",COUNTIF('Долг по актам'!$B$5:$B$34,F398)=0),"БЛОК: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договору")&gt;0)*($C$5:$C$504&lt;&gt;C398)*($E$5:$E$504=E398)*(($D$5:$D$504=D398)*(D398&lt;&gt;"")+($B$5:$B$504=B398)*(B398&lt;&gt;"")&gt;0))&gt;0,"БЛОК: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операцию",IF(AND(C398="Оплата",K398&lt;&gt;"Отдельный платёж — не сам аванс (сверено с выпиской банка)",OR(COUNTIFS($C$5:$C$504,"Зачёт аванса по договору",$E$5:$E$504,E398)&gt;0,ROUND(E398-$M$6,2)=0)),"БЛОК: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8" s="185" t="str">
        <x:f>IF(AND(B398="",C398="",E398=""),"",SUM($G$5:G398))</x:f>
        <x:v/>
      </x:c>
      <x:c r="K398" s="178"/>
      <x:c r="L398" s="46"/>
      <x:c r="M398" s="46"/>
    </x:row>
    <x:row r="399" ht="29" customHeight="1">
      <x:c r="A399" s="199">
        <x:v>395</x:v>
      </x:c>
      <x:c r="B399" s="162"/>
      <x:c r="C399" s="163"/>
      <x:c r="D399" s="163"/>
      <x:c r="E399" s="164"/>
      <x:c r="F399" s="163"/>
      <x:c r="G399" s="185">
        <x:f t="shared" si="12"/>
        <x:v>0</x:v>
      </x:c>
      <x:c r="H399" s="185">
        <x:f t="shared" si="13"/>
        <x:v>0</x:v>
      </x:c>
      <x:c r="I399" s="186">
        <x:f>IF(AND(B399="",C399="",D399="",E399="",F399=""),"",IF(OR(B399="",C399="",E399=""),"БЛОК: нужны дата, тип операции и сумма",IF(N(E399)&lt;=0,"БЛОК: сумма должна быть больше нуля",IF(AND(H399&lt;&gt;0,F399=""),"БЛОК: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отделить",IF(AND(G399&lt;&gt;0,F399=""),"БЛОК: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нельзя",IF(AND(F399&lt;&gt;"",COUNTIF('Долг по актам'!$B$5:$B$34,F399)=0),"БЛОК: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договору")&gt;0)*($C$5:$C$504&lt;&gt;C399)*($E$5:$E$504=E399)*(($D$5:$D$504=D399)*(D399&lt;&gt;"")+($B$5:$B$504=B399)*(B399&lt;&gt;"")&gt;0))&gt;0,"БЛОК: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операцию",IF(AND(C399="Оплата",K399&lt;&gt;"Отдельный платёж — не сам аванс (сверено с выпиской банка)",OR(COUNTIFS($C$5:$C$504,"Зачёт аванса по договору",$E$5:$E$504,E399)&gt;0,ROUND(E399-$M$6,2)=0)),"БЛОК: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399" s="185" t="str">
        <x:f>IF(AND(B399="",C399="",E399=""),"",SUM($G$5:G399))</x:f>
        <x:v/>
      </x:c>
      <x:c r="K399" s="178"/>
      <x:c r="L399" s="46"/>
      <x:c r="M399" s="46"/>
    </x:row>
    <x:row r="400" ht="29" customHeight="1">
      <x:c r="A400" s="199">
        <x:v>396</x:v>
      </x:c>
      <x:c r="B400" s="162"/>
      <x:c r="C400" s="163"/>
      <x:c r="D400" s="163"/>
      <x:c r="E400" s="164"/>
      <x:c r="F400" s="163"/>
      <x:c r="G400" s="185">
        <x:f t="shared" si="12"/>
        <x:v>0</x:v>
      </x:c>
      <x:c r="H400" s="185">
        <x:f t="shared" si="13"/>
        <x:v>0</x:v>
      </x:c>
      <x:c r="I400" s="186">
        <x:f>IF(AND(B400="",C400="",D400="",E400="",F400=""),"",IF(OR(B400="",C400="",E400=""),"БЛОК: нужны дата, тип операции и сумма",IF(N(E400)&lt;=0,"БЛОК: сумма должна быть больше нуля",IF(AND(H400&lt;&gt;0,F400=""),"БЛОК: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отделить",IF(AND(G400&lt;&gt;0,F400=""),"БЛОК: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нельзя",IF(AND(F400&lt;&gt;"",COUNTIF('Долг по актам'!$B$5:$B$34,F400)=0),"БЛОК: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договору")&gt;0)*($C$5:$C$504&lt;&gt;C400)*($E$5:$E$504=E400)*(($D$5:$D$504=D400)*(D400&lt;&gt;"")+($B$5:$B$504=B400)*(B400&lt;&gt;"")&gt;0))&gt;0,"БЛОК: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операцию",IF(AND(C400="Оплата",K400&lt;&gt;"Отдельный платёж — не сам аванс (сверено с выпиской банка)",OR(COUNTIFS($C$5:$C$504,"Зачёт аванса по договору",$E$5:$E$504,E400)&gt;0,ROUND(E400-$M$6,2)=0)),"БЛОК: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0" s="185" t="str">
        <x:f>IF(AND(B400="",C400="",E400=""),"",SUM($G$5:G400))</x:f>
        <x:v/>
      </x:c>
      <x:c r="K400" s="178"/>
      <x:c r="L400" s="46"/>
      <x:c r="M400" s="46"/>
    </x:row>
    <x:row r="401" ht="29" customHeight="1">
      <x:c r="A401" s="199">
        <x:v>397</x:v>
      </x:c>
      <x:c r="B401" s="162"/>
      <x:c r="C401" s="163"/>
      <x:c r="D401" s="163"/>
      <x:c r="E401" s="164"/>
      <x:c r="F401" s="163"/>
      <x:c r="G401" s="185">
        <x:f t="shared" si="12"/>
        <x:v>0</x:v>
      </x:c>
      <x:c r="H401" s="185">
        <x:f t="shared" si="13"/>
        <x:v>0</x:v>
      </x:c>
      <x:c r="I401" s="186">
        <x:f>IF(AND(B401="",C401="",D401="",E401="",F401=""),"",IF(OR(B401="",C401="",E401=""),"БЛОК: нужны дата, тип операции и сумма",IF(N(E401)&lt;=0,"БЛОК: сумма должна быть больше нуля",IF(AND(H401&lt;&gt;0,F401=""),"БЛОК: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отделить",IF(AND(G401&lt;&gt;0,F401=""),"БЛОК: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нельзя",IF(AND(F401&lt;&gt;"",COUNTIF('Долг по актам'!$B$5:$B$34,F401)=0),"БЛОК: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договору")&gt;0)*($C$5:$C$504&lt;&gt;C401)*($E$5:$E$504=E401)*(($D$5:$D$504=D401)*(D401&lt;&gt;"")+($B$5:$B$504=B401)*(B401&lt;&gt;"")&gt;0))&gt;0,"БЛОК: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операцию",IF(AND(C401="Оплата",K401&lt;&gt;"Отдельный платёж — не сам аванс (сверено с выпиской банка)",OR(COUNTIFS($C$5:$C$504,"Зачёт аванса по договору",$E$5:$E$504,E401)&gt;0,ROUND(E401-$M$6,2)=0)),"БЛОК: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1" s="185" t="str">
        <x:f>IF(AND(B401="",C401="",E401=""),"",SUM($G$5:G401))</x:f>
        <x:v/>
      </x:c>
      <x:c r="K401" s="178"/>
      <x:c r="L401" s="46"/>
      <x:c r="M401" s="46"/>
    </x:row>
    <x:row r="402" ht="29" customHeight="1">
      <x:c r="A402" s="199">
        <x:v>398</x:v>
      </x:c>
      <x:c r="B402" s="162"/>
      <x:c r="C402" s="163"/>
      <x:c r="D402" s="163"/>
      <x:c r="E402" s="164"/>
      <x:c r="F402" s="163"/>
      <x:c r="G402" s="185">
        <x:f t="shared" si="12"/>
        <x:v>0</x:v>
      </x:c>
      <x:c r="H402" s="185">
        <x:f t="shared" si="13"/>
        <x:v>0</x:v>
      </x:c>
      <x:c r="I402" s="186">
        <x:f>IF(AND(B402="",C402="",D402="",E402="",F402=""),"",IF(OR(B402="",C402="",E402=""),"БЛОК: нужны дата, тип операции и сумма",IF(N(E402)&lt;=0,"БЛОК: сумма должна быть больше нуля",IF(AND(H402&lt;&gt;0,F402=""),"БЛОК: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отделить",IF(AND(G402&lt;&gt;0,F402=""),"БЛОК: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нельзя",IF(AND(F402&lt;&gt;"",COUNTIF('Долг по актам'!$B$5:$B$34,F402)=0),"БЛОК: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договору")&gt;0)*($C$5:$C$504&lt;&gt;C402)*($E$5:$E$504=E402)*(($D$5:$D$504=D402)*(D402&lt;&gt;"")+($B$5:$B$504=B402)*(B402&lt;&gt;"")&gt;0))&gt;0,"БЛОК: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операцию",IF(AND(C402="Оплата",K402&lt;&gt;"Отдельный платёж — не сам аванс (сверено с выпиской банка)",OR(COUNTIFS($C$5:$C$504,"Зачёт аванса по договору",$E$5:$E$504,E402)&gt;0,ROUND(E402-$M$6,2)=0)),"БЛОК: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2" s="185" t="str">
        <x:f>IF(AND(B402="",C402="",E402=""),"",SUM($G$5:G402))</x:f>
        <x:v/>
      </x:c>
      <x:c r="K402" s="178"/>
      <x:c r="L402" s="46"/>
      <x:c r="M402" s="46"/>
    </x:row>
    <x:row r="403" ht="29" customHeight="1">
      <x:c r="A403" s="199">
        <x:v>399</x:v>
      </x:c>
      <x:c r="B403" s="162"/>
      <x:c r="C403" s="163"/>
      <x:c r="D403" s="163"/>
      <x:c r="E403" s="164"/>
      <x:c r="F403" s="163"/>
      <x:c r="G403" s="185">
        <x:f t="shared" si="12"/>
        <x:v>0</x:v>
      </x:c>
      <x:c r="H403" s="185">
        <x:f t="shared" si="13"/>
        <x:v>0</x:v>
      </x:c>
      <x:c r="I403" s="186">
        <x:f>IF(AND(B403="",C403="",D403="",E403="",F403=""),"",IF(OR(B403="",C403="",E403=""),"БЛОК: нужны дата, тип операции и сумма",IF(N(E403)&lt;=0,"БЛОК: сумма должна быть больше нуля",IF(AND(H403&lt;&gt;0,F403=""),"БЛОК: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отделить",IF(AND(G403&lt;&gt;0,F403=""),"БЛОК: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нельзя",IF(AND(F403&lt;&gt;"",COUNTIF('Долг по актам'!$B$5:$B$34,F403)=0),"БЛОК: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договору")&gt;0)*($C$5:$C$504&lt;&gt;C403)*($E$5:$E$504=E403)*(($D$5:$D$504=D403)*(D403&lt;&gt;"")+($B$5:$B$504=B403)*(B403&lt;&gt;"")&gt;0))&gt;0,"БЛОК: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операцию",IF(AND(C403="Оплата",K403&lt;&gt;"Отдельный платёж — не сам аванс (сверено с выпиской банка)",OR(COUNTIFS($C$5:$C$504,"Зачёт аванса по договору",$E$5:$E$504,E403)&gt;0,ROUND(E403-$M$6,2)=0)),"БЛОК: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3" s="185" t="str">
        <x:f>IF(AND(B403="",C403="",E403=""),"",SUM($G$5:G403))</x:f>
        <x:v/>
      </x:c>
      <x:c r="K403" s="178"/>
      <x:c r="L403" s="46"/>
      <x:c r="M403" s="46"/>
    </x:row>
    <x:row r="404" ht="29" customHeight="1">
      <x:c r="A404" s="199">
        <x:v>400</x:v>
      </x:c>
      <x:c r="B404" s="162"/>
      <x:c r="C404" s="163"/>
      <x:c r="D404" s="163"/>
      <x:c r="E404" s="164"/>
      <x:c r="F404" s="163"/>
      <x:c r="G404" s="185">
        <x:f t="shared" si="12"/>
        <x:v>0</x:v>
      </x:c>
      <x:c r="H404" s="185">
        <x:f t="shared" si="13"/>
        <x:v>0</x:v>
      </x:c>
      <x:c r="I404" s="186">
        <x:f>IF(AND(B404="",C404="",D404="",E404="",F404=""),"",IF(OR(B404="",C404="",E404=""),"БЛОК: нужны дата, тип операции и сумма",IF(N(E404)&lt;=0,"БЛОК: сумма должна быть больше нуля",IF(AND(H404&lt;&gt;0,F404=""),"БЛОК: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отделить",IF(AND(G404&lt;&gt;0,F404=""),"БЛОК: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нельзя",IF(AND(F404&lt;&gt;"",COUNTIF('Долг по актам'!$B$5:$B$34,F404)=0),"БЛОК: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договору")&gt;0)*($C$5:$C$504&lt;&gt;C404)*($E$5:$E$504=E404)*(($D$5:$D$504=D404)*(D404&lt;&gt;"")+($B$5:$B$504=B404)*(B404&lt;&gt;"")&gt;0))&gt;0,"БЛОК: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операцию",IF(AND(C404="Оплата",K404&lt;&gt;"Отдельный платёж — не сам аванс (сверено с выпиской банка)",OR(COUNTIFS($C$5:$C$504,"Зачёт аванса по договору",$E$5:$E$504,E404)&gt;0,ROUND(E404-$M$6,2)=0)),"БЛОК: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4" s="185" t="str">
        <x:f>IF(AND(B404="",C404="",E404=""),"",SUM($G$5:G404))</x:f>
        <x:v/>
      </x:c>
      <x:c r="K404" s="178"/>
      <x:c r="L404" s="46"/>
      <x:c r="M404" s="46"/>
    </x:row>
    <x:row r="405" ht="29" customHeight="1">
      <x:c r="A405" s="199">
        <x:v>401</x:v>
      </x:c>
      <x:c r="B405" s="162"/>
      <x:c r="C405" s="163"/>
      <x:c r="D405" s="163"/>
      <x:c r="E405" s="164"/>
      <x:c r="F405" s="163"/>
      <x:c r="G405" s="185">
        <x:f t="shared" si="12"/>
        <x:v>0</x:v>
      </x:c>
      <x:c r="H405" s="185">
        <x:f t="shared" si="13"/>
        <x:v>0</x:v>
      </x:c>
      <x:c r="I405" s="186">
        <x:f>IF(AND(B405="",C405="",D405="",E405="",F405=""),"",IF(OR(B405="",C405="",E405=""),"БЛОК: нужны дата, тип операции и сумма",IF(N(E405)&lt;=0,"БЛОК: сумма должна быть больше нуля",IF(AND(H405&lt;&gt;0,F405=""),"БЛОК: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отделить",IF(AND(G405&lt;&gt;0,F405=""),"БЛОК: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нельзя",IF(AND(F405&lt;&gt;"",COUNTIF('Долг по актам'!$B$5:$B$34,F405)=0),"БЛОК: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договору")&gt;0)*($C$5:$C$504&lt;&gt;C405)*($E$5:$E$504=E405)*(($D$5:$D$504=D405)*(D405&lt;&gt;"")+($B$5:$B$504=B405)*(B405&lt;&gt;"")&gt;0))&gt;0,"БЛОК: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операцию",IF(AND(C405="Оплата",K405&lt;&gt;"Отдельный платёж — не сам аванс (сверено с выпиской банка)",OR(COUNTIFS($C$5:$C$504,"Зачёт аванса по договору",$E$5:$E$504,E405)&gt;0,ROUND(E405-$M$6,2)=0)),"БЛОК: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5" s="185" t="str">
        <x:f>IF(AND(B405="",C405="",E405=""),"",SUM($G$5:G405))</x:f>
        <x:v/>
      </x:c>
      <x:c r="K405" s="178"/>
      <x:c r="L405" s="46"/>
      <x:c r="M405" s="46"/>
    </x:row>
    <x:row r="406" ht="29" customHeight="1">
      <x:c r="A406" s="199">
        <x:v>402</x:v>
      </x:c>
      <x:c r="B406" s="162"/>
      <x:c r="C406" s="163"/>
      <x:c r="D406" s="163"/>
      <x:c r="E406" s="164"/>
      <x:c r="F406" s="163"/>
      <x:c r="G406" s="185">
        <x:f t="shared" si="12"/>
        <x:v>0</x:v>
      </x:c>
      <x:c r="H406" s="185">
        <x:f t="shared" si="13"/>
        <x:v>0</x:v>
      </x:c>
      <x:c r="I406" s="186">
        <x:f>IF(AND(B406="",C406="",D406="",E406="",F406=""),"",IF(OR(B406="",C406="",E406=""),"БЛОК: нужны дата, тип операции и сумма",IF(N(E406)&lt;=0,"БЛОК: сумма должна быть больше нуля",IF(AND(H406&lt;&gt;0,F406=""),"БЛОК: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отделить",IF(AND(G406&lt;&gt;0,F406=""),"БЛОК: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нельзя",IF(AND(F406&lt;&gt;"",COUNTIF('Долг по актам'!$B$5:$B$34,F406)=0),"БЛОК: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договору")&gt;0)*($C$5:$C$504&lt;&gt;C406)*($E$5:$E$504=E406)*(($D$5:$D$504=D406)*(D406&lt;&gt;"")+($B$5:$B$504=B406)*(B406&lt;&gt;"")&gt;0))&gt;0,"БЛОК: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операцию",IF(AND(C406="Оплата",K406&lt;&gt;"Отдельный платёж — не сам аванс (сверено с выпиской банка)",OR(COUNTIFS($C$5:$C$504,"Зачёт аванса по договору",$E$5:$E$504,E406)&gt;0,ROUND(E406-$M$6,2)=0)),"БЛОК: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6" s="185" t="str">
        <x:f>IF(AND(B406="",C406="",E406=""),"",SUM($G$5:G406))</x:f>
        <x:v/>
      </x:c>
      <x:c r="K406" s="178"/>
      <x:c r="L406" s="46"/>
      <x:c r="M406" s="46"/>
    </x:row>
    <x:row r="407" ht="29" customHeight="1">
      <x:c r="A407" s="199">
        <x:v>403</x:v>
      </x:c>
      <x:c r="B407" s="162"/>
      <x:c r="C407" s="163"/>
      <x:c r="D407" s="163"/>
      <x:c r="E407" s="164"/>
      <x:c r="F407" s="163"/>
      <x:c r="G407" s="185">
        <x:f t="shared" si="12"/>
        <x:v>0</x:v>
      </x:c>
      <x:c r="H407" s="185">
        <x:f t="shared" si="13"/>
        <x:v>0</x:v>
      </x:c>
      <x:c r="I407" s="186">
        <x:f>IF(AND(B407="",C407="",D407="",E407="",F407=""),"",IF(OR(B407="",C407="",E407=""),"БЛОК: нужны дата, тип операции и сумма",IF(N(E407)&lt;=0,"БЛОК: сумма должна быть больше нуля",IF(AND(H407&lt;&gt;0,F407=""),"БЛОК: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отделить",IF(AND(G407&lt;&gt;0,F407=""),"БЛОК: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нельзя",IF(AND(F407&lt;&gt;"",COUNTIF('Долг по актам'!$B$5:$B$34,F407)=0),"БЛОК: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договору")&gt;0)*($C$5:$C$504&lt;&gt;C407)*($E$5:$E$504=E407)*(($D$5:$D$504=D407)*(D407&lt;&gt;"")+($B$5:$B$504=B407)*(B407&lt;&gt;"")&gt;0))&gt;0,"БЛОК: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операцию",IF(AND(C407="Оплата",K407&lt;&gt;"Отдельный платёж — не сам аванс (сверено с выпиской банка)",OR(COUNTIFS($C$5:$C$504,"Зачёт аванса по договору",$E$5:$E$504,E407)&gt;0,ROUND(E407-$M$6,2)=0)),"БЛОК: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7" s="185" t="str">
        <x:f>IF(AND(B407="",C407="",E407=""),"",SUM($G$5:G407))</x:f>
        <x:v/>
      </x:c>
      <x:c r="K407" s="178"/>
      <x:c r="L407" s="46"/>
      <x:c r="M407" s="46"/>
    </x:row>
    <x:row r="408" ht="29" customHeight="1">
      <x:c r="A408" s="199">
        <x:v>404</x:v>
      </x:c>
      <x:c r="B408" s="162"/>
      <x:c r="C408" s="163"/>
      <x:c r="D408" s="163"/>
      <x:c r="E408" s="164"/>
      <x:c r="F408" s="163"/>
      <x:c r="G408" s="185">
        <x:f t="shared" si="12"/>
        <x:v>0</x:v>
      </x:c>
      <x:c r="H408" s="185">
        <x:f t="shared" si="13"/>
        <x:v>0</x:v>
      </x:c>
      <x:c r="I408" s="186">
        <x:f>IF(AND(B408="",C408="",D408="",E408="",F408=""),"",IF(OR(B408="",C408="",E408=""),"БЛОК: нужны дата, тип операции и сумма",IF(N(E408)&lt;=0,"БЛОК: сумма должна быть больше нуля",IF(AND(H408&lt;&gt;0,F408=""),"БЛОК: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отделить",IF(AND(G408&lt;&gt;0,F408=""),"БЛОК: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нельзя",IF(AND(F408&lt;&gt;"",COUNTIF('Долг по актам'!$B$5:$B$34,F408)=0),"БЛОК: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договору")&gt;0)*($C$5:$C$504&lt;&gt;C408)*($E$5:$E$504=E408)*(($D$5:$D$504=D408)*(D408&lt;&gt;"")+($B$5:$B$504=B408)*(B408&lt;&gt;"")&gt;0))&gt;0,"БЛОК: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операцию",IF(AND(C408="Оплата",K408&lt;&gt;"Отдельный платёж — не сам аванс (сверено с выпиской банка)",OR(COUNTIFS($C$5:$C$504,"Зачёт аванса по договору",$E$5:$E$504,E408)&gt;0,ROUND(E408-$M$6,2)=0)),"БЛОК: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8" s="185" t="str">
        <x:f>IF(AND(B408="",C408="",E408=""),"",SUM($G$5:G408))</x:f>
        <x:v/>
      </x:c>
      <x:c r="K408" s="178"/>
      <x:c r="L408" s="46"/>
      <x:c r="M408" s="46"/>
    </x:row>
    <x:row r="409" ht="29" customHeight="1">
      <x:c r="A409" s="199">
        <x:v>405</x:v>
      </x:c>
      <x:c r="B409" s="162"/>
      <x:c r="C409" s="163"/>
      <x:c r="D409" s="163"/>
      <x:c r="E409" s="164"/>
      <x:c r="F409" s="163"/>
      <x:c r="G409" s="185">
        <x:f t="shared" si="12"/>
        <x:v>0</x:v>
      </x:c>
      <x:c r="H409" s="185">
        <x:f t="shared" si="13"/>
        <x:v>0</x:v>
      </x:c>
      <x:c r="I409" s="186">
        <x:f>IF(AND(B409="",C409="",D409="",E409="",F409=""),"",IF(OR(B409="",C409="",E409=""),"БЛОК: нужны дата, тип операции и сумма",IF(N(E409)&lt;=0,"БЛОК: сумма должна быть больше нуля",IF(AND(H409&lt;&gt;0,F409=""),"БЛОК: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отделить",IF(AND(G409&lt;&gt;0,F409=""),"БЛОК: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нельзя",IF(AND(F409&lt;&gt;"",COUNTIF('Долг по актам'!$B$5:$B$34,F409)=0),"БЛОК: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договору")&gt;0)*($C$5:$C$504&lt;&gt;C409)*($E$5:$E$504=E409)*(($D$5:$D$504=D409)*(D409&lt;&gt;"")+($B$5:$B$504=B409)*(B409&lt;&gt;"")&gt;0))&gt;0,"БЛОК: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операцию",IF(AND(C409="Оплата",K409&lt;&gt;"Отдельный платёж — не сам аванс (сверено с выпиской банка)",OR(COUNTIFS($C$5:$C$504,"Зачёт аванса по договору",$E$5:$E$504,E409)&gt;0,ROUND(E409-$M$6,2)=0)),"БЛОК: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09" s="185" t="str">
        <x:f>IF(AND(B409="",C409="",E409=""),"",SUM($G$5:G409))</x:f>
        <x:v/>
      </x:c>
      <x:c r="K409" s="178"/>
      <x:c r="L409" s="46"/>
      <x:c r="M409" s="46"/>
    </x:row>
    <x:row r="410" ht="29" customHeight="1">
      <x:c r="A410" s="199">
        <x:v>406</x:v>
      </x:c>
      <x:c r="B410" s="162"/>
      <x:c r="C410" s="163"/>
      <x:c r="D410" s="163"/>
      <x:c r="E410" s="164"/>
      <x:c r="F410" s="163"/>
      <x:c r="G410" s="185">
        <x:f t="shared" si="12"/>
        <x:v>0</x:v>
      </x:c>
      <x:c r="H410" s="185">
        <x:f t="shared" si="13"/>
        <x:v>0</x:v>
      </x:c>
      <x:c r="I410" s="186">
        <x:f>IF(AND(B410="",C410="",D410="",E410="",F410=""),"",IF(OR(B410="",C410="",E410=""),"БЛОК: нужны дата, тип операции и сумма",IF(N(E410)&lt;=0,"БЛОК: сумма должна быть больше нуля",IF(AND(H410&lt;&gt;0,F410=""),"БЛОК: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отделить",IF(AND(G410&lt;&gt;0,F410=""),"БЛОК: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нельзя",IF(AND(F410&lt;&gt;"",COUNTIF('Долг по актам'!$B$5:$B$34,F410)=0),"БЛОК: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договору")&gt;0)*($C$5:$C$504&lt;&gt;C410)*($E$5:$E$504=E410)*(($D$5:$D$504=D410)*(D410&lt;&gt;"")+($B$5:$B$504=B410)*(B410&lt;&gt;"")&gt;0))&gt;0,"БЛОК: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операцию",IF(AND(C410="Оплата",K410&lt;&gt;"Отдельный платёж — не сам аванс (сверено с выпиской банка)",OR(COUNTIFS($C$5:$C$504,"Зачёт аванса по договору",$E$5:$E$504,E410)&gt;0,ROUND(E410-$M$6,2)=0)),"БЛОК: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0" s="185" t="str">
        <x:f>IF(AND(B410="",C410="",E410=""),"",SUM($G$5:G410))</x:f>
        <x:v/>
      </x:c>
      <x:c r="K410" s="178"/>
      <x:c r="L410" s="46"/>
      <x:c r="M410" s="46"/>
    </x:row>
    <x:row r="411" ht="29" customHeight="1">
      <x:c r="A411" s="199">
        <x:v>407</x:v>
      </x:c>
      <x:c r="B411" s="162"/>
      <x:c r="C411" s="163"/>
      <x:c r="D411" s="163"/>
      <x:c r="E411" s="164"/>
      <x:c r="F411" s="163"/>
      <x:c r="G411" s="185">
        <x:f t="shared" si="12"/>
        <x:v>0</x:v>
      </x:c>
      <x:c r="H411" s="185">
        <x:f t="shared" si="13"/>
        <x:v>0</x:v>
      </x:c>
      <x:c r="I411" s="186">
        <x:f>IF(AND(B411="",C411="",D411="",E411="",F411=""),"",IF(OR(B411="",C411="",E411=""),"БЛОК: нужны дата, тип операции и сумма",IF(N(E411)&lt;=0,"БЛОК: сумма должна быть больше нуля",IF(AND(H411&lt;&gt;0,F411=""),"БЛОК: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отделить",IF(AND(G411&lt;&gt;0,F411=""),"БЛОК: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нельзя",IF(AND(F411&lt;&gt;"",COUNTIF('Долг по актам'!$B$5:$B$34,F411)=0),"БЛОК: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договору")&gt;0)*($C$5:$C$504&lt;&gt;C411)*($E$5:$E$504=E411)*(($D$5:$D$504=D411)*(D411&lt;&gt;"")+($B$5:$B$504=B411)*(B411&lt;&gt;"")&gt;0))&gt;0,"БЛОК: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операцию",IF(AND(C411="Оплата",K411&lt;&gt;"Отдельный платёж — не сам аванс (сверено с выпиской банка)",OR(COUNTIFS($C$5:$C$504,"Зачёт аванса по договору",$E$5:$E$504,E411)&gt;0,ROUND(E411-$M$6,2)=0)),"БЛОК: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1" s="185" t="str">
        <x:f>IF(AND(B411="",C411="",E411=""),"",SUM($G$5:G411))</x:f>
        <x:v/>
      </x:c>
      <x:c r="K411" s="178"/>
      <x:c r="L411" s="46"/>
      <x:c r="M411" s="46"/>
    </x:row>
    <x:row r="412" ht="29" customHeight="1">
      <x:c r="A412" s="199">
        <x:v>408</x:v>
      </x:c>
      <x:c r="B412" s="162"/>
      <x:c r="C412" s="163"/>
      <x:c r="D412" s="163"/>
      <x:c r="E412" s="164"/>
      <x:c r="F412" s="163"/>
      <x:c r="G412" s="185">
        <x:f t="shared" si="12"/>
        <x:v>0</x:v>
      </x:c>
      <x:c r="H412" s="185">
        <x:f t="shared" si="13"/>
        <x:v>0</x:v>
      </x:c>
      <x:c r="I412" s="186">
        <x:f>IF(AND(B412="",C412="",D412="",E412="",F412=""),"",IF(OR(B412="",C412="",E412=""),"БЛОК: нужны дата, тип операции и сумма",IF(N(E412)&lt;=0,"БЛОК: сумма должна быть больше нуля",IF(AND(H412&lt;&gt;0,F412=""),"БЛОК: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отделить",IF(AND(G412&lt;&gt;0,F412=""),"БЛОК: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нельзя",IF(AND(F412&lt;&gt;"",COUNTIF('Долг по актам'!$B$5:$B$34,F412)=0),"БЛОК: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договору")&gt;0)*($C$5:$C$504&lt;&gt;C412)*($E$5:$E$504=E412)*(($D$5:$D$504=D412)*(D412&lt;&gt;"")+($B$5:$B$504=B412)*(B412&lt;&gt;"")&gt;0))&gt;0,"БЛОК: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операцию",IF(AND(C412="Оплата",K412&lt;&gt;"Отдельный платёж — не сам аванс (сверено с выпиской банка)",OR(COUNTIFS($C$5:$C$504,"Зачёт аванса по договору",$E$5:$E$504,E412)&gt;0,ROUND(E412-$M$6,2)=0)),"БЛОК: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2" s="185" t="str">
        <x:f>IF(AND(B412="",C412="",E412=""),"",SUM($G$5:G412))</x:f>
        <x:v/>
      </x:c>
      <x:c r="K412" s="178"/>
      <x:c r="L412" s="46"/>
      <x:c r="M412" s="46"/>
    </x:row>
    <x:row r="413" ht="29" customHeight="1">
      <x:c r="A413" s="199">
        <x:v>409</x:v>
      </x:c>
      <x:c r="B413" s="162"/>
      <x:c r="C413" s="163"/>
      <x:c r="D413" s="163"/>
      <x:c r="E413" s="164"/>
      <x:c r="F413" s="163"/>
      <x:c r="G413" s="185">
        <x:f t="shared" si="12"/>
        <x:v>0</x:v>
      </x:c>
      <x:c r="H413" s="185">
        <x:f t="shared" si="13"/>
        <x:v>0</x:v>
      </x:c>
      <x:c r="I413" s="186">
        <x:f>IF(AND(B413="",C413="",D413="",E413="",F413=""),"",IF(OR(B413="",C413="",E413=""),"БЛОК: нужны дата, тип операции и сумма",IF(N(E413)&lt;=0,"БЛОК: сумма должна быть больше нуля",IF(AND(H413&lt;&gt;0,F413=""),"БЛОК: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отделить",IF(AND(G413&lt;&gt;0,F413=""),"БЛОК: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нельзя",IF(AND(F413&lt;&gt;"",COUNTIF('Долг по актам'!$B$5:$B$34,F413)=0),"БЛОК: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договору")&gt;0)*($C$5:$C$504&lt;&gt;C413)*($E$5:$E$504=E413)*(($D$5:$D$504=D413)*(D413&lt;&gt;"")+($B$5:$B$504=B413)*(B413&lt;&gt;"")&gt;0))&gt;0,"БЛОК: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операцию",IF(AND(C413="Оплата",K413&lt;&gt;"Отдельный платёж — не сам аванс (сверено с выпиской банка)",OR(COUNTIFS($C$5:$C$504,"Зачёт аванса по договору",$E$5:$E$504,E413)&gt;0,ROUND(E413-$M$6,2)=0)),"БЛОК: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3" s="185" t="str">
        <x:f>IF(AND(B413="",C413="",E413=""),"",SUM($G$5:G413))</x:f>
        <x:v/>
      </x:c>
      <x:c r="K413" s="178"/>
      <x:c r="L413" s="46"/>
      <x:c r="M413" s="46"/>
    </x:row>
    <x:row r="414" ht="29" customHeight="1">
      <x:c r="A414" s="199">
        <x:v>410</x:v>
      </x:c>
      <x:c r="B414" s="162"/>
      <x:c r="C414" s="163"/>
      <x:c r="D414" s="163"/>
      <x:c r="E414" s="164"/>
      <x:c r="F414" s="163"/>
      <x:c r="G414" s="185">
        <x:f t="shared" si="12"/>
        <x:v>0</x:v>
      </x:c>
      <x:c r="H414" s="185">
        <x:f t="shared" si="13"/>
        <x:v>0</x:v>
      </x:c>
      <x:c r="I414" s="186">
        <x:f>IF(AND(B414="",C414="",D414="",E414="",F414=""),"",IF(OR(B414="",C414="",E414=""),"БЛОК: нужны дата, тип операции и сумма",IF(N(E414)&lt;=0,"БЛОК: сумма должна быть больше нуля",IF(AND(H414&lt;&gt;0,F414=""),"БЛОК: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отделить",IF(AND(G414&lt;&gt;0,F414=""),"БЛОК: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нельзя",IF(AND(F414&lt;&gt;"",COUNTIF('Долг по актам'!$B$5:$B$34,F414)=0),"БЛОК: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договору")&gt;0)*($C$5:$C$504&lt;&gt;C414)*($E$5:$E$504=E414)*(($D$5:$D$504=D414)*(D414&lt;&gt;"")+($B$5:$B$504=B414)*(B414&lt;&gt;"")&gt;0))&gt;0,"БЛОК: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операцию",IF(AND(C414="Оплата",K414&lt;&gt;"Отдельный платёж — не сам аванс (сверено с выпиской банка)",OR(COUNTIFS($C$5:$C$504,"Зачёт аванса по договору",$E$5:$E$504,E414)&gt;0,ROUND(E414-$M$6,2)=0)),"БЛОК: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4" s="185" t="str">
        <x:f>IF(AND(B414="",C414="",E414=""),"",SUM($G$5:G414))</x:f>
        <x:v/>
      </x:c>
      <x:c r="K414" s="178"/>
      <x:c r="L414" s="46"/>
      <x:c r="M414" s="46"/>
    </x:row>
    <x:row r="415" ht="29" customHeight="1">
      <x:c r="A415" s="199">
        <x:v>411</x:v>
      </x:c>
      <x:c r="B415" s="162"/>
      <x:c r="C415" s="163"/>
      <x:c r="D415" s="163"/>
      <x:c r="E415" s="164"/>
      <x:c r="F415" s="163"/>
      <x:c r="G415" s="185">
        <x:f t="shared" si="12"/>
        <x:v>0</x:v>
      </x:c>
      <x:c r="H415" s="185">
        <x:f t="shared" si="13"/>
        <x:v>0</x:v>
      </x:c>
      <x:c r="I415" s="186">
        <x:f>IF(AND(B415="",C415="",D415="",E415="",F415=""),"",IF(OR(B415="",C415="",E415=""),"БЛОК: нужны дата, тип операции и сумма",IF(N(E415)&lt;=0,"БЛОК: сумма должна быть больше нуля",IF(AND(H415&lt;&gt;0,F415=""),"БЛОК: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отделить",IF(AND(G415&lt;&gt;0,F415=""),"БЛОК: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нельзя",IF(AND(F415&lt;&gt;"",COUNTIF('Долг по актам'!$B$5:$B$34,F415)=0),"БЛОК: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договору")&gt;0)*($C$5:$C$504&lt;&gt;C415)*($E$5:$E$504=E415)*(($D$5:$D$504=D415)*(D415&lt;&gt;"")+($B$5:$B$504=B415)*(B415&lt;&gt;"")&gt;0))&gt;0,"БЛОК: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операцию",IF(AND(C415="Оплата",K415&lt;&gt;"Отдельный платёж — не сам аванс (сверено с выпиской банка)",OR(COUNTIFS($C$5:$C$504,"Зачёт аванса по договору",$E$5:$E$504,E415)&gt;0,ROUND(E415-$M$6,2)=0)),"БЛОК: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5" s="185" t="str">
        <x:f>IF(AND(B415="",C415="",E415=""),"",SUM($G$5:G415))</x:f>
        <x:v/>
      </x:c>
      <x:c r="K415" s="178"/>
      <x:c r="L415" s="46"/>
      <x:c r="M415" s="46"/>
    </x:row>
    <x:row r="416" ht="29" customHeight="1">
      <x:c r="A416" s="199">
        <x:v>412</x:v>
      </x:c>
      <x:c r="B416" s="162"/>
      <x:c r="C416" s="163"/>
      <x:c r="D416" s="163"/>
      <x:c r="E416" s="164"/>
      <x:c r="F416" s="163"/>
      <x:c r="G416" s="185">
        <x:f t="shared" si="12"/>
        <x:v>0</x:v>
      </x:c>
      <x:c r="H416" s="185">
        <x:f t="shared" si="13"/>
        <x:v>0</x:v>
      </x:c>
      <x:c r="I416" s="186">
        <x:f>IF(AND(B416="",C416="",D416="",E416="",F416=""),"",IF(OR(B416="",C416="",E416=""),"БЛОК: нужны дата, тип операции и сумма",IF(N(E416)&lt;=0,"БЛОК: сумма должна быть больше нуля",IF(AND(H416&lt;&gt;0,F416=""),"БЛОК: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отделить",IF(AND(G416&lt;&gt;0,F416=""),"БЛОК: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нельзя",IF(AND(F416&lt;&gt;"",COUNTIF('Долг по актам'!$B$5:$B$34,F416)=0),"БЛОК: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договору")&gt;0)*($C$5:$C$504&lt;&gt;C416)*($E$5:$E$504=E416)*(($D$5:$D$504=D416)*(D416&lt;&gt;"")+($B$5:$B$504=B416)*(B416&lt;&gt;"")&gt;0))&gt;0,"БЛОК: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операцию",IF(AND(C416="Оплата",K416&lt;&gt;"Отдельный платёж — не сам аванс (сверено с выпиской банка)",OR(COUNTIFS($C$5:$C$504,"Зачёт аванса по договору",$E$5:$E$504,E416)&gt;0,ROUND(E416-$M$6,2)=0)),"БЛОК: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6" s="185" t="str">
        <x:f>IF(AND(B416="",C416="",E416=""),"",SUM($G$5:G416))</x:f>
        <x:v/>
      </x:c>
      <x:c r="K416" s="178"/>
      <x:c r="L416" s="46"/>
      <x:c r="M416" s="46"/>
    </x:row>
    <x:row r="417" ht="29" customHeight="1">
      <x:c r="A417" s="199">
        <x:v>413</x:v>
      </x:c>
      <x:c r="B417" s="162"/>
      <x:c r="C417" s="163"/>
      <x:c r="D417" s="163"/>
      <x:c r="E417" s="164"/>
      <x:c r="F417" s="163"/>
      <x:c r="G417" s="185">
        <x:f t="shared" si="12"/>
        <x:v>0</x:v>
      </x:c>
      <x:c r="H417" s="185">
        <x:f t="shared" si="13"/>
        <x:v>0</x:v>
      </x:c>
      <x:c r="I417" s="186">
        <x:f>IF(AND(B417="",C417="",D417="",E417="",F417=""),"",IF(OR(B417="",C417="",E417=""),"БЛОК: нужны дата, тип операции и сумма",IF(N(E417)&lt;=0,"БЛОК: сумма должна быть больше нуля",IF(AND(H417&lt;&gt;0,F417=""),"БЛОК: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отделить",IF(AND(G417&lt;&gt;0,F417=""),"БЛОК: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нельзя",IF(AND(F417&lt;&gt;"",COUNTIF('Долг по актам'!$B$5:$B$34,F417)=0),"БЛОК: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договору")&gt;0)*($C$5:$C$504&lt;&gt;C417)*($E$5:$E$504=E417)*(($D$5:$D$504=D417)*(D417&lt;&gt;"")+($B$5:$B$504=B417)*(B417&lt;&gt;"")&gt;0))&gt;0,"БЛОК: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операцию",IF(AND(C417="Оплата",K417&lt;&gt;"Отдельный платёж — не сам аванс (сверено с выпиской банка)",OR(COUNTIFS($C$5:$C$504,"Зачёт аванса по договору",$E$5:$E$504,E417)&gt;0,ROUND(E417-$M$6,2)=0)),"БЛОК: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7" s="185" t="str">
        <x:f>IF(AND(B417="",C417="",E417=""),"",SUM($G$5:G417))</x:f>
        <x:v/>
      </x:c>
      <x:c r="K417" s="178"/>
      <x:c r="L417" s="46"/>
      <x:c r="M417" s="46"/>
    </x:row>
    <x:row r="418" ht="29" customHeight="1">
      <x:c r="A418" s="199">
        <x:v>414</x:v>
      </x:c>
      <x:c r="B418" s="162"/>
      <x:c r="C418" s="163"/>
      <x:c r="D418" s="163"/>
      <x:c r="E418" s="164"/>
      <x:c r="F418" s="163"/>
      <x:c r="G418" s="185">
        <x:f t="shared" si="12"/>
        <x:v>0</x:v>
      </x:c>
      <x:c r="H418" s="185">
        <x:f t="shared" si="13"/>
        <x:v>0</x:v>
      </x:c>
      <x:c r="I418" s="186">
        <x:f>IF(AND(B418="",C418="",D418="",E418="",F418=""),"",IF(OR(B418="",C418="",E418=""),"БЛОК: нужны дата, тип операции и сумма",IF(N(E418)&lt;=0,"БЛОК: сумма должна быть больше нуля",IF(AND(H418&lt;&gt;0,F418=""),"БЛОК: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отделить",IF(AND(G418&lt;&gt;0,F418=""),"БЛОК: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нельзя",IF(AND(F418&lt;&gt;"",COUNTIF('Долг по актам'!$B$5:$B$34,F418)=0),"БЛОК: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договору")&gt;0)*($C$5:$C$504&lt;&gt;C418)*($E$5:$E$504=E418)*(($D$5:$D$504=D418)*(D418&lt;&gt;"")+($B$5:$B$504=B418)*(B418&lt;&gt;"")&gt;0))&gt;0,"БЛОК: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операцию",IF(AND(C418="Оплата",K418&lt;&gt;"Отдельный платёж — не сам аванс (сверено с выпиской банка)",OR(COUNTIFS($C$5:$C$504,"Зачёт аванса по договору",$E$5:$E$504,E418)&gt;0,ROUND(E418-$M$6,2)=0)),"БЛОК: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8" s="185" t="str">
        <x:f>IF(AND(B418="",C418="",E418=""),"",SUM($G$5:G418))</x:f>
        <x:v/>
      </x:c>
      <x:c r="K418" s="178"/>
      <x:c r="L418" s="46"/>
      <x:c r="M418" s="46"/>
    </x:row>
    <x:row r="419" ht="29" customHeight="1">
      <x:c r="A419" s="199">
        <x:v>415</x:v>
      </x:c>
      <x:c r="B419" s="162"/>
      <x:c r="C419" s="163"/>
      <x:c r="D419" s="163"/>
      <x:c r="E419" s="164"/>
      <x:c r="F419" s="163"/>
      <x:c r="G419" s="185">
        <x:f t="shared" si="12"/>
        <x:v>0</x:v>
      </x:c>
      <x:c r="H419" s="185">
        <x:f t="shared" si="13"/>
        <x:v>0</x:v>
      </x:c>
      <x:c r="I419" s="186">
        <x:f>IF(AND(B419="",C419="",D419="",E419="",F419=""),"",IF(OR(B419="",C419="",E419=""),"БЛОК: нужны дата, тип операции и сумма",IF(N(E419)&lt;=0,"БЛОК: сумма должна быть больше нуля",IF(AND(H419&lt;&gt;0,F419=""),"БЛОК: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отделить",IF(AND(G419&lt;&gt;0,F419=""),"БЛОК: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нельзя",IF(AND(F419&lt;&gt;"",COUNTIF('Долг по актам'!$B$5:$B$34,F419)=0),"БЛОК: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договору")&gt;0)*($C$5:$C$504&lt;&gt;C419)*($E$5:$E$504=E419)*(($D$5:$D$504=D419)*(D419&lt;&gt;"")+($B$5:$B$504=B419)*(B419&lt;&gt;"")&gt;0))&gt;0,"БЛОК: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операцию",IF(AND(C419="Оплата",K419&lt;&gt;"Отдельный платёж — не сам аванс (сверено с выпиской банка)",OR(COUNTIFS($C$5:$C$504,"Зачёт аванса по договору",$E$5:$E$504,E419)&gt;0,ROUND(E419-$M$6,2)=0)),"БЛОК: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19" s="185" t="str">
        <x:f>IF(AND(B419="",C419="",E419=""),"",SUM($G$5:G419))</x:f>
        <x:v/>
      </x:c>
      <x:c r="K419" s="178"/>
      <x:c r="L419" s="46"/>
      <x:c r="M419" s="46"/>
    </x:row>
    <x:row r="420" ht="29" customHeight="1">
      <x:c r="A420" s="199">
        <x:v>416</x:v>
      </x:c>
      <x:c r="B420" s="162"/>
      <x:c r="C420" s="163"/>
      <x:c r="D420" s="163"/>
      <x:c r="E420" s="164"/>
      <x:c r="F420" s="163"/>
      <x:c r="G420" s="185">
        <x:f t="shared" si="12"/>
        <x:v>0</x:v>
      </x:c>
      <x:c r="H420" s="185">
        <x:f t="shared" si="13"/>
        <x:v>0</x:v>
      </x:c>
      <x:c r="I420" s="186">
        <x:f>IF(AND(B420="",C420="",D420="",E420="",F420=""),"",IF(OR(B420="",C420="",E420=""),"БЛОК: нужны дата, тип операции и сумма",IF(N(E420)&lt;=0,"БЛОК: сумма должна быть больше нуля",IF(AND(H420&lt;&gt;0,F420=""),"БЛОК: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отделить",IF(AND(G420&lt;&gt;0,F420=""),"БЛОК: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нельзя",IF(AND(F420&lt;&gt;"",COUNTIF('Долг по актам'!$B$5:$B$34,F420)=0),"БЛОК: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договору")&gt;0)*($C$5:$C$504&lt;&gt;C420)*($E$5:$E$504=E420)*(($D$5:$D$504=D420)*(D420&lt;&gt;"")+($B$5:$B$504=B420)*(B420&lt;&gt;"")&gt;0))&gt;0,"БЛОК: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операцию",IF(AND(C420="Оплата",K420&lt;&gt;"Отдельный платёж — не сам аванс (сверено с выпиской банка)",OR(COUNTIFS($C$5:$C$504,"Зачёт аванса по договору",$E$5:$E$504,E420)&gt;0,ROUND(E420-$M$6,2)=0)),"БЛОК: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0" s="185" t="str">
        <x:f>IF(AND(B420="",C420="",E420=""),"",SUM($G$5:G420))</x:f>
        <x:v/>
      </x:c>
      <x:c r="K420" s="178"/>
      <x:c r="L420" s="46"/>
      <x:c r="M420" s="46"/>
    </x:row>
    <x:row r="421" ht="29" customHeight="1">
      <x:c r="A421" s="199">
        <x:v>417</x:v>
      </x:c>
      <x:c r="B421" s="162"/>
      <x:c r="C421" s="163"/>
      <x:c r="D421" s="163"/>
      <x:c r="E421" s="164"/>
      <x:c r="F421" s="163"/>
      <x:c r="G421" s="185">
        <x:f t="shared" si="12"/>
        <x:v>0</x:v>
      </x:c>
      <x:c r="H421" s="185">
        <x:f t="shared" si="13"/>
        <x:v>0</x:v>
      </x:c>
      <x:c r="I421" s="186">
        <x:f>IF(AND(B421="",C421="",D421="",E421="",F421=""),"",IF(OR(B421="",C421="",E421=""),"БЛОК: нужны дата, тип операции и сумма",IF(N(E421)&lt;=0,"БЛОК: сумма должна быть больше нуля",IF(AND(H421&lt;&gt;0,F421=""),"БЛОК: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отделить",IF(AND(G421&lt;&gt;0,F421=""),"БЛОК: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нельзя",IF(AND(F421&lt;&gt;"",COUNTIF('Долг по актам'!$B$5:$B$34,F421)=0),"БЛОК: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договору")&gt;0)*($C$5:$C$504&lt;&gt;C421)*($E$5:$E$504=E421)*(($D$5:$D$504=D421)*(D421&lt;&gt;"")+($B$5:$B$504=B421)*(B421&lt;&gt;"")&gt;0))&gt;0,"БЛОК: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операцию",IF(AND(C421="Оплата",K421&lt;&gt;"Отдельный платёж — не сам аванс (сверено с выпиской банка)",OR(COUNTIFS($C$5:$C$504,"Зачёт аванса по договору",$E$5:$E$504,E421)&gt;0,ROUND(E421-$M$6,2)=0)),"БЛОК: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1" s="185" t="str">
        <x:f>IF(AND(B421="",C421="",E421=""),"",SUM($G$5:G421))</x:f>
        <x:v/>
      </x:c>
      <x:c r="K421" s="178"/>
      <x:c r="L421" s="46"/>
      <x:c r="M421" s="46"/>
    </x:row>
    <x:row r="422" ht="29" customHeight="1">
      <x:c r="A422" s="199">
        <x:v>418</x:v>
      </x:c>
      <x:c r="B422" s="162"/>
      <x:c r="C422" s="163"/>
      <x:c r="D422" s="163"/>
      <x:c r="E422" s="164"/>
      <x:c r="F422" s="163"/>
      <x:c r="G422" s="185">
        <x:f t="shared" si="12"/>
        <x:v>0</x:v>
      </x:c>
      <x:c r="H422" s="185">
        <x:f t="shared" si="13"/>
        <x:v>0</x:v>
      </x:c>
      <x:c r="I422" s="186">
        <x:f>IF(AND(B422="",C422="",D422="",E422="",F422=""),"",IF(OR(B422="",C422="",E422=""),"БЛОК: нужны дата, тип операции и сумма",IF(N(E422)&lt;=0,"БЛОК: сумма должна быть больше нуля",IF(AND(H422&lt;&gt;0,F422=""),"БЛОК: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отделить",IF(AND(G422&lt;&gt;0,F422=""),"БЛОК: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нельзя",IF(AND(F422&lt;&gt;"",COUNTIF('Долг по актам'!$B$5:$B$34,F422)=0),"БЛОК: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договору")&gt;0)*($C$5:$C$504&lt;&gt;C422)*($E$5:$E$504=E422)*(($D$5:$D$504=D422)*(D422&lt;&gt;"")+($B$5:$B$504=B422)*(B422&lt;&gt;"")&gt;0))&gt;0,"БЛОК: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операцию",IF(AND(C422="Оплата",K422&lt;&gt;"Отдельный платёж — не сам аванс (сверено с выпиской банка)",OR(COUNTIFS($C$5:$C$504,"Зачёт аванса по договору",$E$5:$E$504,E422)&gt;0,ROUND(E422-$M$6,2)=0)),"БЛОК: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2" s="185" t="str">
        <x:f>IF(AND(B422="",C422="",E422=""),"",SUM($G$5:G422))</x:f>
        <x:v/>
      </x:c>
      <x:c r="K422" s="178"/>
      <x:c r="L422" s="46"/>
      <x:c r="M422" s="46"/>
    </x:row>
    <x:row r="423" ht="29" customHeight="1">
      <x:c r="A423" s="199">
        <x:v>419</x:v>
      </x:c>
      <x:c r="B423" s="162"/>
      <x:c r="C423" s="163"/>
      <x:c r="D423" s="163"/>
      <x:c r="E423" s="164"/>
      <x:c r="F423" s="163"/>
      <x:c r="G423" s="185">
        <x:f t="shared" si="12"/>
        <x:v>0</x:v>
      </x:c>
      <x:c r="H423" s="185">
        <x:f t="shared" si="13"/>
        <x:v>0</x:v>
      </x:c>
      <x:c r="I423" s="186">
        <x:f>IF(AND(B423="",C423="",D423="",E423="",F423=""),"",IF(OR(B423="",C423="",E423=""),"БЛОК: нужны дата, тип операции и сумма",IF(N(E423)&lt;=0,"БЛОК: сумма должна быть больше нуля",IF(AND(H423&lt;&gt;0,F423=""),"БЛОК: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отделить",IF(AND(G423&lt;&gt;0,F423=""),"БЛОК: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нельзя",IF(AND(F423&lt;&gt;"",COUNTIF('Долг по актам'!$B$5:$B$34,F423)=0),"БЛОК: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договору")&gt;0)*($C$5:$C$504&lt;&gt;C423)*($E$5:$E$504=E423)*(($D$5:$D$504=D423)*(D423&lt;&gt;"")+($B$5:$B$504=B423)*(B423&lt;&gt;"")&gt;0))&gt;0,"БЛОК: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операцию",IF(AND(C423="Оплата",K423&lt;&gt;"Отдельный платёж — не сам аванс (сверено с выпиской банка)",OR(COUNTIFS($C$5:$C$504,"Зачёт аванса по договору",$E$5:$E$504,E423)&gt;0,ROUND(E423-$M$6,2)=0)),"БЛОК: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3" s="185" t="str">
        <x:f>IF(AND(B423="",C423="",E423=""),"",SUM($G$5:G423))</x:f>
        <x:v/>
      </x:c>
      <x:c r="K423" s="178"/>
      <x:c r="L423" s="46"/>
      <x:c r="M423" s="46"/>
    </x:row>
    <x:row r="424" ht="29" customHeight="1">
      <x:c r="A424" s="199">
        <x:v>420</x:v>
      </x:c>
      <x:c r="B424" s="162"/>
      <x:c r="C424" s="163"/>
      <x:c r="D424" s="163"/>
      <x:c r="E424" s="164"/>
      <x:c r="F424" s="163"/>
      <x:c r="G424" s="185">
        <x:f t="shared" si="12"/>
        <x:v>0</x:v>
      </x:c>
      <x:c r="H424" s="185">
        <x:f t="shared" si="13"/>
        <x:v>0</x:v>
      </x:c>
      <x:c r="I424" s="186">
        <x:f>IF(AND(B424="",C424="",D424="",E424="",F424=""),"",IF(OR(B424="",C424="",E424=""),"БЛОК: нужны дата, тип операции и сумма",IF(N(E424)&lt;=0,"БЛОК: сумма должна быть больше нуля",IF(AND(H424&lt;&gt;0,F424=""),"БЛОК: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отделить",IF(AND(G424&lt;&gt;0,F424=""),"БЛОК: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нельзя",IF(AND(F424&lt;&gt;"",COUNTIF('Долг по актам'!$B$5:$B$34,F424)=0),"БЛОК: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договору")&gt;0)*($C$5:$C$504&lt;&gt;C424)*($E$5:$E$504=E424)*(($D$5:$D$504=D424)*(D424&lt;&gt;"")+($B$5:$B$504=B424)*(B424&lt;&gt;"")&gt;0))&gt;0,"БЛОК: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операцию",IF(AND(C424="Оплата",K424&lt;&gt;"Отдельный платёж — не сам аванс (сверено с выпиской банка)",OR(COUNTIFS($C$5:$C$504,"Зачёт аванса по договору",$E$5:$E$504,E424)&gt;0,ROUND(E424-$M$6,2)=0)),"БЛОК: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4" s="185" t="str">
        <x:f>IF(AND(B424="",C424="",E424=""),"",SUM($G$5:G424))</x:f>
        <x:v/>
      </x:c>
      <x:c r="K424" s="178"/>
      <x:c r="L424" s="46"/>
      <x:c r="M424" s="46"/>
    </x:row>
    <x:row r="425" ht="29" customHeight="1">
      <x:c r="A425" s="199">
        <x:v>421</x:v>
      </x:c>
      <x:c r="B425" s="162"/>
      <x:c r="C425" s="163"/>
      <x:c r="D425" s="163"/>
      <x:c r="E425" s="164"/>
      <x:c r="F425" s="163"/>
      <x:c r="G425" s="185">
        <x:f t="shared" si="12"/>
        <x:v>0</x:v>
      </x:c>
      <x:c r="H425" s="185">
        <x:f t="shared" si="13"/>
        <x:v>0</x:v>
      </x:c>
      <x:c r="I425" s="186">
        <x:f>IF(AND(B425="",C425="",D425="",E425="",F425=""),"",IF(OR(B425="",C425="",E425=""),"БЛОК: нужны дата, тип операции и сумма",IF(N(E425)&lt;=0,"БЛОК: сумма должна быть больше нуля",IF(AND(H425&lt;&gt;0,F425=""),"БЛОК: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отделить",IF(AND(G425&lt;&gt;0,F425=""),"БЛОК: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нельзя",IF(AND(F425&lt;&gt;"",COUNTIF('Долг по актам'!$B$5:$B$34,F425)=0),"БЛОК: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договору")&gt;0)*($C$5:$C$504&lt;&gt;C425)*($E$5:$E$504=E425)*(($D$5:$D$504=D425)*(D425&lt;&gt;"")+($B$5:$B$504=B425)*(B425&lt;&gt;"")&gt;0))&gt;0,"БЛОК: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операцию",IF(AND(C425="Оплата",K425&lt;&gt;"Отдельный платёж — не сам аванс (сверено с выпиской банка)",OR(COUNTIFS($C$5:$C$504,"Зачёт аванса по договору",$E$5:$E$504,E425)&gt;0,ROUND(E425-$M$6,2)=0)),"БЛОК: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5" s="185" t="str">
        <x:f>IF(AND(B425="",C425="",E425=""),"",SUM($G$5:G425))</x:f>
        <x:v/>
      </x:c>
      <x:c r="K425" s="178"/>
      <x:c r="L425" s="46"/>
      <x:c r="M425" s="46"/>
    </x:row>
    <x:row r="426" ht="29" customHeight="1">
      <x:c r="A426" s="199">
        <x:v>422</x:v>
      </x:c>
      <x:c r="B426" s="162"/>
      <x:c r="C426" s="163"/>
      <x:c r="D426" s="163"/>
      <x:c r="E426" s="164"/>
      <x:c r="F426" s="163"/>
      <x:c r="G426" s="185">
        <x:f t="shared" si="12"/>
        <x:v>0</x:v>
      </x:c>
      <x:c r="H426" s="185">
        <x:f t="shared" si="13"/>
        <x:v>0</x:v>
      </x:c>
      <x:c r="I426" s="186">
        <x:f>IF(AND(B426="",C426="",D426="",E426="",F426=""),"",IF(OR(B426="",C426="",E426=""),"БЛОК: нужны дата, тип операции и сумма",IF(N(E426)&lt;=0,"БЛОК: сумма должна быть больше нуля",IF(AND(H426&lt;&gt;0,F426=""),"БЛОК: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отделить",IF(AND(G426&lt;&gt;0,F426=""),"БЛОК: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нельзя",IF(AND(F426&lt;&gt;"",COUNTIF('Долг по актам'!$B$5:$B$34,F426)=0),"БЛОК: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договору")&gt;0)*($C$5:$C$504&lt;&gt;C426)*($E$5:$E$504=E426)*(($D$5:$D$504=D426)*(D426&lt;&gt;"")+($B$5:$B$504=B426)*(B426&lt;&gt;"")&gt;0))&gt;0,"БЛОК: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операцию",IF(AND(C426="Оплата",K426&lt;&gt;"Отдельный платёж — не сам аванс (сверено с выпиской банка)",OR(COUNTIFS($C$5:$C$504,"Зачёт аванса по договору",$E$5:$E$504,E426)&gt;0,ROUND(E426-$M$6,2)=0)),"БЛОК: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6" s="185" t="str">
        <x:f>IF(AND(B426="",C426="",E426=""),"",SUM($G$5:G426))</x:f>
        <x:v/>
      </x:c>
      <x:c r="K426" s="178"/>
      <x:c r="L426" s="46"/>
      <x:c r="M426" s="46"/>
    </x:row>
    <x:row r="427" ht="29" customHeight="1">
      <x:c r="A427" s="199">
        <x:v>423</x:v>
      </x:c>
      <x:c r="B427" s="162"/>
      <x:c r="C427" s="163"/>
      <x:c r="D427" s="163"/>
      <x:c r="E427" s="164"/>
      <x:c r="F427" s="163"/>
      <x:c r="G427" s="185">
        <x:f t="shared" si="12"/>
        <x:v>0</x:v>
      </x:c>
      <x:c r="H427" s="185">
        <x:f t="shared" si="13"/>
        <x:v>0</x:v>
      </x:c>
      <x:c r="I427" s="186">
        <x:f>IF(AND(B427="",C427="",D427="",E427="",F427=""),"",IF(OR(B427="",C427="",E427=""),"БЛОК: нужны дата, тип операции и сумма",IF(N(E427)&lt;=0,"БЛОК: сумма должна быть больше нуля",IF(AND(H427&lt;&gt;0,F427=""),"БЛОК: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отделить",IF(AND(G427&lt;&gt;0,F427=""),"БЛОК: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нельзя",IF(AND(F427&lt;&gt;"",COUNTIF('Долг по актам'!$B$5:$B$34,F427)=0),"БЛОК: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договору")&gt;0)*($C$5:$C$504&lt;&gt;C427)*($E$5:$E$504=E427)*(($D$5:$D$504=D427)*(D427&lt;&gt;"")+($B$5:$B$504=B427)*(B427&lt;&gt;"")&gt;0))&gt;0,"БЛОК: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операцию",IF(AND(C427="Оплата",K427&lt;&gt;"Отдельный платёж — не сам аванс (сверено с выпиской банка)",OR(COUNTIFS($C$5:$C$504,"Зачёт аванса по договору",$E$5:$E$504,E427)&gt;0,ROUND(E427-$M$6,2)=0)),"БЛОК: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7" s="185" t="str">
        <x:f>IF(AND(B427="",C427="",E427=""),"",SUM($G$5:G427))</x:f>
        <x:v/>
      </x:c>
      <x:c r="K427" s="178"/>
      <x:c r="L427" s="46"/>
      <x:c r="M427" s="46"/>
    </x:row>
    <x:row r="428" ht="29" customHeight="1">
      <x:c r="A428" s="199">
        <x:v>424</x:v>
      </x:c>
      <x:c r="B428" s="162"/>
      <x:c r="C428" s="163"/>
      <x:c r="D428" s="163"/>
      <x:c r="E428" s="164"/>
      <x:c r="F428" s="163"/>
      <x:c r="G428" s="185">
        <x:f t="shared" si="12"/>
        <x:v>0</x:v>
      </x:c>
      <x:c r="H428" s="185">
        <x:f t="shared" si="13"/>
        <x:v>0</x:v>
      </x:c>
      <x:c r="I428" s="186">
        <x:f>IF(AND(B428="",C428="",D428="",E428="",F428=""),"",IF(OR(B428="",C428="",E428=""),"БЛОК: нужны дата, тип операции и сумма",IF(N(E428)&lt;=0,"БЛОК: сумма должна быть больше нуля",IF(AND(H428&lt;&gt;0,F428=""),"БЛОК: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отделить",IF(AND(G428&lt;&gt;0,F428=""),"БЛОК: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нельзя",IF(AND(F428&lt;&gt;"",COUNTIF('Долг по актам'!$B$5:$B$34,F428)=0),"БЛОК: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договору")&gt;0)*($C$5:$C$504&lt;&gt;C428)*($E$5:$E$504=E428)*(($D$5:$D$504=D428)*(D428&lt;&gt;"")+($B$5:$B$504=B428)*(B428&lt;&gt;"")&gt;0))&gt;0,"БЛОК: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операцию",IF(AND(C428="Оплата",K428&lt;&gt;"Отдельный платёж — не сам аванс (сверено с выпиской банка)",OR(COUNTIFS($C$5:$C$504,"Зачёт аванса по договору",$E$5:$E$504,E428)&gt;0,ROUND(E428-$M$6,2)=0)),"БЛОК: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8" s="185" t="str">
        <x:f>IF(AND(B428="",C428="",E428=""),"",SUM($G$5:G428))</x:f>
        <x:v/>
      </x:c>
      <x:c r="K428" s="178"/>
      <x:c r="L428" s="46"/>
      <x:c r="M428" s="46"/>
    </x:row>
    <x:row r="429" ht="29" customHeight="1">
      <x:c r="A429" s="199">
        <x:v>425</x:v>
      </x:c>
      <x:c r="B429" s="162"/>
      <x:c r="C429" s="163"/>
      <x:c r="D429" s="163"/>
      <x:c r="E429" s="164"/>
      <x:c r="F429" s="163"/>
      <x:c r="G429" s="185">
        <x:f t="shared" si="12"/>
        <x:v>0</x:v>
      </x:c>
      <x:c r="H429" s="185">
        <x:f t="shared" si="13"/>
        <x:v>0</x:v>
      </x:c>
      <x:c r="I429" s="186">
        <x:f>IF(AND(B429="",C429="",D429="",E429="",F429=""),"",IF(OR(B429="",C429="",E429=""),"БЛОК: нужны дата, тип операции и сумма",IF(N(E429)&lt;=0,"БЛОК: сумма должна быть больше нуля",IF(AND(H429&lt;&gt;0,F429=""),"БЛОК: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отделить",IF(AND(G429&lt;&gt;0,F429=""),"БЛОК: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нельзя",IF(AND(F429&lt;&gt;"",COUNTIF('Долг по актам'!$B$5:$B$34,F429)=0),"БЛОК: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договору")&gt;0)*($C$5:$C$504&lt;&gt;C429)*($E$5:$E$504=E429)*(($D$5:$D$504=D429)*(D429&lt;&gt;"")+($B$5:$B$504=B429)*(B429&lt;&gt;"")&gt;0))&gt;0,"БЛОК: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операцию",IF(AND(C429="Оплата",K429&lt;&gt;"Отдельный платёж — не сам аванс (сверено с выпиской банка)",OR(COUNTIFS($C$5:$C$504,"Зачёт аванса по договору",$E$5:$E$504,E429)&gt;0,ROUND(E429-$M$6,2)=0)),"БЛОК: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29" s="185" t="str">
        <x:f>IF(AND(B429="",C429="",E429=""),"",SUM($G$5:G429))</x:f>
        <x:v/>
      </x:c>
      <x:c r="K429" s="178"/>
      <x:c r="L429" s="46"/>
      <x:c r="M429" s="46"/>
    </x:row>
    <x:row r="430" ht="29" customHeight="1">
      <x:c r="A430" s="199">
        <x:v>426</x:v>
      </x:c>
      <x:c r="B430" s="162"/>
      <x:c r="C430" s="163"/>
      <x:c r="D430" s="163"/>
      <x:c r="E430" s="164"/>
      <x:c r="F430" s="163"/>
      <x:c r="G430" s="185">
        <x:f t="shared" si="12"/>
        <x:v>0</x:v>
      </x:c>
      <x:c r="H430" s="185">
        <x:f t="shared" si="13"/>
        <x:v>0</x:v>
      </x:c>
      <x:c r="I430" s="186">
        <x:f>IF(AND(B430="",C430="",D430="",E430="",F430=""),"",IF(OR(B430="",C430="",E430=""),"БЛОК: нужны дата, тип операции и сумма",IF(N(E430)&lt;=0,"БЛОК: сумма должна быть больше нуля",IF(AND(H430&lt;&gt;0,F430=""),"БЛОК: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отделить",IF(AND(G430&lt;&gt;0,F430=""),"БЛОК: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нельзя",IF(AND(F430&lt;&gt;"",COUNTIF('Долг по актам'!$B$5:$B$34,F430)=0),"БЛОК: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договору")&gt;0)*($C$5:$C$504&lt;&gt;C430)*($E$5:$E$504=E430)*(($D$5:$D$504=D430)*(D430&lt;&gt;"")+($B$5:$B$504=B430)*(B430&lt;&gt;"")&gt;0))&gt;0,"БЛОК: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операцию",IF(AND(C430="Оплата",K430&lt;&gt;"Отдельный платёж — не сам аванс (сверено с выпиской банка)",OR(COUNTIFS($C$5:$C$504,"Зачёт аванса по договору",$E$5:$E$504,E430)&gt;0,ROUND(E430-$M$6,2)=0)),"БЛОК: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0" s="185" t="str">
        <x:f>IF(AND(B430="",C430="",E430=""),"",SUM($G$5:G430))</x:f>
        <x:v/>
      </x:c>
      <x:c r="K430" s="178"/>
      <x:c r="L430" s="46"/>
      <x:c r="M430" s="46"/>
    </x:row>
    <x:row r="431" ht="29" customHeight="1">
      <x:c r="A431" s="199">
        <x:v>427</x:v>
      </x:c>
      <x:c r="B431" s="162"/>
      <x:c r="C431" s="163"/>
      <x:c r="D431" s="163"/>
      <x:c r="E431" s="164"/>
      <x:c r="F431" s="163"/>
      <x:c r="G431" s="185">
        <x:f t="shared" si="12"/>
        <x:v>0</x:v>
      </x:c>
      <x:c r="H431" s="185">
        <x:f t="shared" si="13"/>
        <x:v>0</x:v>
      </x:c>
      <x:c r="I431" s="186">
        <x:f>IF(AND(B431="",C431="",D431="",E431="",F431=""),"",IF(OR(B431="",C431="",E431=""),"БЛОК: нужны дата, тип операции и сумма",IF(N(E431)&lt;=0,"БЛОК: сумма должна быть больше нуля",IF(AND(H431&lt;&gt;0,F431=""),"БЛОК: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отделить",IF(AND(G431&lt;&gt;0,F431=""),"БЛОК: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нельзя",IF(AND(F431&lt;&gt;"",COUNTIF('Долг по актам'!$B$5:$B$34,F431)=0),"БЛОК: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договору")&gt;0)*($C$5:$C$504&lt;&gt;C431)*($E$5:$E$504=E431)*(($D$5:$D$504=D431)*(D431&lt;&gt;"")+($B$5:$B$504=B431)*(B431&lt;&gt;"")&gt;0))&gt;0,"БЛОК: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операцию",IF(AND(C431="Оплата",K431&lt;&gt;"Отдельный платёж — не сам аванс (сверено с выпиской банка)",OR(COUNTIFS($C$5:$C$504,"Зачёт аванса по договору",$E$5:$E$504,E431)&gt;0,ROUND(E431-$M$6,2)=0)),"БЛОК: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1" s="185" t="str">
        <x:f>IF(AND(B431="",C431="",E431=""),"",SUM($G$5:G431))</x:f>
        <x:v/>
      </x:c>
      <x:c r="K431" s="178"/>
      <x:c r="L431" s="46"/>
      <x:c r="M431" s="46"/>
    </x:row>
    <x:row r="432" ht="29" customHeight="1">
      <x:c r="A432" s="199">
        <x:v>428</x:v>
      </x:c>
      <x:c r="B432" s="162"/>
      <x:c r="C432" s="163"/>
      <x:c r="D432" s="163"/>
      <x:c r="E432" s="164"/>
      <x:c r="F432" s="163"/>
      <x:c r="G432" s="185">
        <x:f t="shared" si="12"/>
        <x:v>0</x:v>
      </x:c>
      <x:c r="H432" s="185">
        <x:f t="shared" si="13"/>
        <x:v>0</x:v>
      </x:c>
      <x:c r="I432" s="186">
        <x:f>IF(AND(B432="",C432="",D432="",E432="",F432=""),"",IF(OR(B432="",C432="",E432=""),"БЛОК: нужны дата, тип операции и сумма",IF(N(E432)&lt;=0,"БЛОК: сумма должна быть больше нуля",IF(AND(H432&lt;&gt;0,F432=""),"БЛОК: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отделить",IF(AND(G432&lt;&gt;0,F432=""),"БЛОК: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нельзя",IF(AND(F432&lt;&gt;"",COUNTIF('Долг по актам'!$B$5:$B$34,F432)=0),"БЛОК: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договору")&gt;0)*($C$5:$C$504&lt;&gt;C432)*($E$5:$E$504=E432)*(($D$5:$D$504=D432)*(D432&lt;&gt;"")+($B$5:$B$504=B432)*(B432&lt;&gt;"")&gt;0))&gt;0,"БЛОК: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операцию",IF(AND(C432="Оплата",K432&lt;&gt;"Отдельный платёж — не сам аванс (сверено с выпиской банка)",OR(COUNTIFS($C$5:$C$504,"Зачёт аванса по договору",$E$5:$E$504,E432)&gt;0,ROUND(E432-$M$6,2)=0)),"БЛОК: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2" s="185" t="str">
        <x:f>IF(AND(B432="",C432="",E432=""),"",SUM($G$5:G432))</x:f>
        <x:v/>
      </x:c>
      <x:c r="K432" s="178"/>
      <x:c r="L432" s="46"/>
      <x:c r="M432" s="46"/>
    </x:row>
    <x:row r="433" ht="29" customHeight="1">
      <x:c r="A433" s="199">
        <x:v>429</x:v>
      </x:c>
      <x:c r="B433" s="162"/>
      <x:c r="C433" s="163"/>
      <x:c r="D433" s="163"/>
      <x:c r="E433" s="164"/>
      <x:c r="F433" s="163"/>
      <x:c r="G433" s="185">
        <x:f t="shared" si="12"/>
        <x:v>0</x:v>
      </x:c>
      <x:c r="H433" s="185">
        <x:f t="shared" si="13"/>
        <x:v>0</x:v>
      </x:c>
      <x:c r="I433" s="186">
        <x:f>IF(AND(B433="",C433="",D433="",E433="",F433=""),"",IF(OR(B433="",C433="",E433=""),"БЛОК: нужны дата, тип операции и сумма",IF(N(E433)&lt;=0,"БЛОК: сумма должна быть больше нуля",IF(AND(H433&lt;&gt;0,F433=""),"БЛОК: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отделить",IF(AND(G433&lt;&gt;0,F433=""),"БЛОК: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нельзя",IF(AND(F433&lt;&gt;"",COUNTIF('Долг по актам'!$B$5:$B$34,F433)=0),"БЛОК: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договору")&gt;0)*($C$5:$C$504&lt;&gt;C433)*($E$5:$E$504=E433)*(($D$5:$D$504=D433)*(D433&lt;&gt;"")+($B$5:$B$504=B433)*(B433&lt;&gt;"")&gt;0))&gt;0,"БЛОК: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операцию",IF(AND(C433="Оплата",K433&lt;&gt;"Отдельный платёж — не сам аванс (сверено с выпиской банка)",OR(COUNTIFS($C$5:$C$504,"Зачёт аванса по договору",$E$5:$E$504,E433)&gt;0,ROUND(E433-$M$6,2)=0)),"БЛОК: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3" s="185" t="str">
        <x:f>IF(AND(B433="",C433="",E433=""),"",SUM($G$5:G433))</x:f>
        <x:v/>
      </x:c>
      <x:c r="K433" s="178"/>
      <x:c r="L433" s="46"/>
      <x:c r="M433" s="46"/>
    </x:row>
    <x:row r="434" ht="29" customHeight="1">
      <x:c r="A434" s="199">
        <x:v>430</x:v>
      </x:c>
      <x:c r="B434" s="162"/>
      <x:c r="C434" s="163"/>
      <x:c r="D434" s="163"/>
      <x:c r="E434" s="164"/>
      <x:c r="F434" s="163"/>
      <x:c r="G434" s="185">
        <x:f t="shared" si="12"/>
        <x:v>0</x:v>
      </x:c>
      <x:c r="H434" s="185">
        <x:f t="shared" si="13"/>
        <x:v>0</x:v>
      </x:c>
      <x:c r="I434" s="186">
        <x:f>IF(AND(B434="",C434="",D434="",E434="",F434=""),"",IF(OR(B434="",C434="",E434=""),"БЛОК: нужны дата, тип операции и сумма",IF(N(E434)&lt;=0,"БЛОК: сумма должна быть больше нуля",IF(AND(H434&lt;&gt;0,F434=""),"БЛОК: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отделить",IF(AND(G434&lt;&gt;0,F434=""),"БЛОК: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нельзя",IF(AND(F434&lt;&gt;"",COUNTIF('Долг по актам'!$B$5:$B$34,F434)=0),"БЛОК: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договору")&gt;0)*($C$5:$C$504&lt;&gt;C434)*($E$5:$E$504=E434)*(($D$5:$D$504=D434)*(D434&lt;&gt;"")+($B$5:$B$504=B434)*(B434&lt;&gt;"")&gt;0))&gt;0,"БЛОК: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операцию",IF(AND(C434="Оплата",K434&lt;&gt;"Отдельный платёж — не сам аванс (сверено с выпиской банка)",OR(COUNTIFS($C$5:$C$504,"Зачёт аванса по договору",$E$5:$E$504,E434)&gt;0,ROUND(E434-$M$6,2)=0)),"БЛОК: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4" s="185" t="str">
        <x:f>IF(AND(B434="",C434="",E434=""),"",SUM($G$5:G434))</x:f>
        <x:v/>
      </x:c>
      <x:c r="K434" s="178"/>
      <x:c r="L434" s="46"/>
      <x:c r="M434" s="46"/>
    </x:row>
    <x:row r="435" ht="29" customHeight="1">
      <x:c r="A435" s="199">
        <x:v>431</x:v>
      </x:c>
      <x:c r="B435" s="162"/>
      <x:c r="C435" s="163"/>
      <x:c r="D435" s="163"/>
      <x:c r="E435" s="164"/>
      <x:c r="F435" s="163"/>
      <x:c r="G435" s="185">
        <x:f t="shared" si="12"/>
        <x:v>0</x:v>
      </x:c>
      <x:c r="H435" s="185">
        <x:f t="shared" si="13"/>
        <x:v>0</x:v>
      </x:c>
      <x:c r="I435" s="186">
        <x:f>IF(AND(B435="",C435="",D435="",E435="",F435=""),"",IF(OR(B435="",C435="",E435=""),"БЛОК: нужны дата, тип операции и сумма",IF(N(E435)&lt;=0,"БЛОК: сумма должна быть больше нуля",IF(AND(H435&lt;&gt;0,F435=""),"БЛОК: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отделить",IF(AND(G435&lt;&gt;0,F435=""),"БЛОК: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нельзя",IF(AND(F435&lt;&gt;"",COUNTIF('Долг по актам'!$B$5:$B$34,F435)=0),"БЛОК: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договору")&gt;0)*($C$5:$C$504&lt;&gt;C435)*($E$5:$E$504=E435)*(($D$5:$D$504=D435)*(D435&lt;&gt;"")+($B$5:$B$504=B435)*(B435&lt;&gt;"")&gt;0))&gt;0,"БЛОК: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операцию",IF(AND(C435="Оплата",K435&lt;&gt;"Отдельный платёж — не сам аванс (сверено с выпиской банка)",OR(COUNTIFS($C$5:$C$504,"Зачёт аванса по договору",$E$5:$E$504,E435)&gt;0,ROUND(E435-$M$6,2)=0)),"БЛОК: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5" s="185" t="str">
        <x:f>IF(AND(B435="",C435="",E435=""),"",SUM($G$5:G435))</x:f>
        <x:v/>
      </x:c>
      <x:c r="K435" s="178"/>
      <x:c r="L435" s="46"/>
      <x:c r="M435" s="46"/>
    </x:row>
    <x:row r="436" ht="29" customHeight="1">
      <x:c r="A436" s="199">
        <x:v>432</x:v>
      </x:c>
      <x:c r="B436" s="162"/>
      <x:c r="C436" s="163"/>
      <x:c r="D436" s="163"/>
      <x:c r="E436" s="164"/>
      <x:c r="F436" s="163"/>
      <x:c r="G436" s="185">
        <x:f t="shared" si="12"/>
        <x:v>0</x:v>
      </x:c>
      <x:c r="H436" s="185">
        <x:f t="shared" si="13"/>
        <x:v>0</x:v>
      </x:c>
      <x:c r="I436" s="186">
        <x:f>IF(AND(B436="",C436="",D436="",E436="",F436=""),"",IF(OR(B436="",C436="",E436=""),"БЛОК: нужны дата, тип операции и сумма",IF(N(E436)&lt;=0,"БЛОК: сумма должна быть больше нуля",IF(AND(H436&lt;&gt;0,F436=""),"БЛОК: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отделить",IF(AND(G436&lt;&gt;0,F436=""),"БЛОК: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нельзя",IF(AND(F436&lt;&gt;"",COUNTIF('Долг по актам'!$B$5:$B$34,F436)=0),"БЛОК: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договору")&gt;0)*($C$5:$C$504&lt;&gt;C436)*($E$5:$E$504=E436)*(($D$5:$D$504=D436)*(D436&lt;&gt;"")+($B$5:$B$504=B436)*(B436&lt;&gt;"")&gt;0))&gt;0,"БЛОК: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операцию",IF(AND(C436="Оплата",K436&lt;&gt;"Отдельный платёж — не сам аванс (сверено с выпиской банка)",OR(COUNTIFS($C$5:$C$504,"Зачёт аванса по договору",$E$5:$E$504,E436)&gt;0,ROUND(E436-$M$6,2)=0)),"БЛОК: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6" s="185" t="str">
        <x:f>IF(AND(B436="",C436="",E436=""),"",SUM($G$5:G436))</x:f>
        <x:v/>
      </x:c>
      <x:c r="K436" s="178"/>
      <x:c r="L436" s="46"/>
      <x:c r="M436" s="46"/>
    </x:row>
    <x:row r="437" ht="29" customHeight="1">
      <x:c r="A437" s="199">
        <x:v>433</x:v>
      </x:c>
      <x:c r="B437" s="162"/>
      <x:c r="C437" s="163"/>
      <x:c r="D437" s="163"/>
      <x:c r="E437" s="164"/>
      <x:c r="F437" s="163"/>
      <x:c r="G437" s="185">
        <x:f t="shared" si="12"/>
        <x:v>0</x:v>
      </x:c>
      <x:c r="H437" s="185">
        <x:f t="shared" si="13"/>
        <x:v>0</x:v>
      </x:c>
      <x:c r="I437" s="186">
        <x:f>IF(AND(B437="",C437="",D437="",E437="",F437=""),"",IF(OR(B437="",C437="",E437=""),"БЛОК: нужны дата, тип операции и сумма",IF(N(E437)&lt;=0,"БЛОК: сумма должна быть больше нуля",IF(AND(H437&lt;&gt;0,F437=""),"БЛОК: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отделить",IF(AND(G437&lt;&gt;0,F437=""),"БЛОК: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нельзя",IF(AND(F437&lt;&gt;"",COUNTIF('Долг по актам'!$B$5:$B$34,F437)=0),"БЛОК: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договору")&gt;0)*($C$5:$C$504&lt;&gt;C437)*($E$5:$E$504=E437)*(($D$5:$D$504=D437)*(D437&lt;&gt;"")+($B$5:$B$504=B437)*(B437&lt;&gt;"")&gt;0))&gt;0,"БЛОК: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операцию",IF(AND(C437="Оплата",K437&lt;&gt;"Отдельный платёж — не сам аванс (сверено с выпиской банка)",OR(COUNTIFS($C$5:$C$504,"Зачёт аванса по договору",$E$5:$E$504,E437)&gt;0,ROUND(E437-$M$6,2)=0)),"БЛОК: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7" s="185" t="str">
        <x:f>IF(AND(B437="",C437="",E437=""),"",SUM($G$5:G437))</x:f>
        <x:v/>
      </x:c>
      <x:c r="K437" s="178"/>
      <x:c r="L437" s="46"/>
      <x:c r="M437" s="46"/>
    </x:row>
    <x:row r="438" ht="29" customHeight="1">
      <x:c r="A438" s="199">
        <x:v>434</x:v>
      </x:c>
      <x:c r="B438" s="162"/>
      <x:c r="C438" s="163"/>
      <x:c r="D438" s="163"/>
      <x:c r="E438" s="164"/>
      <x:c r="F438" s="163"/>
      <x:c r="G438" s="185">
        <x:f t="shared" si="12"/>
        <x:v>0</x:v>
      </x:c>
      <x:c r="H438" s="185">
        <x:f t="shared" si="13"/>
        <x:v>0</x:v>
      </x:c>
      <x:c r="I438" s="186">
        <x:f>IF(AND(B438="",C438="",D438="",E438="",F438=""),"",IF(OR(B438="",C438="",E438=""),"БЛОК: нужны дата, тип операции и сумма",IF(N(E438)&lt;=0,"БЛОК: сумма должна быть больше нуля",IF(AND(H438&lt;&gt;0,F438=""),"БЛОК: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отделить",IF(AND(G438&lt;&gt;0,F438=""),"БЛОК: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нельзя",IF(AND(F438&lt;&gt;"",COUNTIF('Долг по актам'!$B$5:$B$34,F438)=0),"БЛОК: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договору")&gt;0)*($C$5:$C$504&lt;&gt;C438)*($E$5:$E$504=E438)*(($D$5:$D$504=D438)*(D438&lt;&gt;"")+($B$5:$B$504=B438)*(B438&lt;&gt;"")&gt;0))&gt;0,"БЛОК: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операцию",IF(AND(C438="Оплата",K438&lt;&gt;"Отдельный платёж — не сам аванс (сверено с выпиской банка)",OR(COUNTIFS($C$5:$C$504,"Зачёт аванса по договору",$E$5:$E$504,E438)&gt;0,ROUND(E438-$M$6,2)=0)),"БЛОК: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8" s="185" t="str">
        <x:f>IF(AND(B438="",C438="",E438=""),"",SUM($G$5:G438))</x:f>
        <x:v/>
      </x:c>
      <x:c r="K438" s="178"/>
      <x:c r="L438" s="46"/>
      <x:c r="M438" s="46"/>
    </x:row>
    <x:row r="439" ht="29" customHeight="1">
      <x:c r="A439" s="199">
        <x:v>435</x:v>
      </x:c>
      <x:c r="B439" s="162"/>
      <x:c r="C439" s="163"/>
      <x:c r="D439" s="163"/>
      <x:c r="E439" s="164"/>
      <x:c r="F439" s="163"/>
      <x:c r="G439" s="185">
        <x:f t="shared" si="12"/>
        <x:v>0</x:v>
      </x:c>
      <x:c r="H439" s="185">
        <x:f t="shared" si="13"/>
        <x:v>0</x:v>
      </x:c>
      <x:c r="I439" s="186">
        <x:f>IF(AND(B439="",C439="",D439="",E439="",F439=""),"",IF(OR(B439="",C439="",E439=""),"БЛОК: нужны дата, тип операции и сумма",IF(N(E439)&lt;=0,"БЛОК: сумма должна быть больше нуля",IF(AND(H439&lt;&gt;0,F439=""),"БЛОК: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отделить",IF(AND(G439&lt;&gt;0,F439=""),"БЛОК: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нельзя",IF(AND(F439&lt;&gt;"",COUNTIF('Долг по актам'!$B$5:$B$34,F439)=0),"БЛОК: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договору")&gt;0)*($C$5:$C$504&lt;&gt;C439)*($E$5:$E$504=E439)*(($D$5:$D$504=D439)*(D439&lt;&gt;"")+($B$5:$B$504=B439)*(B439&lt;&gt;"")&gt;0))&gt;0,"БЛОК: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операцию",IF(AND(C439="Оплата",K439&lt;&gt;"Отдельный платёж — не сам аванс (сверено с выпиской банка)",OR(COUNTIFS($C$5:$C$504,"Зачёт аванса по договору",$E$5:$E$504,E439)&gt;0,ROUND(E439-$M$6,2)=0)),"БЛОК: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39" s="185" t="str">
        <x:f>IF(AND(B439="",C439="",E439=""),"",SUM($G$5:G439))</x:f>
        <x:v/>
      </x:c>
      <x:c r="K439" s="178"/>
      <x:c r="L439" s="46"/>
      <x:c r="M439" s="46"/>
    </x:row>
    <x:row r="440" ht="29" customHeight="1">
      <x:c r="A440" s="199">
        <x:v>436</x:v>
      </x:c>
      <x:c r="B440" s="162"/>
      <x:c r="C440" s="163"/>
      <x:c r="D440" s="163"/>
      <x:c r="E440" s="164"/>
      <x:c r="F440" s="163"/>
      <x:c r="G440" s="185">
        <x:f t="shared" si="12"/>
        <x:v>0</x:v>
      </x:c>
      <x:c r="H440" s="185">
        <x:f t="shared" si="13"/>
        <x:v>0</x:v>
      </x:c>
      <x:c r="I440" s="186">
        <x:f>IF(AND(B440="",C440="",D440="",E440="",F440=""),"",IF(OR(B440="",C440="",E440=""),"БЛОК: нужны дата, тип операции и сумма",IF(N(E440)&lt;=0,"БЛОК: сумма должна быть больше нуля",IF(AND(H440&lt;&gt;0,F440=""),"БЛОК: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отделить",IF(AND(G440&lt;&gt;0,F440=""),"БЛОК: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нельзя",IF(AND(F440&lt;&gt;"",COUNTIF('Долг по актам'!$B$5:$B$34,F440)=0),"БЛОК: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договору")&gt;0)*($C$5:$C$504&lt;&gt;C440)*($E$5:$E$504=E440)*(($D$5:$D$504=D440)*(D440&lt;&gt;"")+($B$5:$B$504=B440)*(B440&lt;&gt;"")&gt;0))&gt;0,"БЛОК: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операцию",IF(AND(C440="Оплата",K440&lt;&gt;"Отдельный платёж — не сам аванс (сверено с выпиской банка)",OR(COUNTIFS($C$5:$C$504,"Зачёт аванса по договору",$E$5:$E$504,E440)&gt;0,ROUND(E440-$M$6,2)=0)),"БЛОК: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0" s="185" t="str">
        <x:f>IF(AND(B440="",C440="",E440=""),"",SUM($G$5:G440))</x:f>
        <x:v/>
      </x:c>
      <x:c r="K440" s="178"/>
      <x:c r="L440" s="46"/>
      <x:c r="M440" s="46"/>
    </x:row>
    <x:row r="441" ht="29" customHeight="1">
      <x:c r="A441" s="199">
        <x:v>437</x:v>
      </x:c>
      <x:c r="B441" s="162"/>
      <x:c r="C441" s="163"/>
      <x:c r="D441" s="163"/>
      <x:c r="E441" s="164"/>
      <x:c r="F441" s="163"/>
      <x:c r="G441" s="185">
        <x:f t="shared" si="12"/>
        <x:v>0</x:v>
      </x:c>
      <x:c r="H441" s="185">
        <x:f t="shared" si="13"/>
        <x:v>0</x:v>
      </x:c>
      <x:c r="I441" s="186">
        <x:f>IF(AND(B441="",C441="",D441="",E441="",F441=""),"",IF(OR(B441="",C441="",E441=""),"БЛОК: нужны дата, тип операции и сумма",IF(N(E441)&lt;=0,"БЛОК: сумма должна быть больше нуля",IF(AND(H441&lt;&gt;0,F441=""),"БЛОК: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отделить",IF(AND(G441&lt;&gt;0,F441=""),"БЛОК: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нельзя",IF(AND(F441&lt;&gt;"",COUNTIF('Долг по актам'!$B$5:$B$34,F441)=0),"БЛОК: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договору")&gt;0)*($C$5:$C$504&lt;&gt;C441)*($E$5:$E$504=E441)*(($D$5:$D$504=D441)*(D441&lt;&gt;"")+($B$5:$B$504=B441)*(B441&lt;&gt;"")&gt;0))&gt;0,"БЛОК: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операцию",IF(AND(C441="Оплата",K441&lt;&gt;"Отдельный платёж — не сам аванс (сверено с выпиской банка)",OR(COUNTIFS($C$5:$C$504,"Зачёт аванса по договору",$E$5:$E$504,E441)&gt;0,ROUND(E441-$M$6,2)=0)),"БЛОК: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1" s="185" t="str">
        <x:f>IF(AND(B441="",C441="",E441=""),"",SUM($G$5:G441))</x:f>
        <x:v/>
      </x:c>
      <x:c r="K441" s="178"/>
      <x:c r="L441" s="46"/>
      <x:c r="M441" s="46"/>
    </x:row>
    <x:row r="442" ht="29" customHeight="1">
      <x:c r="A442" s="199">
        <x:v>438</x:v>
      </x:c>
      <x:c r="B442" s="162"/>
      <x:c r="C442" s="163"/>
      <x:c r="D442" s="163"/>
      <x:c r="E442" s="164"/>
      <x:c r="F442" s="163"/>
      <x:c r="G442" s="185">
        <x:f t="shared" si="12"/>
        <x:v>0</x:v>
      </x:c>
      <x:c r="H442" s="185">
        <x:f t="shared" si="13"/>
        <x:v>0</x:v>
      </x:c>
      <x:c r="I442" s="186">
        <x:f>IF(AND(B442="",C442="",D442="",E442="",F442=""),"",IF(OR(B442="",C442="",E442=""),"БЛОК: нужны дата, тип операции и сумма",IF(N(E442)&lt;=0,"БЛОК: сумма должна быть больше нуля",IF(AND(H442&lt;&gt;0,F442=""),"БЛОК: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отделить",IF(AND(G442&lt;&gt;0,F442=""),"БЛОК: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нельзя",IF(AND(F442&lt;&gt;"",COUNTIF('Долг по актам'!$B$5:$B$34,F442)=0),"БЛОК: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договору")&gt;0)*($C$5:$C$504&lt;&gt;C442)*($E$5:$E$504=E442)*(($D$5:$D$504=D442)*(D442&lt;&gt;"")+($B$5:$B$504=B442)*(B442&lt;&gt;"")&gt;0))&gt;0,"БЛОК: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операцию",IF(AND(C442="Оплата",K442&lt;&gt;"Отдельный платёж — не сам аванс (сверено с выпиской банка)",OR(COUNTIFS($C$5:$C$504,"Зачёт аванса по договору",$E$5:$E$504,E442)&gt;0,ROUND(E442-$M$6,2)=0)),"БЛОК: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2" s="185" t="str">
        <x:f>IF(AND(B442="",C442="",E442=""),"",SUM($G$5:G442))</x:f>
        <x:v/>
      </x:c>
      <x:c r="K442" s="178"/>
      <x:c r="L442" s="46"/>
      <x:c r="M442" s="46"/>
    </x:row>
    <x:row r="443" ht="29" customHeight="1">
      <x:c r="A443" s="199">
        <x:v>439</x:v>
      </x:c>
      <x:c r="B443" s="162"/>
      <x:c r="C443" s="163"/>
      <x:c r="D443" s="163"/>
      <x:c r="E443" s="164"/>
      <x:c r="F443" s="163"/>
      <x:c r="G443" s="185">
        <x:f t="shared" si="12"/>
        <x:v>0</x:v>
      </x:c>
      <x:c r="H443" s="185">
        <x:f t="shared" si="13"/>
        <x:v>0</x:v>
      </x:c>
      <x:c r="I443" s="186">
        <x:f>IF(AND(B443="",C443="",D443="",E443="",F443=""),"",IF(OR(B443="",C443="",E443=""),"БЛОК: нужны дата, тип операции и сумма",IF(N(E443)&lt;=0,"БЛОК: сумма должна быть больше нуля",IF(AND(H443&lt;&gt;0,F443=""),"БЛОК: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отделить",IF(AND(G443&lt;&gt;0,F443=""),"БЛОК: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нельзя",IF(AND(F443&lt;&gt;"",COUNTIF('Долг по актам'!$B$5:$B$34,F443)=0),"БЛОК: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договору")&gt;0)*($C$5:$C$504&lt;&gt;C443)*($E$5:$E$504=E443)*(($D$5:$D$504=D443)*(D443&lt;&gt;"")+($B$5:$B$504=B443)*(B443&lt;&gt;"")&gt;0))&gt;0,"БЛОК: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операцию",IF(AND(C443="Оплата",K443&lt;&gt;"Отдельный платёж — не сам аванс (сверено с выпиской банка)",OR(COUNTIFS($C$5:$C$504,"Зачёт аванса по договору",$E$5:$E$504,E443)&gt;0,ROUND(E443-$M$6,2)=0)),"БЛОК: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3" s="185" t="str">
        <x:f>IF(AND(B443="",C443="",E443=""),"",SUM($G$5:G443))</x:f>
        <x:v/>
      </x:c>
      <x:c r="K443" s="178"/>
      <x:c r="L443" s="46"/>
      <x:c r="M443" s="46"/>
    </x:row>
    <x:row r="444" ht="29" customHeight="1">
      <x:c r="A444" s="199">
        <x:v>440</x:v>
      </x:c>
      <x:c r="B444" s="162"/>
      <x:c r="C444" s="163"/>
      <x:c r="D444" s="163"/>
      <x:c r="E444" s="164"/>
      <x:c r="F444" s="163"/>
      <x:c r="G444" s="185">
        <x:f t="shared" si="12"/>
        <x:v>0</x:v>
      </x:c>
      <x:c r="H444" s="185">
        <x:f t="shared" si="13"/>
        <x:v>0</x:v>
      </x:c>
      <x:c r="I444" s="186">
        <x:f>IF(AND(B444="",C444="",D444="",E444="",F444=""),"",IF(OR(B444="",C444="",E444=""),"БЛОК: нужны дата, тип операции и сумма",IF(N(E444)&lt;=0,"БЛОК: сумма должна быть больше нуля",IF(AND(H444&lt;&gt;0,F444=""),"БЛОК: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отделить",IF(AND(G444&lt;&gt;0,F444=""),"БЛОК: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нельзя",IF(AND(F444&lt;&gt;"",COUNTIF('Долг по актам'!$B$5:$B$34,F444)=0),"БЛОК: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договору")&gt;0)*($C$5:$C$504&lt;&gt;C444)*($E$5:$E$504=E444)*(($D$5:$D$504=D444)*(D444&lt;&gt;"")+($B$5:$B$504=B444)*(B444&lt;&gt;"")&gt;0))&gt;0,"БЛОК: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операцию",IF(AND(C444="Оплата",K444&lt;&gt;"Отдельный платёж — не сам аванс (сверено с выпиской банка)",OR(COUNTIFS($C$5:$C$504,"Зачёт аванса по договору",$E$5:$E$504,E444)&gt;0,ROUND(E444-$M$6,2)=0)),"БЛОК: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4" s="185" t="str">
        <x:f>IF(AND(B444="",C444="",E444=""),"",SUM($G$5:G444))</x:f>
        <x:v/>
      </x:c>
      <x:c r="K444" s="178"/>
      <x:c r="L444" s="46"/>
      <x:c r="M444" s="46"/>
    </x:row>
    <x:row r="445" ht="29" customHeight="1">
      <x:c r="A445" s="199">
        <x:v>441</x:v>
      </x:c>
      <x:c r="B445" s="162"/>
      <x:c r="C445" s="163"/>
      <x:c r="D445" s="163"/>
      <x:c r="E445" s="164"/>
      <x:c r="F445" s="163"/>
      <x:c r="G445" s="185">
        <x:f t="shared" si="12"/>
        <x:v>0</x:v>
      </x:c>
      <x:c r="H445" s="185">
        <x:f t="shared" si="13"/>
        <x:v>0</x:v>
      </x:c>
      <x:c r="I445" s="186">
        <x:f>IF(AND(B445="",C445="",D445="",E445="",F445=""),"",IF(OR(B445="",C445="",E445=""),"БЛОК: нужны дата, тип операции и сумма",IF(N(E445)&lt;=0,"БЛОК: сумма должна быть больше нуля",IF(AND(H445&lt;&gt;0,F445=""),"БЛОК: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отделить",IF(AND(G445&lt;&gt;0,F445=""),"БЛОК: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нельзя",IF(AND(F445&lt;&gt;"",COUNTIF('Долг по актам'!$B$5:$B$34,F445)=0),"БЛОК: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договору")&gt;0)*($C$5:$C$504&lt;&gt;C445)*($E$5:$E$504=E445)*(($D$5:$D$504=D445)*(D445&lt;&gt;"")+($B$5:$B$504=B445)*(B445&lt;&gt;"")&gt;0))&gt;0,"БЛОК: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операцию",IF(AND(C445="Оплата",K445&lt;&gt;"Отдельный платёж — не сам аванс (сверено с выпиской банка)",OR(COUNTIFS($C$5:$C$504,"Зачёт аванса по договору",$E$5:$E$504,E445)&gt;0,ROUND(E445-$M$6,2)=0)),"БЛОК: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5" s="185" t="str">
        <x:f>IF(AND(B445="",C445="",E445=""),"",SUM($G$5:G445))</x:f>
        <x:v/>
      </x:c>
      <x:c r="K445" s="178"/>
      <x:c r="L445" s="46"/>
      <x:c r="M445" s="46"/>
    </x:row>
    <x:row r="446" ht="29" customHeight="1">
      <x:c r="A446" s="199">
        <x:v>442</x:v>
      </x:c>
      <x:c r="B446" s="162"/>
      <x:c r="C446" s="163"/>
      <x:c r="D446" s="163"/>
      <x:c r="E446" s="164"/>
      <x:c r="F446" s="163"/>
      <x:c r="G446" s="185">
        <x:f t="shared" si="12"/>
        <x:v>0</x:v>
      </x:c>
      <x:c r="H446" s="185">
        <x:f t="shared" si="13"/>
        <x:v>0</x:v>
      </x:c>
      <x:c r="I446" s="186">
        <x:f>IF(AND(B446="",C446="",D446="",E446="",F446=""),"",IF(OR(B446="",C446="",E446=""),"БЛОК: нужны дата, тип операции и сумма",IF(N(E446)&lt;=0,"БЛОК: сумма должна быть больше нуля",IF(AND(H446&lt;&gt;0,F446=""),"БЛОК: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отделить",IF(AND(G446&lt;&gt;0,F446=""),"БЛОК: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нельзя",IF(AND(F446&lt;&gt;"",COUNTIF('Долг по актам'!$B$5:$B$34,F446)=0),"БЛОК: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договору")&gt;0)*($C$5:$C$504&lt;&gt;C446)*($E$5:$E$504=E446)*(($D$5:$D$504=D446)*(D446&lt;&gt;"")+($B$5:$B$504=B446)*(B446&lt;&gt;"")&gt;0))&gt;0,"БЛОК: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операцию",IF(AND(C446="Оплата",K446&lt;&gt;"Отдельный платёж — не сам аванс (сверено с выпиской банка)",OR(COUNTIFS($C$5:$C$504,"Зачёт аванса по договору",$E$5:$E$504,E446)&gt;0,ROUND(E446-$M$6,2)=0)),"БЛОК: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6" s="185" t="str">
        <x:f>IF(AND(B446="",C446="",E446=""),"",SUM($G$5:G446))</x:f>
        <x:v/>
      </x:c>
      <x:c r="K446" s="178"/>
      <x:c r="L446" s="46"/>
      <x:c r="M446" s="46"/>
    </x:row>
    <x:row r="447" ht="29" customHeight="1">
      <x:c r="A447" s="199">
        <x:v>443</x:v>
      </x:c>
      <x:c r="B447" s="162"/>
      <x:c r="C447" s="163"/>
      <x:c r="D447" s="163"/>
      <x:c r="E447" s="164"/>
      <x:c r="F447" s="163"/>
      <x:c r="G447" s="185">
        <x:f t="shared" si="12"/>
        <x:v>0</x:v>
      </x:c>
      <x:c r="H447" s="185">
        <x:f t="shared" si="13"/>
        <x:v>0</x:v>
      </x:c>
      <x:c r="I447" s="186">
        <x:f>IF(AND(B447="",C447="",D447="",E447="",F447=""),"",IF(OR(B447="",C447="",E447=""),"БЛОК: нужны дата, тип операции и сумма",IF(N(E447)&lt;=0,"БЛОК: сумма должна быть больше нуля",IF(AND(H447&lt;&gt;0,F447=""),"БЛОК: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отделить",IF(AND(G447&lt;&gt;0,F447=""),"БЛОК: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нельзя",IF(AND(F447&lt;&gt;"",COUNTIF('Долг по актам'!$B$5:$B$34,F447)=0),"БЛОК: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договору")&gt;0)*($C$5:$C$504&lt;&gt;C447)*($E$5:$E$504=E447)*(($D$5:$D$504=D447)*(D447&lt;&gt;"")+($B$5:$B$504=B447)*(B447&lt;&gt;"")&gt;0))&gt;0,"БЛОК: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операцию",IF(AND(C447="Оплата",K447&lt;&gt;"Отдельный платёж — не сам аванс (сверено с выпиской банка)",OR(COUNTIFS($C$5:$C$504,"Зачёт аванса по договору",$E$5:$E$504,E447)&gt;0,ROUND(E447-$M$6,2)=0)),"БЛОК: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7" s="185" t="str">
        <x:f>IF(AND(B447="",C447="",E447=""),"",SUM($G$5:G447))</x:f>
        <x:v/>
      </x:c>
      <x:c r="K447" s="178"/>
      <x:c r="L447" s="46"/>
      <x:c r="M447" s="46"/>
    </x:row>
    <x:row r="448" ht="29" customHeight="1">
      <x:c r="A448" s="199">
        <x:v>444</x:v>
      </x:c>
      <x:c r="B448" s="162"/>
      <x:c r="C448" s="163"/>
      <x:c r="D448" s="163"/>
      <x:c r="E448" s="164"/>
      <x:c r="F448" s="163"/>
      <x:c r="G448" s="185">
        <x:f t="shared" si="12"/>
        <x:v>0</x:v>
      </x:c>
      <x:c r="H448" s="185">
        <x:f t="shared" si="13"/>
        <x:v>0</x:v>
      </x:c>
      <x:c r="I448" s="186">
        <x:f>IF(AND(B448="",C448="",D448="",E448="",F448=""),"",IF(OR(B448="",C448="",E448=""),"БЛОК: нужны дата, тип операции и сумма",IF(N(E448)&lt;=0,"БЛОК: сумма должна быть больше нуля",IF(AND(H448&lt;&gt;0,F448=""),"БЛОК: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отделить",IF(AND(G448&lt;&gt;0,F448=""),"БЛОК: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нельзя",IF(AND(F448&lt;&gt;"",COUNTIF('Долг по актам'!$B$5:$B$34,F448)=0),"БЛОК: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договору")&gt;0)*($C$5:$C$504&lt;&gt;C448)*($E$5:$E$504=E448)*(($D$5:$D$504=D448)*(D448&lt;&gt;"")+($B$5:$B$504=B448)*(B448&lt;&gt;"")&gt;0))&gt;0,"БЛОК: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операцию",IF(AND(C448="Оплата",K448&lt;&gt;"Отдельный платёж — не сам аванс (сверено с выпиской банка)",OR(COUNTIFS($C$5:$C$504,"Зачёт аванса по договору",$E$5:$E$504,E448)&gt;0,ROUND(E448-$M$6,2)=0)),"БЛОК: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8" s="185" t="str">
        <x:f>IF(AND(B448="",C448="",E448=""),"",SUM($G$5:G448))</x:f>
        <x:v/>
      </x:c>
      <x:c r="K448" s="178"/>
      <x:c r="L448" s="46"/>
      <x:c r="M448" s="46"/>
    </x:row>
    <x:row r="449" ht="29" customHeight="1">
      <x:c r="A449" s="199">
        <x:v>445</x:v>
      </x:c>
      <x:c r="B449" s="162"/>
      <x:c r="C449" s="163"/>
      <x:c r="D449" s="163"/>
      <x:c r="E449" s="164"/>
      <x:c r="F449" s="163"/>
      <x:c r="G449" s="185">
        <x:f t="shared" si="12"/>
        <x:v>0</x:v>
      </x:c>
      <x:c r="H449" s="185">
        <x:f t="shared" si="13"/>
        <x:v>0</x:v>
      </x:c>
      <x:c r="I449" s="186">
        <x:f>IF(AND(B449="",C449="",D449="",E449="",F449=""),"",IF(OR(B449="",C449="",E449=""),"БЛОК: нужны дата, тип операции и сумма",IF(N(E449)&lt;=0,"БЛОК: сумма должна быть больше нуля",IF(AND(H449&lt;&gt;0,F449=""),"БЛОК: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отделить",IF(AND(G449&lt;&gt;0,F449=""),"БЛОК: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нельзя",IF(AND(F449&lt;&gt;"",COUNTIF('Долг по актам'!$B$5:$B$34,F449)=0),"БЛОК: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договору")&gt;0)*($C$5:$C$504&lt;&gt;C449)*($E$5:$E$504=E449)*(($D$5:$D$504=D449)*(D449&lt;&gt;"")+($B$5:$B$504=B449)*(B449&lt;&gt;"")&gt;0))&gt;0,"БЛОК: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операцию",IF(AND(C449="Оплата",K449&lt;&gt;"Отдельный платёж — не сам аванс (сверено с выпиской банка)",OR(COUNTIFS($C$5:$C$504,"Зачёт аванса по договору",$E$5:$E$504,E449)&gt;0,ROUND(E449-$M$6,2)=0)),"БЛОК: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49" s="185" t="str">
        <x:f>IF(AND(B449="",C449="",E449=""),"",SUM($G$5:G449))</x:f>
        <x:v/>
      </x:c>
      <x:c r="K449" s="178"/>
      <x:c r="L449" s="46"/>
      <x:c r="M449" s="46"/>
    </x:row>
    <x:row r="450" ht="29" customHeight="1">
      <x:c r="A450" s="199">
        <x:v>446</x:v>
      </x:c>
      <x:c r="B450" s="162"/>
      <x:c r="C450" s="163"/>
      <x:c r="D450" s="163"/>
      <x:c r="E450" s="164"/>
      <x:c r="F450" s="163"/>
      <x:c r="G450" s="185">
        <x:f t="shared" si="12"/>
        <x:v>0</x:v>
      </x:c>
      <x:c r="H450" s="185">
        <x:f t="shared" si="13"/>
        <x:v>0</x:v>
      </x:c>
      <x:c r="I450" s="186">
        <x:f>IF(AND(B450="",C450="",D450="",E450="",F450=""),"",IF(OR(B450="",C450="",E450=""),"БЛОК: нужны дата, тип операции и сумма",IF(N(E450)&lt;=0,"БЛОК: сумма должна быть больше нуля",IF(AND(H450&lt;&gt;0,F450=""),"БЛОК: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отделить",IF(AND(G450&lt;&gt;0,F450=""),"БЛОК: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нельзя",IF(AND(F450&lt;&gt;"",COUNTIF('Долг по актам'!$B$5:$B$34,F450)=0),"БЛОК: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договору")&gt;0)*($C$5:$C$504&lt;&gt;C450)*($E$5:$E$504=E450)*(($D$5:$D$504=D450)*(D450&lt;&gt;"")+($B$5:$B$504=B450)*(B450&lt;&gt;"")&gt;0))&gt;0,"БЛОК: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операцию",IF(AND(C450="Оплата",K450&lt;&gt;"Отдельный платёж — не сам аванс (сверено с выпиской банка)",OR(COUNTIFS($C$5:$C$504,"Зачёт аванса по договору",$E$5:$E$504,E450)&gt;0,ROUND(E450-$M$6,2)=0)),"БЛОК: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0" s="185" t="str">
        <x:f>IF(AND(B450="",C450="",E450=""),"",SUM($G$5:G450))</x:f>
        <x:v/>
      </x:c>
      <x:c r="K450" s="178"/>
      <x:c r="L450" s="46"/>
      <x:c r="M450" s="46"/>
    </x:row>
    <x:row r="451" ht="29" customHeight="1">
      <x:c r="A451" s="199">
        <x:v>447</x:v>
      </x:c>
      <x:c r="B451" s="162"/>
      <x:c r="C451" s="163"/>
      <x:c r="D451" s="163"/>
      <x:c r="E451" s="164"/>
      <x:c r="F451" s="163"/>
      <x:c r="G451" s="185">
        <x:f t="shared" si="12"/>
        <x:v>0</x:v>
      </x:c>
      <x:c r="H451" s="185">
        <x:f t="shared" si="13"/>
        <x:v>0</x:v>
      </x:c>
      <x:c r="I451" s="186">
        <x:f>IF(AND(B451="",C451="",D451="",E451="",F451=""),"",IF(OR(B451="",C451="",E451=""),"БЛОК: нужны дата, тип операции и сумма",IF(N(E451)&lt;=0,"БЛОК: сумма должна быть больше нуля",IF(AND(H451&lt;&gt;0,F451=""),"БЛОК: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отделить",IF(AND(G451&lt;&gt;0,F451=""),"БЛОК: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нельзя",IF(AND(F451&lt;&gt;"",COUNTIF('Долг по актам'!$B$5:$B$34,F451)=0),"БЛОК: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договору")&gt;0)*($C$5:$C$504&lt;&gt;C451)*($E$5:$E$504=E451)*(($D$5:$D$504=D451)*(D451&lt;&gt;"")+($B$5:$B$504=B451)*(B451&lt;&gt;"")&gt;0))&gt;0,"БЛОК: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операцию",IF(AND(C451="Оплата",K451&lt;&gt;"Отдельный платёж — не сам аванс (сверено с выпиской банка)",OR(COUNTIFS($C$5:$C$504,"Зачёт аванса по договору",$E$5:$E$504,E451)&gt;0,ROUND(E451-$M$6,2)=0)),"БЛОК: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1" s="185" t="str">
        <x:f>IF(AND(B451="",C451="",E451=""),"",SUM($G$5:G451))</x:f>
        <x:v/>
      </x:c>
      <x:c r="K451" s="178"/>
      <x:c r="L451" s="46"/>
      <x:c r="M451" s="46"/>
    </x:row>
    <x:row r="452" ht="29" customHeight="1">
      <x:c r="A452" s="199">
        <x:v>448</x:v>
      </x:c>
      <x:c r="B452" s="162"/>
      <x:c r="C452" s="163"/>
      <x:c r="D452" s="163"/>
      <x:c r="E452" s="164"/>
      <x:c r="F452" s="163"/>
      <x:c r="G452" s="185">
        <x:f t="shared" si="12"/>
        <x:v>0</x:v>
      </x:c>
      <x:c r="H452" s="185">
        <x:f t="shared" si="13"/>
        <x:v>0</x:v>
      </x:c>
      <x:c r="I452" s="186">
        <x:f>IF(AND(B452="",C452="",D452="",E452="",F452=""),"",IF(OR(B452="",C452="",E452=""),"БЛОК: нужны дата, тип операции и сумма",IF(N(E452)&lt;=0,"БЛОК: сумма должна быть больше нуля",IF(AND(H452&lt;&gt;0,F452=""),"БЛОК: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отделить",IF(AND(G452&lt;&gt;0,F452=""),"БЛОК: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нельзя",IF(AND(F452&lt;&gt;"",COUNTIF('Долг по актам'!$B$5:$B$34,F452)=0),"БЛОК: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договору")&gt;0)*($C$5:$C$504&lt;&gt;C452)*($E$5:$E$504=E452)*(($D$5:$D$504=D452)*(D452&lt;&gt;"")+($B$5:$B$504=B452)*(B452&lt;&gt;"")&gt;0))&gt;0,"БЛОК: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операцию",IF(AND(C452="Оплата",K452&lt;&gt;"Отдельный платёж — не сам аванс (сверено с выпиской банка)",OR(COUNTIFS($C$5:$C$504,"Зачёт аванса по договору",$E$5:$E$504,E452)&gt;0,ROUND(E452-$M$6,2)=0)),"БЛОК: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2" s="185" t="str">
        <x:f>IF(AND(B452="",C452="",E452=""),"",SUM($G$5:G452))</x:f>
        <x:v/>
      </x:c>
      <x:c r="K452" s="178"/>
      <x:c r="L452" s="46"/>
      <x:c r="M452" s="46"/>
    </x:row>
    <x:row r="453" ht="29" customHeight="1">
      <x:c r="A453" s="199">
        <x:v>449</x:v>
      </x:c>
      <x:c r="B453" s="162"/>
      <x:c r="C453" s="163"/>
      <x:c r="D453" s="163"/>
      <x:c r="E453" s="164"/>
      <x:c r="F453" s="163"/>
      <x:c r="G453" s="185">
        <x:f t="shared" ref="G453:G504" si="14">IF(OR(C453="",E453=""),0,IF(C453="Начисление по акту",E453,IF(OR(C453="Оплата",C453="Зачёт аванса по договору"),-E453,IF(C453="Корректировка (подписана обеими сторонами)",E453,0))))</x:f>
        <x:v>0</x:v>
      </x:c>
      <x:c r="H453" s="185">
        <x:f t="shared" ref="H453:H504" si="15">IF(OR(C453="Удержание",C453="Зачёт встречного требования",C453="Неустойка заявлена",C453="Допработы без соглашения (спорно)"),N(E453),0)</x:f>
        <x:v>0</x:v>
      </x:c>
      <x:c r="I453" s="186">
        <x:f>IF(AND(B453="",C453="",D453="",E453="",F453=""),"",IF(OR(B453="",C453="",E453=""),"БЛОК: нужны дата, тип операции и сумма",IF(N(E453)&lt;=0,"БЛОК: сумма должна быть больше нуля",IF(AND(H453&lt;&gt;0,F453=""),"БЛОК: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отделить",IF(AND(G453&lt;&gt;0,F453=""),"БЛОК: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нельзя",IF(AND(F453&lt;&gt;"",COUNTIF('Долг по актам'!$B$5:$B$34,F453)=0),"БЛОК: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договору")&gt;0)*($C$5:$C$504&lt;&gt;C453)*($E$5:$E$504=E453)*(($D$5:$D$504=D453)*(D453&lt;&gt;"")+($B$5:$B$504=B453)*(B453&lt;&gt;"")&gt;0))&gt;0,"БЛОК: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операцию",IF(AND(C453="Оплата",K453&lt;&gt;"Отдельный платёж — не сам аванс (сверено с выпиской банка)",OR(COUNTIFS($C$5:$C$504,"Зачёт аванса по договору",$E$5:$E$504,E453)&gt;0,ROUND(E453-$M$6,2)=0)),"БЛОК: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3" s="185" t="str">
        <x:f>IF(AND(B453="",C453="",E453=""),"",SUM($G$5:G453))</x:f>
        <x:v/>
      </x:c>
      <x:c r="K453" s="178"/>
      <x:c r="L453" s="46"/>
      <x:c r="M453" s="46"/>
    </x:row>
    <x:row r="454" ht="29" customHeight="1">
      <x:c r="A454" s="199">
        <x:v>450</x:v>
      </x:c>
      <x:c r="B454" s="162"/>
      <x:c r="C454" s="163"/>
      <x:c r="D454" s="163"/>
      <x:c r="E454" s="164"/>
      <x:c r="F454" s="163"/>
      <x:c r="G454" s="185">
        <x:f t="shared" si="14"/>
        <x:v>0</x:v>
      </x:c>
      <x:c r="H454" s="185">
        <x:f t="shared" si="15"/>
        <x:v>0</x:v>
      </x:c>
      <x:c r="I454" s="186">
        <x:f>IF(AND(B454="",C454="",D454="",E454="",F454=""),"",IF(OR(B454="",C454="",E454=""),"БЛОК: нужны дата, тип операции и сумма",IF(N(E454)&lt;=0,"БЛОК: сумма должна быть больше нуля",IF(AND(H454&lt;&gt;0,F454=""),"БЛОК: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отделить",IF(AND(G454&lt;&gt;0,F454=""),"БЛОК: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нельзя",IF(AND(F454&lt;&gt;"",COUNTIF('Долг по актам'!$B$5:$B$34,F454)=0),"БЛОК: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договору")&gt;0)*($C$5:$C$504&lt;&gt;C454)*($E$5:$E$504=E454)*(($D$5:$D$504=D454)*(D454&lt;&gt;"")+($B$5:$B$504=B454)*(B454&lt;&gt;"")&gt;0))&gt;0,"БЛОК: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операцию",IF(AND(C454="Оплата",K454&lt;&gt;"Отдельный платёж — не сам аванс (сверено с выпиской банка)",OR(COUNTIFS($C$5:$C$504,"Зачёт аванса по договору",$E$5:$E$504,E454)&gt;0,ROUND(E454-$M$6,2)=0)),"БЛОК: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4" s="185" t="str">
        <x:f>IF(AND(B454="",C454="",E454=""),"",SUM($G$5:G454))</x:f>
        <x:v/>
      </x:c>
      <x:c r="K454" s="178"/>
      <x:c r="L454" s="46"/>
      <x:c r="M454" s="46"/>
    </x:row>
    <x:row r="455" ht="29" customHeight="1">
      <x:c r="A455" s="199">
        <x:v>451</x:v>
      </x:c>
      <x:c r="B455" s="162"/>
      <x:c r="C455" s="163"/>
      <x:c r="D455" s="163"/>
      <x:c r="E455" s="164"/>
      <x:c r="F455" s="163"/>
      <x:c r="G455" s="185">
        <x:f t="shared" si="14"/>
        <x:v>0</x:v>
      </x:c>
      <x:c r="H455" s="185">
        <x:f t="shared" si="15"/>
        <x:v>0</x:v>
      </x:c>
      <x:c r="I455" s="186">
        <x:f>IF(AND(B455="",C455="",D455="",E455="",F455=""),"",IF(OR(B455="",C455="",E455=""),"БЛОК: нужны дата, тип операции и сумма",IF(N(E455)&lt;=0,"БЛОК: сумма должна быть больше нуля",IF(AND(H455&lt;&gt;0,F455=""),"БЛОК: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отделить",IF(AND(G455&lt;&gt;0,F455=""),"БЛОК: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нельзя",IF(AND(F455&lt;&gt;"",COUNTIF('Долг по актам'!$B$5:$B$34,F455)=0),"БЛОК: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договору")&gt;0)*($C$5:$C$504&lt;&gt;C455)*($E$5:$E$504=E455)*(($D$5:$D$504=D455)*(D455&lt;&gt;"")+($B$5:$B$504=B455)*(B455&lt;&gt;"")&gt;0))&gt;0,"БЛОК: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операцию",IF(AND(C455="Оплата",K455&lt;&gt;"Отдельный платёж — не сам аванс (сверено с выпиской банка)",OR(COUNTIFS($C$5:$C$504,"Зачёт аванса по договору",$E$5:$E$504,E455)&gt;0,ROUND(E455-$M$6,2)=0)),"БЛОК: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5" s="185" t="str">
        <x:f>IF(AND(B455="",C455="",E455=""),"",SUM($G$5:G455))</x:f>
        <x:v/>
      </x:c>
      <x:c r="K455" s="178"/>
      <x:c r="L455" s="46"/>
      <x:c r="M455" s="46"/>
    </x:row>
    <x:row r="456" ht="29" customHeight="1">
      <x:c r="A456" s="199">
        <x:v>452</x:v>
      </x:c>
      <x:c r="B456" s="162"/>
      <x:c r="C456" s="163"/>
      <x:c r="D456" s="163"/>
      <x:c r="E456" s="164"/>
      <x:c r="F456" s="163"/>
      <x:c r="G456" s="185">
        <x:f t="shared" si="14"/>
        <x:v>0</x:v>
      </x:c>
      <x:c r="H456" s="185">
        <x:f t="shared" si="15"/>
        <x:v>0</x:v>
      </x:c>
      <x:c r="I456" s="186">
        <x:f>IF(AND(B456="",C456="",D456="",E456="",F456=""),"",IF(OR(B456="",C456="",E456=""),"БЛОК: нужны дата, тип операции и сумма",IF(N(E456)&lt;=0,"БЛОК: сумма должна быть больше нуля",IF(AND(H456&lt;&gt;0,F456=""),"БЛОК: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отделить",IF(AND(G456&lt;&gt;0,F456=""),"БЛОК: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нельзя",IF(AND(F456&lt;&gt;"",COUNTIF('Долг по актам'!$B$5:$B$34,F456)=0),"БЛОК: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договору")&gt;0)*($C$5:$C$504&lt;&gt;C456)*($E$5:$E$504=E456)*(($D$5:$D$504=D456)*(D456&lt;&gt;"")+($B$5:$B$504=B456)*(B456&lt;&gt;"")&gt;0))&gt;0,"БЛОК: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операцию",IF(AND(C456="Оплата",K456&lt;&gt;"Отдельный платёж — не сам аванс (сверено с выпиской банка)",OR(COUNTIFS($C$5:$C$504,"Зачёт аванса по договору",$E$5:$E$504,E456)&gt;0,ROUND(E456-$M$6,2)=0)),"БЛОК: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6" s="185" t="str">
        <x:f>IF(AND(B456="",C456="",E456=""),"",SUM($G$5:G456))</x:f>
        <x:v/>
      </x:c>
      <x:c r="K456" s="178"/>
      <x:c r="L456" s="46"/>
      <x:c r="M456" s="46"/>
    </x:row>
    <x:row r="457" ht="29" customHeight="1">
      <x:c r="A457" s="199">
        <x:v>453</x:v>
      </x:c>
      <x:c r="B457" s="162"/>
      <x:c r="C457" s="163"/>
      <x:c r="D457" s="163"/>
      <x:c r="E457" s="164"/>
      <x:c r="F457" s="163"/>
      <x:c r="G457" s="185">
        <x:f t="shared" si="14"/>
        <x:v>0</x:v>
      </x:c>
      <x:c r="H457" s="185">
        <x:f t="shared" si="15"/>
        <x:v>0</x:v>
      </x:c>
      <x:c r="I457" s="186">
        <x:f>IF(AND(B457="",C457="",D457="",E457="",F457=""),"",IF(OR(B457="",C457="",E457=""),"БЛОК: нужны дата, тип операции и сумма",IF(N(E457)&lt;=0,"БЛОК: сумма должна быть больше нуля",IF(AND(H457&lt;&gt;0,F457=""),"БЛОК: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отделить",IF(AND(G457&lt;&gt;0,F457=""),"БЛОК: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нельзя",IF(AND(F457&lt;&gt;"",COUNTIF('Долг по актам'!$B$5:$B$34,F457)=0),"БЛОК: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договору")&gt;0)*($C$5:$C$504&lt;&gt;C457)*($E$5:$E$504=E457)*(($D$5:$D$504=D457)*(D457&lt;&gt;"")+($B$5:$B$504=B457)*(B457&lt;&gt;"")&gt;0))&gt;0,"БЛОК: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операцию",IF(AND(C457="Оплата",K457&lt;&gt;"Отдельный платёж — не сам аванс (сверено с выпиской банка)",OR(COUNTIFS($C$5:$C$504,"Зачёт аванса по договору",$E$5:$E$504,E457)&gt;0,ROUND(E457-$M$6,2)=0)),"БЛОК: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7" s="185" t="str">
        <x:f>IF(AND(B457="",C457="",E457=""),"",SUM($G$5:G457))</x:f>
        <x:v/>
      </x:c>
      <x:c r="K457" s="178"/>
      <x:c r="L457" s="46"/>
      <x:c r="M457" s="46"/>
    </x:row>
    <x:row r="458" ht="29" customHeight="1">
      <x:c r="A458" s="199">
        <x:v>454</x:v>
      </x:c>
      <x:c r="B458" s="162"/>
      <x:c r="C458" s="163"/>
      <x:c r="D458" s="163"/>
      <x:c r="E458" s="164"/>
      <x:c r="F458" s="163"/>
      <x:c r="G458" s="185">
        <x:f t="shared" si="14"/>
        <x:v>0</x:v>
      </x:c>
      <x:c r="H458" s="185">
        <x:f t="shared" si="15"/>
        <x:v>0</x:v>
      </x:c>
      <x:c r="I458" s="186">
        <x:f>IF(AND(B458="",C458="",D458="",E458="",F458=""),"",IF(OR(B458="",C458="",E458=""),"БЛОК: нужны дата, тип операции и сумма",IF(N(E458)&lt;=0,"БЛОК: сумма должна быть больше нуля",IF(AND(H458&lt;&gt;0,F458=""),"БЛОК: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отделить",IF(AND(G458&lt;&gt;0,F458=""),"БЛОК: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нельзя",IF(AND(F458&lt;&gt;"",COUNTIF('Долг по актам'!$B$5:$B$34,F458)=0),"БЛОК: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договору")&gt;0)*($C$5:$C$504&lt;&gt;C458)*($E$5:$E$504=E458)*(($D$5:$D$504=D458)*(D458&lt;&gt;"")+($B$5:$B$504=B458)*(B458&lt;&gt;"")&gt;0))&gt;0,"БЛОК: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операцию",IF(AND(C458="Оплата",K458&lt;&gt;"Отдельный платёж — не сам аванс (сверено с выпиской банка)",OR(COUNTIFS($C$5:$C$504,"Зачёт аванса по договору",$E$5:$E$504,E458)&gt;0,ROUND(E458-$M$6,2)=0)),"БЛОК: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8" s="185" t="str">
        <x:f>IF(AND(B458="",C458="",E458=""),"",SUM($G$5:G458))</x:f>
        <x:v/>
      </x:c>
      <x:c r="K458" s="178"/>
      <x:c r="L458" s="46"/>
      <x:c r="M458" s="46"/>
    </x:row>
    <x:row r="459" ht="29" customHeight="1">
      <x:c r="A459" s="199">
        <x:v>455</x:v>
      </x:c>
      <x:c r="B459" s="162"/>
      <x:c r="C459" s="163"/>
      <x:c r="D459" s="163"/>
      <x:c r="E459" s="164"/>
      <x:c r="F459" s="163"/>
      <x:c r="G459" s="185">
        <x:f t="shared" si="14"/>
        <x:v>0</x:v>
      </x:c>
      <x:c r="H459" s="185">
        <x:f t="shared" si="15"/>
        <x:v>0</x:v>
      </x:c>
      <x:c r="I459" s="186">
        <x:f>IF(AND(B459="",C459="",D459="",E459="",F459=""),"",IF(OR(B459="",C459="",E459=""),"БЛОК: нужны дата, тип операции и сумма",IF(N(E459)&lt;=0,"БЛОК: сумма должна быть больше нуля",IF(AND(H459&lt;&gt;0,F459=""),"БЛОК: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отделить",IF(AND(G459&lt;&gt;0,F459=""),"БЛОК: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нельзя",IF(AND(F459&lt;&gt;"",COUNTIF('Долг по актам'!$B$5:$B$34,F459)=0),"БЛОК: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договору")&gt;0)*($C$5:$C$504&lt;&gt;C459)*($E$5:$E$504=E459)*(($D$5:$D$504=D459)*(D459&lt;&gt;"")+($B$5:$B$504=B459)*(B459&lt;&gt;"")&gt;0))&gt;0,"БЛОК: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операцию",IF(AND(C459="Оплата",K459&lt;&gt;"Отдельный платёж — не сам аванс (сверено с выпиской банка)",OR(COUNTIFS($C$5:$C$504,"Зачёт аванса по договору",$E$5:$E$504,E459)&gt;0,ROUND(E459-$M$6,2)=0)),"БЛОК: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59" s="185" t="str">
        <x:f>IF(AND(B459="",C459="",E459=""),"",SUM($G$5:G459))</x:f>
        <x:v/>
      </x:c>
      <x:c r="K459" s="178"/>
      <x:c r="L459" s="46"/>
      <x:c r="M459" s="46"/>
    </x:row>
    <x:row r="460" ht="29" customHeight="1">
      <x:c r="A460" s="199">
        <x:v>456</x:v>
      </x:c>
      <x:c r="B460" s="162"/>
      <x:c r="C460" s="163"/>
      <x:c r="D460" s="163"/>
      <x:c r="E460" s="164"/>
      <x:c r="F460" s="163"/>
      <x:c r="G460" s="185">
        <x:f t="shared" si="14"/>
        <x:v>0</x:v>
      </x:c>
      <x:c r="H460" s="185">
        <x:f t="shared" si="15"/>
        <x:v>0</x:v>
      </x:c>
      <x:c r="I460" s="186">
        <x:f>IF(AND(B460="",C460="",D460="",E460="",F460=""),"",IF(OR(B460="",C460="",E460=""),"БЛОК: нужны дата, тип операции и сумма",IF(N(E460)&lt;=0,"БЛОК: сумма должна быть больше нуля",IF(AND(H460&lt;&gt;0,F460=""),"БЛОК: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отделить",IF(AND(G460&lt;&gt;0,F460=""),"БЛОК: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нельзя",IF(AND(F460&lt;&gt;"",COUNTIF('Долг по актам'!$B$5:$B$34,F460)=0),"БЛОК: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договору")&gt;0)*($C$5:$C$504&lt;&gt;C460)*($E$5:$E$504=E460)*(($D$5:$D$504=D460)*(D460&lt;&gt;"")+($B$5:$B$504=B460)*(B460&lt;&gt;"")&gt;0))&gt;0,"БЛОК: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операцию",IF(AND(C460="Оплата",K460&lt;&gt;"Отдельный платёж — не сам аванс (сверено с выпиской банка)",OR(COUNTIFS($C$5:$C$504,"Зачёт аванса по договору",$E$5:$E$504,E460)&gt;0,ROUND(E460-$M$6,2)=0)),"БЛОК: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0" s="185" t="str">
        <x:f>IF(AND(B460="",C460="",E460=""),"",SUM($G$5:G460))</x:f>
        <x:v/>
      </x:c>
      <x:c r="K460" s="178"/>
      <x:c r="L460" s="46"/>
      <x:c r="M460" s="46"/>
    </x:row>
    <x:row r="461" ht="29" customHeight="1">
      <x:c r="A461" s="199">
        <x:v>457</x:v>
      </x:c>
      <x:c r="B461" s="162"/>
      <x:c r="C461" s="163"/>
      <x:c r="D461" s="163"/>
      <x:c r="E461" s="164"/>
      <x:c r="F461" s="163"/>
      <x:c r="G461" s="185">
        <x:f t="shared" si="14"/>
        <x:v>0</x:v>
      </x:c>
      <x:c r="H461" s="185">
        <x:f t="shared" si="15"/>
        <x:v>0</x:v>
      </x:c>
      <x:c r="I461" s="186">
        <x:f>IF(AND(B461="",C461="",D461="",E461="",F461=""),"",IF(OR(B461="",C461="",E461=""),"БЛОК: нужны дата, тип операции и сумма",IF(N(E461)&lt;=0,"БЛОК: сумма должна быть больше нуля",IF(AND(H461&lt;&gt;0,F461=""),"БЛОК: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отделить",IF(AND(G461&lt;&gt;0,F461=""),"БЛОК: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нельзя",IF(AND(F461&lt;&gt;"",COUNTIF('Долг по актам'!$B$5:$B$34,F461)=0),"БЛОК: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договору")&gt;0)*($C$5:$C$504&lt;&gt;C461)*($E$5:$E$504=E461)*(($D$5:$D$504=D461)*(D461&lt;&gt;"")+($B$5:$B$504=B461)*(B461&lt;&gt;"")&gt;0))&gt;0,"БЛОК: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операцию",IF(AND(C461="Оплата",K461&lt;&gt;"Отдельный платёж — не сам аванс (сверено с выпиской банка)",OR(COUNTIFS($C$5:$C$504,"Зачёт аванса по договору",$E$5:$E$504,E461)&gt;0,ROUND(E461-$M$6,2)=0)),"БЛОК: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1" s="185" t="str">
        <x:f>IF(AND(B461="",C461="",E461=""),"",SUM($G$5:G461))</x:f>
        <x:v/>
      </x:c>
      <x:c r="K461" s="178"/>
      <x:c r="L461" s="46"/>
      <x:c r="M461" s="46"/>
    </x:row>
    <x:row r="462" ht="29" customHeight="1">
      <x:c r="A462" s="199">
        <x:v>458</x:v>
      </x:c>
      <x:c r="B462" s="162"/>
      <x:c r="C462" s="163"/>
      <x:c r="D462" s="163"/>
      <x:c r="E462" s="164"/>
      <x:c r="F462" s="163"/>
      <x:c r="G462" s="185">
        <x:f t="shared" si="14"/>
        <x:v>0</x:v>
      </x:c>
      <x:c r="H462" s="185">
        <x:f t="shared" si="15"/>
        <x:v>0</x:v>
      </x:c>
      <x:c r="I462" s="186">
        <x:f>IF(AND(B462="",C462="",D462="",E462="",F462=""),"",IF(OR(B462="",C462="",E462=""),"БЛОК: нужны дата, тип операции и сумма",IF(N(E462)&lt;=0,"БЛОК: сумма должна быть больше нуля",IF(AND(H462&lt;&gt;0,F462=""),"БЛОК: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отделить",IF(AND(G462&lt;&gt;0,F462=""),"БЛОК: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нельзя",IF(AND(F462&lt;&gt;"",COUNTIF('Долг по актам'!$B$5:$B$34,F462)=0),"БЛОК: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договору")&gt;0)*($C$5:$C$504&lt;&gt;C462)*($E$5:$E$504=E462)*(($D$5:$D$504=D462)*(D462&lt;&gt;"")+($B$5:$B$504=B462)*(B462&lt;&gt;"")&gt;0))&gt;0,"БЛОК: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операцию",IF(AND(C462="Оплата",K462&lt;&gt;"Отдельный платёж — не сам аванс (сверено с выпиской банка)",OR(COUNTIFS($C$5:$C$504,"Зачёт аванса по договору",$E$5:$E$504,E462)&gt;0,ROUND(E462-$M$6,2)=0)),"БЛОК: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2" s="185" t="str">
        <x:f>IF(AND(B462="",C462="",E462=""),"",SUM($G$5:G462))</x:f>
        <x:v/>
      </x:c>
      <x:c r="K462" s="178"/>
      <x:c r="L462" s="46"/>
      <x:c r="M462" s="46"/>
    </x:row>
    <x:row r="463" ht="29" customHeight="1">
      <x:c r="A463" s="199">
        <x:v>459</x:v>
      </x:c>
      <x:c r="B463" s="162"/>
      <x:c r="C463" s="163"/>
      <x:c r="D463" s="163"/>
      <x:c r="E463" s="164"/>
      <x:c r="F463" s="163"/>
      <x:c r="G463" s="185">
        <x:f t="shared" si="14"/>
        <x:v>0</x:v>
      </x:c>
      <x:c r="H463" s="185">
        <x:f t="shared" si="15"/>
        <x:v>0</x:v>
      </x:c>
      <x:c r="I463" s="186">
        <x:f>IF(AND(B463="",C463="",D463="",E463="",F463=""),"",IF(OR(B463="",C463="",E463=""),"БЛОК: нужны дата, тип операции и сумма",IF(N(E463)&lt;=0,"БЛОК: сумма должна быть больше нуля",IF(AND(H463&lt;&gt;0,F463=""),"БЛОК: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отделить",IF(AND(G463&lt;&gt;0,F463=""),"БЛОК: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нельзя",IF(AND(F463&lt;&gt;"",COUNTIF('Долг по актам'!$B$5:$B$34,F463)=0),"БЛОК: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договору")&gt;0)*($C$5:$C$504&lt;&gt;C463)*($E$5:$E$504=E463)*(($D$5:$D$504=D463)*(D463&lt;&gt;"")+($B$5:$B$504=B463)*(B463&lt;&gt;"")&gt;0))&gt;0,"БЛОК: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операцию",IF(AND(C463="Оплата",K463&lt;&gt;"Отдельный платёж — не сам аванс (сверено с выпиской банка)",OR(COUNTIFS($C$5:$C$504,"Зачёт аванса по договору",$E$5:$E$504,E463)&gt;0,ROUND(E463-$M$6,2)=0)),"БЛОК: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3" s="185" t="str">
        <x:f>IF(AND(B463="",C463="",E463=""),"",SUM($G$5:G463))</x:f>
        <x:v/>
      </x:c>
      <x:c r="K463" s="178"/>
      <x:c r="L463" s="46"/>
      <x:c r="M463" s="46"/>
    </x:row>
    <x:row r="464" ht="29" customHeight="1">
      <x:c r="A464" s="199">
        <x:v>460</x:v>
      </x:c>
      <x:c r="B464" s="162"/>
      <x:c r="C464" s="163"/>
      <x:c r="D464" s="163"/>
      <x:c r="E464" s="164"/>
      <x:c r="F464" s="163"/>
      <x:c r="G464" s="185">
        <x:f t="shared" si="14"/>
        <x:v>0</x:v>
      </x:c>
      <x:c r="H464" s="185">
        <x:f t="shared" si="15"/>
        <x:v>0</x:v>
      </x:c>
      <x:c r="I464" s="186">
        <x:f>IF(AND(B464="",C464="",D464="",E464="",F464=""),"",IF(OR(B464="",C464="",E464=""),"БЛОК: нужны дата, тип операции и сумма",IF(N(E464)&lt;=0,"БЛОК: сумма должна быть больше нуля",IF(AND(H464&lt;&gt;0,F464=""),"БЛОК: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отделить",IF(AND(G464&lt;&gt;0,F464=""),"БЛОК: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нельзя",IF(AND(F464&lt;&gt;"",COUNTIF('Долг по актам'!$B$5:$B$34,F464)=0),"БЛОК: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договору")&gt;0)*($C$5:$C$504&lt;&gt;C464)*($E$5:$E$504=E464)*(($D$5:$D$504=D464)*(D464&lt;&gt;"")+($B$5:$B$504=B464)*(B464&lt;&gt;"")&gt;0))&gt;0,"БЛОК: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операцию",IF(AND(C464="Оплата",K464&lt;&gt;"Отдельный платёж — не сам аванс (сверено с выпиской банка)",OR(COUNTIFS($C$5:$C$504,"Зачёт аванса по договору",$E$5:$E$504,E464)&gt;0,ROUND(E464-$M$6,2)=0)),"БЛОК: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4" s="185" t="str">
        <x:f>IF(AND(B464="",C464="",E464=""),"",SUM($G$5:G464))</x:f>
        <x:v/>
      </x:c>
      <x:c r="K464" s="178"/>
      <x:c r="L464" s="46"/>
      <x:c r="M464" s="46"/>
    </x:row>
    <x:row r="465" ht="29" customHeight="1">
      <x:c r="A465" s="199">
        <x:v>461</x:v>
      </x:c>
      <x:c r="B465" s="162"/>
      <x:c r="C465" s="163"/>
      <x:c r="D465" s="163"/>
      <x:c r="E465" s="164"/>
      <x:c r="F465" s="163"/>
      <x:c r="G465" s="185">
        <x:f t="shared" si="14"/>
        <x:v>0</x:v>
      </x:c>
      <x:c r="H465" s="185">
        <x:f t="shared" si="15"/>
        <x:v>0</x:v>
      </x:c>
      <x:c r="I465" s="186">
        <x:f>IF(AND(B465="",C465="",D465="",E465="",F465=""),"",IF(OR(B465="",C465="",E465=""),"БЛОК: нужны дата, тип операции и сумма",IF(N(E465)&lt;=0,"БЛОК: сумма должна быть больше нуля",IF(AND(H465&lt;&gt;0,F465=""),"БЛОК: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отделить",IF(AND(G465&lt;&gt;0,F465=""),"БЛОК: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нельзя",IF(AND(F465&lt;&gt;"",COUNTIF('Долг по актам'!$B$5:$B$34,F465)=0),"БЛОК: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договору")&gt;0)*($C$5:$C$504&lt;&gt;C465)*($E$5:$E$504=E465)*(($D$5:$D$504=D465)*(D465&lt;&gt;"")+($B$5:$B$504=B465)*(B465&lt;&gt;"")&gt;0))&gt;0,"БЛОК: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операцию",IF(AND(C465="Оплата",K465&lt;&gt;"Отдельный платёж — не сам аванс (сверено с выпиской банка)",OR(COUNTIFS($C$5:$C$504,"Зачёт аванса по договору",$E$5:$E$504,E465)&gt;0,ROUND(E465-$M$6,2)=0)),"БЛОК: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5" s="185" t="str">
        <x:f>IF(AND(B465="",C465="",E465=""),"",SUM($G$5:G465))</x:f>
        <x:v/>
      </x:c>
      <x:c r="K465" s="178"/>
      <x:c r="L465" s="46"/>
      <x:c r="M465" s="46"/>
    </x:row>
    <x:row r="466" ht="29" customHeight="1">
      <x:c r="A466" s="199">
        <x:v>462</x:v>
      </x:c>
      <x:c r="B466" s="162"/>
      <x:c r="C466" s="163"/>
      <x:c r="D466" s="163"/>
      <x:c r="E466" s="164"/>
      <x:c r="F466" s="163"/>
      <x:c r="G466" s="185">
        <x:f t="shared" si="14"/>
        <x:v>0</x:v>
      </x:c>
      <x:c r="H466" s="185">
        <x:f t="shared" si="15"/>
        <x:v>0</x:v>
      </x:c>
      <x:c r="I466" s="186">
        <x:f>IF(AND(B466="",C466="",D466="",E466="",F466=""),"",IF(OR(B466="",C466="",E466=""),"БЛОК: нужны дата, тип операции и сумма",IF(N(E466)&lt;=0,"БЛОК: сумма должна быть больше нуля",IF(AND(H466&lt;&gt;0,F466=""),"БЛОК: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отделить",IF(AND(G466&lt;&gt;0,F466=""),"БЛОК: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нельзя",IF(AND(F466&lt;&gt;"",COUNTIF('Долг по актам'!$B$5:$B$34,F466)=0),"БЛОК: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договору")&gt;0)*($C$5:$C$504&lt;&gt;C466)*($E$5:$E$504=E466)*(($D$5:$D$504=D466)*(D466&lt;&gt;"")+($B$5:$B$504=B466)*(B466&lt;&gt;"")&gt;0))&gt;0,"БЛОК: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операцию",IF(AND(C466="Оплата",K466&lt;&gt;"Отдельный платёж — не сам аванс (сверено с выпиской банка)",OR(COUNTIFS($C$5:$C$504,"Зачёт аванса по договору",$E$5:$E$504,E466)&gt;0,ROUND(E466-$M$6,2)=0)),"БЛОК: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6" s="185" t="str">
        <x:f>IF(AND(B466="",C466="",E466=""),"",SUM($G$5:G466))</x:f>
        <x:v/>
      </x:c>
      <x:c r="K466" s="178"/>
      <x:c r="L466" s="46"/>
      <x:c r="M466" s="46"/>
    </x:row>
    <x:row r="467" ht="29" customHeight="1">
      <x:c r="A467" s="199">
        <x:v>463</x:v>
      </x:c>
      <x:c r="B467" s="162"/>
      <x:c r="C467" s="163"/>
      <x:c r="D467" s="163"/>
      <x:c r="E467" s="164"/>
      <x:c r="F467" s="163"/>
      <x:c r="G467" s="185">
        <x:f t="shared" si="14"/>
        <x:v>0</x:v>
      </x:c>
      <x:c r="H467" s="185">
        <x:f t="shared" si="15"/>
        <x:v>0</x:v>
      </x:c>
      <x:c r="I467" s="186">
        <x:f>IF(AND(B467="",C467="",D467="",E467="",F467=""),"",IF(OR(B467="",C467="",E467=""),"БЛОК: нужны дата, тип операции и сумма",IF(N(E467)&lt;=0,"БЛОК: сумма должна быть больше нуля",IF(AND(H467&lt;&gt;0,F467=""),"БЛОК: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отделить",IF(AND(G467&lt;&gt;0,F467=""),"БЛОК: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нельзя",IF(AND(F467&lt;&gt;"",COUNTIF('Долг по актам'!$B$5:$B$34,F467)=0),"БЛОК: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договору")&gt;0)*($C$5:$C$504&lt;&gt;C467)*($E$5:$E$504=E467)*(($D$5:$D$504=D467)*(D467&lt;&gt;"")+($B$5:$B$504=B467)*(B467&lt;&gt;"")&gt;0))&gt;0,"БЛОК: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операцию",IF(AND(C467="Оплата",K467&lt;&gt;"Отдельный платёж — не сам аванс (сверено с выпиской банка)",OR(COUNTIFS($C$5:$C$504,"Зачёт аванса по договору",$E$5:$E$504,E467)&gt;0,ROUND(E467-$M$6,2)=0)),"БЛОК: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7" s="185" t="str">
        <x:f>IF(AND(B467="",C467="",E467=""),"",SUM($G$5:G467))</x:f>
        <x:v/>
      </x:c>
      <x:c r="K467" s="178"/>
      <x:c r="L467" s="46"/>
      <x:c r="M467" s="46"/>
    </x:row>
    <x:row r="468" ht="29" customHeight="1">
      <x:c r="A468" s="199">
        <x:v>464</x:v>
      </x:c>
      <x:c r="B468" s="162"/>
      <x:c r="C468" s="163"/>
      <x:c r="D468" s="163"/>
      <x:c r="E468" s="164"/>
      <x:c r="F468" s="163"/>
      <x:c r="G468" s="185">
        <x:f t="shared" si="14"/>
        <x:v>0</x:v>
      </x:c>
      <x:c r="H468" s="185">
        <x:f t="shared" si="15"/>
        <x:v>0</x:v>
      </x:c>
      <x:c r="I468" s="186">
        <x:f>IF(AND(B468="",C468="",D468="",E468="",F468=""),"",IF(OR(B468="",C468="",E468=""),"БЛОК: нужны дата, тип операции и сумма",IF(N(E468)&lt;=0,"БЛОК: сумма должна быть больше нуля",IF(AND(H468&lt;&gt;0,F468=""),"БЛОК: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отделить",IF(AND(G468&lt;&gt;0,F468=""),"БЛОК: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нельзя",IF(AND(F468&lt;&gt;"",COUNTIF('Долг по актам'!$B$5:$B$34,F468)=0),"БЛОК: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договору")&gt;0)*($C$5:$C$504&lt;&gt;C468)*($E$5:$E$504=E468)*(($D$5:$D$504=D468)*(D468&lt;&gt;"")+($B$5:$B$504=B468)*(B468&lt;&gt;"")&gt;0))&gt;0,"БЛОК: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операцию",IF(AND(C468="Оплата",K468&lt;&gt;"Отдельный платёж — не сам аванс (сверено с выпиской банка)",OR(COUNTIFS($C$5:$C$504,"Зачёт аванса по договору",$E$5:$E$504,E468)&gt;0,ROUND(E468-$M$6,2)=0)),"БЛОК: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8" s="185" t="str">
        <x:f>IF(AND(B468="",C468="",E468=""),"",SUM($G$5:G468))</x:f>
        <x:v/>
      </x:c>
      <x:c r="K468" s="178"/>
      <x:c r="L468" s="46"/>
      <x:c r="M468" s="46"/>
    </x:row>
    <x:row r="469" ht="29" customHeight="1">
      <x:c r="A469" s="199">
        <x:v>465</x:v>
      </x:c>
      <x:c r="B469" s="162"/>
      <x:c r="C469" s="163"/>
      <x:c r="D469" s="163"/>
      <x:c r="E469" s="164"/>
      <x:c r="F469" s="163"/>
      <x:c r="G469" s="185">
        <x:f t="shared" si="14"/>
        <x:v>0</x:v>
      </x:c>
      <x:c r="H469" s="185">
        <x:f t="shared" si="15"/>
        <x:v>0</x:v>
      </x:c>
      <x:c r="I469" s="186">
        <x:f>IF(AND(B469="",C469="",D469="",E469="",F469=""),"",IF(OR(B469="",C469="",E469=""),"БЛОК: нужны дата, тип операции и сумма",IF(N(E469)&lt;=0,"БЛОК: сумма должна быть больше нуля",IF(AND(H469&lt;&gt;0,F469=""),"БЛОК: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отделить",IF(AND(G469&lt;&gt;0,F469=""),"БЛОК: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нельзя",IF(AND(F469&lt;&gt;"",COUNTIF('Долг по актам'!$B$5:$B$34,F469)=0),"БЛОК: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договору")&gt;0)*($C$5:$C$504&lt;&gt;C469)*($E$5:$E$504=E469)*(($D$5:$D$504=D469)*(D469&lt;&gt;"")+($B$5:$B$504=B469)*(B469&lt;&gt;"")&gt;0))&gt;0,"БЛОК: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операцию",IF(AND(C469="Оплата",K469&lt;&gt;"Отдельный платёж — не сам аванс (сверено с выпиской банка)",OR(COUNTIFS($C$5:$C$504,"Зачёт аванса по договору",$E$5:$E$504,E469)&gt;0,ROUND(E469-$M$6,2)=0)),"БЛОК: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69" s="185" t="str">
        <x:f>IF(AND(B469="",C469="",E469=""),"",SUM($G$5:G469))</x:f>
        <x:v/>
      </x:c>
      <x:c r="K469" s="178"/>
      <x:c r="L469" s="46"/>
      <x:c r="M469" s="46"/>
    </x:row>
    <x:row r="470" ht="29" customHeight="1">
      <x:c r="A470" s="199">
        <x:v>466</x:v>
      </x:c>
      <x:c r="B470" s="162"/>
      <x:c r="C470" s="163"/>
      <x:c r="D470" s="163"/>
      <x:c r="E470" s="164"/>
      <x:c r="F470" s="163"/>
      <x:c r="G470" s="185">
        <x:f t="shared" si="14"/>
        <x:v>0</x:v>
      </x:c>
      <x:c r="H470" s="185">
        <x:f t="shared" si="15"/>
        <x:v>0</x:v>
      </x:c>
      <x:c r="I470" s="186">
        <x:f>IF(AND(B470="",C470="",D470="",E470="",F470=""),"",IF(OR(B470="",C470="",E470=""),"БЛОК: нужны дата, тип операции и сумма",IF(N(E470)&lt;=0,"БЛОК: сумма должна быть больше нуля",IF(AND(H470&lt;&gt;0,F470=""),"БЛОК: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отделить",IF(AND(G470&lt;&gt;0,F470=""),"БЛОК: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нельзя",IF(AND(F470&lt;&gt;"",COUNTIF('Долг по актам'!$B$5:$B$34,F470)=0),"БЛОК: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договору")&gt;0)*($C$5:$C$504&lt;&gt;C470)*($E$5:$E$504=E470)*(($D$5:$D$504=D470)*(D470&lt;&gt;"")+($B$5:$B$504=B470)*(B470&lt;&gt;"")&gt;0))&gt;0,"БЛОК: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операцию",IF(AND(C470="Оплата",K470&lt;&gt;"Отдельный платёж — не сам аванс (сверено с выпиской банка)",OR(COUNTIFS($C$5:$C$504,"Зачёт аванса по договору",$E$5:$E$504,E470)&gt;0,ROUND(E470-$M$6,2)=0)),"БЛОК: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0" s="185" t="str">
        <x:f>IF(AND(B470="",C470="",E470=""),"",SUM($G$5:G470))</x:f>
        <x:v/>
      </x:c>
      <x:c r="K470" s="178"/>
      <x:c r="L470" s="46"/>
      <x:c r="M470" s="46"/>
    </x:row>
    <x:row r="471" ht="29" customHeight="1">
      <x:c r="A471" s="199">
        <x:v>467</x:v>
      </x:c>
      <x:c r="B471" s="162"/>
      <x:c r="C471" s="163"/>
      <x:c r="D471" s="163"/>
      <x:c r="E471" s="164"/>
      <x:c r="F471" s="163"/>
      <x:c r="G471" s="185">
        <x:f t="shared" si="14"/>
        <x:v>0</x:v>
      </x:c>
      <x:c r="H471" s="185">
        <x:f t="shared" si="15"/>
        <x:v>0</x:v>
      </x:c>
      <x:c r="I471" s="186">
        <x:f>IF(AND(B471="",C471="",D471="",E471="",F471=""),"",IF(OR(B471="",C471="",E471=""),"БЛОК: нужны дата, тип операции и сумма",IF(N(E471)&lt;=0,"БЛОК: сумма должна быть больше нуля",IF(AND(H471&lt;&gt;0,F471=""),"БЛОК: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отделить",IF(AND(G471&lt;&gt;0,F471=""),"БЛОК: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нельзя",IF(AND(F471&lt;&gt;"",COUNTIF('Долг по актам'!$B$5:$B$34,F471)=0),"БЛОК: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договору")&gt;0)*($C$5:$C$504&lt;&gt;C471)*($E$5:$E$504=E471)*(($D$5:$D$504=D471)*(D471&lt;&gt;"")+($B$5:$B$504=B471)*(B471&lt;&gt;"")&gt;0))&gt;0,"БЛОК: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операцию",IF(AND(C471="Оплата",K471&lt;&gt;"Отдельный платёж — не сам аванс (сверено с выпиской банка)",OR(COUNTIFS($C$5:$C$504,"Зачёт аванса по договору",$E$5:$E$504,E471)&gt;0,ROUND(E471-$M$6,2)=0)),"БЛОК: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1" s="185" t="str">
        <x:f>IF(AND(B471="",C471="",E471=""),"",SUM($G$5:G471))</x:f>
        <x:v/>
      </x:c>
      <x:c r="K471" s="178"/>
      <x:c r="L471" s="46"/>
      <x:c r="M471" s="46"/>
    </x:row>
    <x:row r="472" ht="29" customHeight="1">
      <x:c r="A472" s="199">
        <x:v>468</x:v>
      </x:c>
      <x:c r="B472" s="162"/>
      <x:c r="C472" s="163"/>
      <x:c r="D472" s="163"/>
      <x:c r="E472" s="164"/>
      <x:c r="F472" s="163"/>
      <x:c r="G472" s="185">
        <x:f t="shared" si="14"/>
        <x:v>0</x:v>
      </x:c>
      <x:c r="H472" s="185">
        <x:f t="shared" si="15"/>
        <x:v>0</x:v>
      </x:c>
      <x:c r="I472" s="186">
        <x:f>IF(AND(B472="",C472="",D472="",E472="",F472=""),"",IF(OR(B472="",C472="",E472=""),"БЛОК: нужны дата, тип операции и сумма",IF(N(E472)&lt;=0,"БЛОК: сумма должна быть больше нуля",IF(AND(H472&lt;&gt;0,F472=""),"БЛОК: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отделить",IF(AND(G472&lt;&gt;0,F472=""),"БЛОК: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нельзя",IF(AND(F472&lt;&gt;"",COUNTIF('Долг по актам'!$B$5:$B$34,F472)=0),"БЛОК: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договору")&gt;0)*($C$5:$C$504&lt;&gt;C472)*($E$5:$E$504=E472)*(($D$5:$D$504=D472)*(D472&lt;&gt;"")+($B$5:$B$504=B472)*(B472&lt;&gt;"")&gt;0))&gt;0,"БЛОК: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операцию",IF(AND(C472="Оплата",K472&lt;&gt;"Отдельный платёж — не сам аванс (сверено с выпиской банка)",OR(COUNTIFS($C$5:$C$504,"Зачёт аванса по договору",$E$5:$E$504,E472)&gt;0,ROUND(E472-$M$6,2)=0)),"БЛОК: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2" s="185" t="str">
        <x:f>IF(AND(B472="",C472="",E472=""),"",SUM($G$5:G472))</x:f>
        <x:v/>
      </x:c>
      <x:c r="K472" s="178"/>
      <x:c r="L472" s="46"/>
      <x:c r="M472" s="46"/>
    </x:row>
    <x:row r="473" ht="29" customHeight="1">
      <x:c r="A473" s="199">
        <x:v>469</x:v>
      </x:c>
      <x:c r="B473" s="162"/>
      <x:c r="C473" s="163"/>
      <x:c r="D473" s="163"/>
      <x:c r="E473" s="164"/>
      <x:c r="F473" s="163"/>
      <x:c r="G473" s="185">
        <x:f t="shared" si="14"/>
        <x:v>0</x:v>
      </x:c>
      <x:c r="H473" s="185">
        <x:f t="shared" si="15"/>
        <x:v>0</x:v>
      </x:c>
      <x:c r="I473" s="186">
        <x:f>IF(AND(B473="",C473="",D473="",E473="",F473=""),"",IF(OR(B473="",C473="",E473=""),"БЛОК: нужны дата, тип операции и сумма",IF(N(E473)&lt;=0,"БЛОК: сумма должна быть больше нуля",IF(AND(H473&lt;&gt;0,F473=""),"БЛОК: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отделить",IF(AND(G473&lt;&gt;0,F473=""),"БЛОК: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нельзя",IF(AND(F473&lt;&gt;"",COUNTIF('Долг по актам'!$B$5:$B$34,F473)=0),"БЛОК: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договору")&gt;0)*($C$5:$C$504&lt;&gt;C473)*($E$5:$E$504=E473)*(($D$5:$D$504=D473)*(D473&lt;&gt;"")+($B$5:$B$504=B473)*(B473&lt;&gt;"")&gt;0))&gt;0,"БЛОК: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операцию",IF(AND(C473="Оплата",K473&lt;&gt;"Отдельный платёж — не сам аванс (сверено с выпиской банка)",OR(COUNTIFS($C$5:$C$504,"Зачёт аванса по договору",$E$5:$E$504,E473)&gt;0,ROUND(E473-$M$6,2)=0)),"БЛОК: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3" s="185" t="str">
        <x:f>IF(AND(B473="",C473="",E473=""),"",SUM($G$5:G473))</x:f>
        <x:v/>
      </x:c>
      <x:c r="K473" s="178"/>
      <x:c r="L473" s="46"/>
      <x:c r="M473" s="46"/>
    </x:row>
    <x:row r="474" ht="29" customHeight="1">
      <x:c r="A474" s="199">
        <x:v>470</x:v>
      </x:c>
      <x:c r="B474" s="162"/>
      <x:c r="C474" s="163"/>
      <x:c r="D474" s="163"/>
      <x:c r="E474" s="164"/>
      <x:c r="F474" s="163"/>
      <x:c r="G474" s="185">
        <x:f t="shared" si="14"/>
        <x:v>0</x:v>
      </x:c>
      <x:c r="H474" s="185">
        <x:f t="shared" si="15"/>
        <x:v>0</x:v>
      </x:c>
      <x:c r="I474" s="186">
        <x:f>IF(AND(B474="",C474="",D474="",E474="",F474=""),"",IF(OR(B474="",C474="",E474=""),"БЛОК: нужны дата, тип операции и сумма",IF(N(E474)&lt;=0,"БЛОК: сумма должна быть больше нуля",IF(AND(H474&lt;&gt;0,F474=""),"БЛОК: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отделить",IF(AND(G474&lt;&gt;0,F474=""),"БЛОК: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нельзя",IF(AND(F474&lt;&gt;"",COUNTIF('Долг по актам'!$B$5:$B$34,F474)=0),"БЛОК: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договору")&gt;0)*($C$5:$C$504&lt;&gt;C474)*($E$5:$E$504=E474)*(($D$5:$D$504=D474)*(D474&lt;&gt;"")+($B$5:$B$504=B474)*(B474&lt;&gt;"")&gt;0))&gt;0,"БЛОК: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операцию",IF(AND(C474="Оплата",K474&lt;&gt;"Отдельный платёж — не сам аванс (сверено с выпиской банка)",OR(COUNTIFS($C$5:$C$504,"Зачёт аванса по договору",$E$5:$E$504,E474)&gt;0,ROUND(E474-$M$6,2)=0)),"БЛОК: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4" s="185" t="str">
        <x:f>IF(AND(B474="",C474="",E474=""),"",SUM($G$5:G474))</x:f>
        <x:v/>
      </x:c>
      <x:c r="K474" s="178"/>
      <x:c r="L474" s="46"/>
      <x:c r="M474" s="46"/>
    </x:row>
    <x:row r="475" ht="29" customHeight="1">
      <x:c r="A475" s="199">
        <x:v>471</x:v>
      </x:c>
      <x:c r="B475" s="162"/>
      <x:c r="C475" s="163"/>
      <x:c r="D475" s="163"/>
      <x:c r="E475" s="164"/>
      <x:c r="F475" s="163"/>
      <x:c r="G475" s="185">
        <x:f t="shared" si="14"/>
        <x:v>0</x:v>
      </x:c>
      <x:c r="H475" s="185">
        <x:f t="shared" si="15"/>
        <x:v>0</x:v>
      </x:c>
      <x:c r="I475" s="186">
        <x:f>IF(AND(B475="",C475="",D475="",E475="",F475=""),"",IF(OR(B475="",C475="",E475=""),"БЛОК: нужны дата, тип операции и сумма",IF(N(E475)&lt;=0,"БЛОК: сумма должна быть больше нуля",IF(AND(H475&lt;&gt;0,F475=""),"БЛОК: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отделить",IF(AND(G475&lt;&gt;0,F475=""),"БЛОК: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нельзя",IF(AND(F475&lt;&gt;"",COUNTIF('Долг по актам'!$B$5:$B$34,F475)=0),"БЛОК: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договору")&gt;0)*($C$5:$C$504&lt;&gt;C475)*($E$5:$E$504=E475)*(($D$5:$D$504=D475)*(D475&lt;&gt;"")+($B$5:$B$504=B475)*(B475&lt;&gt;"")&gt;0))&gt;0,"БЛОК: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операцию",IF(AND(C475="Оплата",K475&lt;&gt;"Отдельный платёж — не сам аванс (сверено с выпиской банка)",OR(COUNTIFS($C$5:$C$504,"Зачёт аванса по договору",$E$5:$E$504,E475)&gt;0,ROUND(E475-$M$6,2)=0)),"БЛОК: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5" s="185" t="str">
        <x:f>IF(AND(B475="",C475="",E475=""),"",SUM($G$5:G475))</x:f>
        <x:v/>
      </x:c>
      <x:c r="K475" s="178"/>
      <x:c r="L475" s="46"/>
      <x:c r="M475" s="46"/>
    </x:row>
    <x:row r="476" ht="29" customHeight="1">
      <x:c r="A476" s="199">
        <x:v>472</x:v>
      </x:c>
      <x:c r="B476" s="162"/>
      <x:c r="C476" s="163"/>
      <x:c r="D476" s="163"/>
      <x:c r="E476" s="164"/>
      <x:c r="F476" s="163"/>
      <x:c r="G476" s="185">
        <x:f t="shared" si="14"/>
        <x:v>0</x:v>
      </x:c>
      <x:c r="H476" s="185">
        <x:f t="shared" si="15"/>
        <x:v>0</x:v>
      </x:c>
      <x:c r="I476" s="186">
        <x:f>IF(AND(B476="",C476="",D476="",E476="",F476=""),"",IF(OR(B476="",C476="",E476=""),"БЛОК: нужны дата, тип операции и сумма",IF(N(E476)&lt;=0,"БЛОК: сумма должна быть больше нуля",IF(AND(H476&lt;&gt;0,F476=""),"БЛОК: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отделить",IF(AND(G476&lt;&gt;0,F476=""),"БЛОК: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нельзя",IF(AND(F476&lt;&gt;"",COUNTIF('Долг по актам'!$B$5:$B$34,F476)=0),"БЛОК: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договору")&gt;0)*($C$5:$C$504&lt;&gt;C476)*($E$5:$E$504=E476)*(($D$5:$D$504=D476)*(D476&lt;&gt;"")+($B$5:$B$504=B476)*(B476&lt;&gt;"")&gt;0))&gt;0,"БЛОК: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операцию",IF(AND(C476="Оплата",K476&lt;&gt;"Отдельный платёж — не сам аванс (сверено с выпиской банка)",OR(COUNTIFS($C$5:$C$504,"Зачёт аванса по договору",$E$5:$E$504,E476)&gt;0,ROUND(E476-$M$6,2)=0)),"БЛОК: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6" s="185" t="str">
        <x:f>IF(AND(B476="",C476="",E476=""),"",SUM($G$5:G476))</x:f>
        <x:v/>
      </x:c>
      <x:c r="K476" s="178"/>
      <x:c r="L476" s="46"/>
      <x:c r="M476" s="46"/>
    </x:row>
    <x:row r="477" ht="29" customHeight="1">
      <x:c r="A477" s="199">
        <x:v>473</x:v>
      </x:c>
      <x:c r="B477" s="162"/>
      <x:c r="C477" s="163"/>
      <x:c r="D477" s="163"/>
      <x:c r="E477" s="164"/>
      <x:c r="F477" s="163"/>
      <x:c r="G477" s="185">
        <x:f t="shared" si="14"/>
        <x:v>0</x:v>
      </x:c>
      <x:c r="H477" s="185">
        <x:f t="shared" si="15"/>
        <x:v>0</x:v>
      </x:c>
      <x:c r="I477" s="186">
        <x:f>IF(AND(B477="",C477="",D477="",E477="",F477=""),"",IF(OR(B477="",C477="",E477=""),"БЛОК: нужны дата, тип операции и сумма",IF(N(E477)&lt;=0,"БЛОК: сумма должна быть больше нуля",IF(AND(H477&lt;&gt;0,F477=""),"БЛОК: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отделить",IF(AND(G477&lt;&gt;0,F477=""),"БЛОК: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нельзя",IF(AND(F477&lt;&gt;"",COUNTIF('Долг по актам'!$B$5:$B$34,F477)=0),"БЛОК: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договору")&gt;0)*($C$5:$C$504&lt;&gt;C477)*($E$5:$E$504=E477)*(($D$5:$D$504=D477)*(D477&lt;&gt;"")+($B$5:$B$504=B477)*(B477&lt;&gt;"")&gt;0))&gt;0,"БЛОК: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операцию",IF(AND(C477="Оплата",K477&lt;&gt;"Отдельный платёж — не сам аванс (сверено с выпиской банка)",OR(COUNTIFS($C$5:$C$504,"Зачёт аванса по договору",$E$5:$E$504,E477)&gt;0,ROUND(E477-$M$6,2)=0)),"БЛОК: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7" s="185" t="str">
        <x:f>IF(AND(B477="",C477="",E477=""),"",SUM($G$5:G477))</x:f>
        <x:v/>
      </x:c>
      <x:c r="K477" s="178"/>
      <x:c r="L477" s="46"/>
      <x:c r="M477" s="46"/>
    </x:row>
    <x:row r="478" ht="29" customHeight="1">
      <x:c r="A478" s="199">
        <x:v>474</x:v>
      </x:c>
      <x:c r="B478" s="162"/>
      <x:c r="C478" s="163"/>
      <x:c r="D478" s="163"/>
      <x:c r="E478" s="164"/>
      <x:c r="F478" s="163"/>
      <x:c r="G478" s="185">
        <x:f t="shared" si="14"/>
        <x:v>0</x:v>
      </x:c>
      <x:c r="H478" s="185">
        <x:f t="shared" si="15"/>
        <x:v>0</x:v>
      </x:c>
      <x:c r="I478" s="186">
        <x:f>IF(AND(B478="",C478="",D478="",E478="",F478=""),"",IF(OR(B478="",C478="",E478=""),"БЛОК: нужны дата, тип операции и сумма",IF(N(E478)&lt;=0,"БЛОК: сумма должна быть больше нуля",IF(AND(H478&lt;&gt;0,F478=""),"БЛОК: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отделить",IF(AND(G478&lt;&gt;0,F478=""),"БЛОК: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нельзя",IF(AND(F478&lt;&gt;"",COUNTIF('Долг по актам'!$B$5:$B$34,F478)=0),"БЛОК: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договору")&gt;0)*($C$5:$C$504&lt;&gt;C478)*($E$5:$E$504=E478)*(($D$5:$D$504=D478)*(D478&lt;&gt;"")+($B$5:$B$504=B478)*(B478&lt;&gt;"")&gt;0))&gt;0,"БЛОК: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операцию",IF(AND(C478="Оплата",K478&lt;&gt;"Отдельный платёж — не сам аванс (сверено с выпиской банка)",OR(COUNTIFS($C$5:$C$504,"Зачёт аванса по договору",$E$5:$E$504,E478)&gt;0,ROUND(E478-$M$6,2)=0)),"БЛОК: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8" s="185" t="str">
        <x:f>IF(AND(B478="",C478="",E478=""),"",SUM($G$5:G478))</x:f>
        <x:v/>
      </x:c>
      <x:c r="K478" s="178"/>
      <x:c r="L478" s="46"/>
      <x:c r="M478" s="46"/>
    </x:row>
    <x:row r="479" ht="29" customHeight="1">
      <x:c r="A479" s="199">
        <x:v>475</x:v>
      </x:c>
      <x:c r="B479" s="162"/>
      <x:c r="C479" s="163"/>
      <x:c r="D479" s="163"/>
      <x:c r="E479" s="164"/>
      <x:c r="F479" s="163"/>
      <x:c r="G479" s="185">
        <x:f t="shared" si="14"/>
        <x:v>0</x:v>
      </x:c>
      <x:c r="H479" s="185">
        <x:f t="shared" si="15"/>
        <x:v>0</x:v>
      </x:c>
      <x:c r="I479" s="186">
        <x:f>IF(AND(B479="",C479="",D479="",E479="",F479=""),"",IF(OR(B479="",C479="",E479=""),"БЛОК: нужны дата, тип операции и сумма",IF(N(E479)&lt;=0,"БЛОК: сумма должна быть больше нуля",IF(AND(H479&lt;&gt;0,F479=""),"БЛОК: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отделить",IF(AND(G479&lt;&gt;0,F479=""),"БЛОК: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нельзя",IF(AND(F479&lt;&gt;"",COUNTIF('Долг по актам'!$B$5:$B$34,F479)=0),"БЛОК: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договору")&gt;0)*($C$5:$C$504&lt;&gt;C479)*($E$5:$E$504=E479)*(($D$5:$D$504=D479)*(D479&lt;&gt;"")+($B$5:$B$504=B479)*(B479&lt;&gt;"")&gt;0))&gt;0,"БЛОК: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операцию",IF(AND(C479="Оплата",K479&lt;&gt;"Отдельный платёж — не сам аванс (сверено с выпиской банка)",OR(COUNTIFS($C$5:$C$504,"Зачёт аванса по договору",$E$5:$E$504,E479)&gt;0,ROUND(E479-$M$6,2)=0)),"БЛОК: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79" s="185" t="str">
        <x:f>IF(AND(B479="",C479="",E479=""),"",SUM($G$5:G479))</x:f>
        <x:v/>
      </x:c>
      <x:c r="K479" s="178"/>
      <x:c r="L479" s="46"/>
      <x:c r="M479" s="46"/>
    </x:row>
    <x:row r="480" ht="29" customHeight="1">
      <x:c r="A480" s="199">
        <x:v>476</x:v>
      </x:c>
      <x:c r="B480" s="162"/>
      <x:c r="C480" s="163"/>
      <x:c r="D480" s="163"/>
      <x:c r="E480" s="164"/>
      <x:c r="F480" s="163"/>
      <x:c r="G480" s="185">
        <x:f t="shared" si="14"/>
        <x:v>0</x:v>
      </x:c>
      <x:c r="H480" s="185">
        <x:f t="shared" si="15"/>
        <x:v>0</x:v>
      </x:c>
      <x:c r="I480" s="186">
        <x:f>IF(AND(B480="",C480="",D480="",E480="",F480=""),"",IF(OR(B480="",C480="",E480=""),"БЛОК: нужны дата, тип операции и сумма",IF(N(E480)&lt;=0,"БЛОК: сумма должна быть больше нуля",IF(AND(H480&lt;&gt;0,F480=""),"БЛОК: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отделить",IF(AND(G480&lt;&gt;0,F480=""),"БЛОК: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нельзя",IF(AND(F480&lt;&gt;"",COUNTIF('Долг по актам'!$B$5:$B$34,F480)=0),"БЛОК: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договору")&gt;0)*($C$5:$C$504&lt;&gt;C480)*($E$5:$E$504=E480)*(($D$5:$D$504=D480)*(D480&lt;&gt;"")+($B$5:$B$504=B480)*(B480&lt;&gt;"")&gt;0))&gt;0,"БЛОК: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операцию",IF(AND(C480="Оплата",K480&lt;&gt;"Отдельный платёж — не сам аванс (сверено с выпиской банка)",OR(COUNTIFS($C$5:$C$504,"Зачёт аванса по договору",$E$5:$E$504,E480)&gt;0,ROUND(E480-$M$6,2)=0)),"БЛОК: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0" s="185" t="str">
        <x:f>IF(AND(B480="",C480="",E480=""),"",SUM($G$5:G480))</x:f>
        <x:v/>
      </x:c>
      <x:c r="K480" s="178"/>
      <x:c r="L480" s="46"/>
      <x:c r="M480" s="46"/>
    </x:row>
    <x:row r="481" ht="29" customHeight="1">
      <x:c r="A481" s="199">
        <x:v>477</x:v>
      </x:c>
      <x:c r="B481" s="162"/>
      <x:c r="C481" s="163"/>
      <x:c r="D481" s="163"/>
      <x:c r="E481" s="164"/>
      <x:c r="F481" s="163"/>
      <x:c r="G481" s="185">
        <x:f t="shared" si="14"/>
        <x:v>0</x:v>
      </x:c>
      <x:c r="H481" s="185">
        <x:f t="shared" si="15"/>
        <x:v>0</x:v>
      </x:c>
      <x:c r="I481" s="186">
        <x:f>IF(AND(B481="",C481="",D481="",E481="",F481=""),"",IF(OR(B481="",C481="",E481=""),"БЛОК: нужны дата, тип операции и сумма",IF(N(E481)&lt;=0,"БЛОК: сумма должна быть больше нуля",IF(AND(H481&lt;&gt;0,F481=""),"БЛОК: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отделить",IF(AND(G481&lt;&gt;0,F481=""),"БЛОК: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нельзя",IF(AND(F481&lt;&gt;"",COUNTIF('Долг по актам'!$B$5:$B$34,F481)=0),"БЛОК: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договору")&gt;0)*($C$5:$C$504&lt;&gt;C481)*($E$5:$E$504=E481)*(($D$5:$D$504=D481)*(D481&lt;&gt;"")+($B$5:$B$504=B481)*(B481&lt;&gt;"")&gt;0))&gt;0,"БЛОК: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операцию",IF(AND(C481="Оплата",K481&lt;&gt;"Отдельный платёж — не сам аванс (сверено с выпиской банка)",OR(COUNTIFS($C$5:$C$504,"Зачёт аванса по договору",$E$5:$E$504,E481)&gt;0,ROUND(E481-$M$6,2)=0)),"БЛОК: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1" s="185" t="str">
        <x:f>IF(AND(B481="",C481="",E481=""),"",SUM($G$5:G481))</x:f>
        <x:v/>
      </x:c>
      <x:c r="K481" s="178"/>
      <x:c r="L481" s="46"/>
      <x:c r="M481" s="46"/>
    </x:row>
    <x:row r="482" ht="29" customHeight="1">
      <x:c r="A482" s="199">
        <x:v>478</x:v>
      </x:c>
      <x:c r="B482" s="162"/>
      <x:c r="C482" s="163"/>
      <x:c r="D482" s="163"/>
      <x:c r="E482" s="164"/>
      <x:c r="F482" s="163"/>
      <x:c r="G482" s="185">
        <x:f t="shared" si="14"/>
        <x:v>0</x:v>
      </x:c>
      <x:c r="H482" s="185">
        <x:f t="shared" si="15"/>
        <x:v>0</x:v>
      </x:c>
      <x:c r="I482" s="186">
        <x:f>IF(AND(B482="",C482="",D482="",E482="",F482=""),"",IF(OR(B482="",C482="",E482=""),"БЛОК: нужны дата, тип операции и сумма",IF(N(E482)&lt;=0,"БЛОК: сумма должна быть больше нуля",IF(AND(H482&lt;&gt;0,F482=""),"БЛОК: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отделить",IF(AND(G482&lt;&gt;0,F482=""),"БЛОК: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нельзя",IF(AND(F482&lt;&gt;"",COUNTIF('Долг по актам'!$B$5:$B$34,F482)=0),"БЛОК: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договору")&gt;0)*($C$5:$C$504&lt;&gt;C482)*($E$5:$E$504=E482)*(($D$5:$D$504=D482)*(D482&lt;&gt;"")+($B$5:$B$504=B482)*(B482&lt;&gt;"")&gt;0))&gt;0,"БЛОК: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операцию",IF(AND(C482="Оплата",K482&lt;&gt;"Отдельный платёж — не сам аванс (сверено с выпиской банка)",OR(COUNTIFS($C$5:$C$504,"Зачёт аванса по договору",$E$5:$E$504,E482)&gt;0,ROUND(E482-$M$6,2)=0)),"БЛОК: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2" s="185" t="str">
        <x:f>IF(AND(B482="",C482="",E482=""),"",SUM($G$5:G482))</x:f>
        <x:v/>
      </x:c>
      <x:c r="K482" s="178"/>
      <x:c r="L482" s="46"/>
      <x:c r="M482" s="46"/>
    </x:row>
    <x:row r="483" ht="29" customHeight="1">
      <x:c r="A483" s="199">
        <x:v>479</x:v>
      </x:c>
      <x:c r="B483" s="162"/>
      <x:c r="C483" s="163"/>
      <x:c r="D483" s="163"/>
      <x:c r="E483" s="164"/>
      <x:c r="F483" s="163"/>
      <x:c r="G483" s="185">
        <x:f t="shared" si="14"/>
        <x:v>0</x:v>
      </x:c>
      <x:c r="H483" s="185">
        <x:f t="shared" si="15"/>
        <x:v>0</x:v>
      </x:c>
      <x:c r="I483" s="186">
        <x:f>IF(AND(B483="",C483="",D483="",E483="",F483=""),"",IF(OR(B483="",C483="",E483=""),"БЛОК: нужны дата, тип операции и сумма",IF(N(E483)&lt;=0,"БЛОК: сумма должна быть больше нуля",IF(AND(H483&lt;&gt;0,F483=""),"БЛОК: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отделить",IF(AND(G483&lt;&gt;0,F483=""),"БЛОК: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нельзя",IF(AND(F483&lt;&gt;"",COUNTIF('Долг по актам'!$B$5:$B$34,F483)=0),"БЛОК: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договору")&gt;0)*($C$5:$C$504&lt;&gt;C483)*($E$5:$E$504=E483)*(($D$5:$D$504=D483)*(D483&lt;&gt;"")+($B$5:$B$504=B483)*(B483&lt;&gt;"")&gt;0))&gt;0,"БЛОК: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операцию",IF(AND(C483="Оплата",K483&lt;&gt;"Отдельный платёж — не сам аванс (сверено с выпиской банка)",OR(COUNTIFS($C$5:$C$504,"Зачёт аванса по договору",$E$5:$E$504,E483)&gt;0,ROUND(E483-$M$6,2)=0)),"БЛОК: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3" s="185" t="str">
        <x:f>IF(AND(B483="",C483="",E483=""),"",SUM($G$5:G483))</x:f>
        <x:v/>
      </x:c>
      <x:c r="K483" s="178"/>
      <x:c r="L483" s="46"/>
      <x:c r="M483" s="46"/>
    </x:row>
    <x:row r="484" ht="29" customHeight="1">
      <x:c r="A484" s="199">
        <x:v>480</x:v>
      </x:c>
      <x:c r="B484" s="162"/>
      <x:c r="C484" s="163"/>
      <x:c r="D484" s="163"/>
      <x:c r="E484" s="164"/>
      <x:c r="F484" s="163"/>
      <x:c r="G484" s="185">
        <x:f t="shared" si="14"/>
        <x:v>0</x:v>
      </x:c>
      <x:c r="H484" s="185">
        <x:f t="shared" si="15"/>
        <x:v>0</x:v>
      </x:c>
      <x:c r="I484" s="186">
        <x:f>IF(AND(B484="",C484="",D484="",E484="",F484=""),"",IF(OR(B484="",C484="",E484=""),"БЛОК: нужны дата, тип операции и сумма",IF(N(E484)&lt;=0,"БЛОК: сумма должна быть больше нуля",IF(AND(H484&lt;&gt;0,F484=""),"БЛОК: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отделить",IF(AND(G484&lt;&gt;0,F484=""),"БЛОК: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нельзя",IF(AND(F484&lt;&gt;"",COUNTIF('Долг по актам'!$B$5:$B$34,F484)=0),"БЛОК: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договору")&gt;0)*($C$5:$C$504&lt;&gt;C484)*($E$5:$E$504=E484)*(($D$5:$D$504=D484)*(D484&lt;&gt;"")+($B$5:$B$504=B484)*(B484&lt;&gt;"")&gt;0))&gt;0,"БЛОК: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операцию",IF(AND(C484="Оплата",K484&lt;&gt;"Отдельный платёж — не сам аванс (сверено с выпиской банка)",OR(COUNTIFS($C$5:$C$504,"Зачёт аванса по договору",$E$5:$E$504,E484)&gt;0,ROUND(E484-$M$6,2)=0)),"БЛОК: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4" s="185" t="str">
        <x:f>IF(AND(B484="",C484="",E484=""),"",SUM($G$5:G484))</x:f>
        <x:v/>
      </x:c>
      <x:c r="K484" s="178"/>
      <x:c r="L484" s="46"/>
      <x:c r="M484" s="46"/>
    </x:row>
    <x:row r="485" ht="29" customHeight="1">
      <x:c r="A485" s="199">
        <x:v>481</x:v>
      </x:c>
      <x:c r="B485" s="162"/>
      <x:c r="C485" s="163"/>
      <x:c r="D485" s="163"/>
      <x:c r="E485" s="164"/>
      <x:c r="F485" s="163"/>
      <x:c r="G485" s="185">
        <x:f t="shared" si="14"/>
        <x:v>0</x:v>
      </x:c>
      <x:c r="H485" s="185">
        <x:f t="shared" si="15"/>
        <x:v>0</x:v>
      </x:c>
      <x:c r="I485" s="186">
        <x:f>IF(AND(B485="",C485="",D485="",E485="",F485=""),"",IF(OR(B485="",C485="",E485=""),"БЛОК: нужны дата, тип операции и сумма",IF(N(E485)&lt;=0,"БЛОК: сумма должна быть больше нуля",IF(AND(H485&lt;&gt;0,F485=""),"БЛОК: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отделить",IF(AND(G485&lt;&gt;0,F485=""),"БЛОК: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нельзя",IF(AND(F485&lt;&gt;"",COUNTIF('Долг по актам'!$B$5:$B$34,F485)=0),"БЛОК: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договору")&gt;0)*($C$5:$C$504&lt;&gt;C485)*($E$5:$E$504=E485)*(($D$5:$D$504=D485)*(D485&lt;&gt;"")+($B$5:$B$504=B485)*(B485&lt;&gt;"")&gt;0))&gt;0,"БЛОК: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операцию",IF(AND(C485="Оплата",K485&lt;&gt;"Отдельный платёж — не сам аванс (сверено с выпиской банка)",OR(COUNTIFS($C$5:$C$504,"Зачёт аванса по договору",$E$5:$E$504,E485)&gt;0,ROUND(E485-$M$6,2)=0)),"БЛОК: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5" s="185" t="str">
        <x:f>IF(AND(B485="",C485="",E485=""),"",SUM($G$5:G485))</x:f>
        <x:v/>
      </x:c>
      <x:c r="K485" s="178"/>
      <x:c r="L485" s="46"/>
      <x:c r="M485" s="46"/>
    </x:row>
    <x:row r="486" ht="29" customHeight="1">
      <x:c r="A486" s="199">
        <x:v>482</x:v>
      </x:c>
      <x:c r="B486" s="162"/>
      <x:c r="C486" s="163"/>
      <x:c r="D486" s="163"/>
      <x:c r="E486" s="164"/>
      <x:c r="F486" s="163"/>
      <x:c r="G486" s="185">
        <x:f t="shared" si="14"/>
        <x:v>0</x:v>
      </x:c>
      <x:c r="H486" s="185">
        <x:f t="shared" si="15"/>
        <x:v>0</x:v>
      </x:c>
      <x:c r="I486" s="186">
        <x:f>IF(AND(B486="",C486="",D486="",E486="",F486=""),"",IF(OR(B486="",C486="",E486=""),"БЛОК: нужны дата, тип операции и сумма",IF(N(E486)&lt;=0,"БЛОК: сумма должна быть больше нуля",IF(AND(H486&lt;&gt;0,F486=""),"БЛОК: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отделить",IF(AND(G486&lt;&gt;0,F486=""),"БЛОК: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нельзя",IF(AND(F486&lt;&gt;"",COUNTIF('Долг по актам'!$B$5:$B$34,F486)=0),"БЛОК: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договору")&gt;0)*($C$5:$C$504&lt;&gt;C486)*($E$5:$E$504=E486)*(($D$5:$D$504=D486)*(D486&lt;&gt;"")+($B$5:$B$504=B486)*(B486&lt;&gt;"")&gt;0))&gt;0,"БЛОК: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операцию",IF(AND(C486="Оплата",K486&lt;&gt;"Отдельный платёж — не сам аванс (сверено с выпиской банка)",OR(COUNTIFS($C$5:$C$504,"Зачёт аванса по договору",$E$5:$E$504,E486)&gt;0,ROUND(E486-$M$6,2)=0)),"БЛОК: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6" s="185" t="str">
        <x:f>IF(AND(B486="",C486="",E486=""),"",SUM($G$5:G486))</x:f>
        <x:v/>
      </x:c>
      <x:c r="K486" s="178"/>
      <x:c r="L486" s="46"/>
      <x:c r="M486" s="46"/>
    </x:row>
    <x:row r="487" ht="29" customHeight="1">
      <x:c r="A487" s="199">
        <x:v>483</x:v>
      </x:c>
      <x:c r="B487" s="162"/>
      <x:c r="C487" s="163"/>
      <x:c r="D487" s="163"/>
      <x:c r="E487" s="164"/>
      <x:c r="F487" s="163"/>
      <x:c r="G487" s="185">
        <x:f t="shared" si="14"/>
        <x:v>0</x:v>
      </x:c>
      <x:c r="H487" s="185">
        <x:f t="shared" si="15"/>
        <x:v>0</x:v>
      </x:c>
      <x:c r="I487" s="186">
        <x:f>IF(AND(B487="",C487="",D487="",E487="",F487=""),"",IF(OR(B487="",C487="",E487=""),"БЛОК: нужны дата, тип операции и сумма",IF(N(E487)&lt;=0,"БЛОК: сумма должна быть больше нуля",IF(AND(H487&lt;&gt;0,F487=""),"БЛОК: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отделить",IF(AND(G487&lt;&gt;0,F487=""),"БЛОК: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нельзя",IF(AND(F487&lt;&gt;"",COUNTIF('Долг по актам'!$B$5:$B$34,F487)=0),"БЛОК: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договору")&gt;0)*($C$5:$C$504&lt;&gt;C487)*($E$5:$E$504=E487)*(($D$5:$D$504=D487)*(D487&lt;&gt;"")+($B$5:$B$504=B487)*(B487&lt;&gt;"")&gt;0))&gt;0,"БЛОК: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операцию",IF(AND(C487="Оплата",K487&lt;&gt;"Отдельный платёж — не сам аванс (сверено с выпиской банка)",OR(COUNTIFS($C$5:$C$504,"Зачёт аванса по договору",$E$5:$E$504,E487)&gt;0,ROUND(E487-$M$6,2)=0)),"БЛОК: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7" s="185" t="str">
        <x:f>IF(AND(B487="",C487="",E487=""),"",SUM($G$5:G487))</x:f>
        <x:v/>
      </x:c>
      <x:c r="K487" s="178"/>
      <x:c r="L487" s="46"/>
      <x:c r="M487" s="46"/>
    </x:row>
    <x:row r="488" ht="29" customHeight="1">
      <x:c r="A488" s="199">
        <x:v>484</x:v>
      </x:c>
      <x:c r="B488" s="162"/>
      <x:c r="C488" s="163"/>
      <x:c r="D488" s="163"/>
      <x:c r="E488" s="164"/>
      <x:c r="F488" s="163"/>
      <x:c r="G488" s="185">
        <x:f t="shared" si="14"/>
        <x:v>0</x:v>
      </x:c>
      <x:c r="H488" s="185">
        <x:f t="shared" si="15"/>
        <x:v>0</x:v>
      </x:c>
      <x:c r="I488" s="186">
        <x:f>IF(AND(B488="",C488="",D488="",E488="",F488=""),"",IF(OR(B488="",C488="",E488=""),"БЛОК: нужны дата, тип операции и сумма",IF(N(E488)&lt;=0,"БЛОК: сумма должна быть больше нуля",IF(AND(H488&lt;&gt;0,F488=""),"БЛОК: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отделить",IF(AND(G488&lt;&gt;0,F488=""),"БЛОК: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нельзя",IF(AND(F488&lt;&gt;"",COUNTIF('Долг по актам'!$B$5:$B$34,F488)=0),"БЛОК: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договору")&gt;0)*($C$5:$C$504&lt;&gt;C488)*($E$5:$E$504=E488)*(($D$5:$D$504=D488)*(D488&lt;&gt;"")+($B$5:$B$504=B488)*(B488&lt;&gt;"")&gt;0))&gt;0,"БЛОК: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операцию",IF(AND(C488="Оплата",K488&lt;&gt;"Отдельный платёж — не сам аванс (сверено с выпиской банка)",OR(COUNTIFS($C$5:$C$504,"Зачёт аванса по договору",$E$5:$E$504,E488)&gt;0,ROUND(E488-$M$6,2)=0)),"БЛОК: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8" s="185" t="str">
        <x:f>IF(AND(B488="",C488="",E488=""),"",SUM($G$5:G488))</x:f>
        <x:v/>
      </x:c>
      <x:c r="K488" s="178"/>
      <x:c r="L488" s="46"/>
      <x:c r="M488" s="46"/>
    </x:row>
    <x:row r="489" ht="29" customHeight="1">
      <x:c r="A489" s="199">
        <x:v>485</x:v>
      </x:c>
      <x:c r="B489" s="162"/>
      <x:c r="C489" s="163"/>
      <x:c r="D489" s="163"/>
      <x:c r="E489" s="164"/>
      <x:c r="F489" s="163"/>
      <x:c r="G489" s="185">
        <x:f t="shared" si="14"/>
        <x:v>0</x:v>
      </x:c>
      <x:c r="H489" s="185">
        <x:f t="shared" si="15"/>
        <x:v>0</x:v>
      </x:c>
      <x:c r="I489" s="186">
        <x:f>IF(AND(B489="",C489="",D489="",E489="",F489=""),"",IF(OR(B489="",C489="",E489=""),"БЛОК: нужны дата, тип операции и сумма",IF(N(E489)&lt;=0,"БЛОК: сумма должна быть больше нуля",IF(AND(H489&lt;&gt;0,F489=""),"БЛОК: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отделить",IF(AND(G489&lt;&gt;0,F489=""),"БЛОК: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нельзя",IF(AND(F489&lt;&gt;"",COUNTIF('Долг по актам'!$B$5:$B$34,F489)=0),"БЛОК: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договору")&gt;0)*($C$5:$C$504&lt;&gt;C489)*($E$5:$E$504=E489)*(($D$5:$D$504=D489)*(D489&lt;&gt;"")+($B$5:$B$504=B489)*(B489&lt;&gt;"")&gt;0))&gt;0,"БЛОК: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операцию",IF(AND(C489="Оплата",K489&lt;&gt;"Отдельный платёж — не сам аванс (сверено с выпиской банка)",OR(COUNTIFS($C$5:$C$504,"Зачёт аванса по договору",$E$5:$E$504,E489)&gt;0,ROUND(E489-$M$6,2)=0)),"БЛОК: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89" s="185" t="str">
        <x:f>IF(AND(B489="",C489="",E489=""),"",SUM($G$5:G489))</x:f>
        <x:v/>
      </x:c>
      <x:c r="K489" s="178"/>
      <x:c r="L489" s="46"/>
      <x:c r="M489" s="46"/>
    </x:row>
    <x:row r="490" ht="29" customHeight="1">
      <x:c r="A490" s="199">
        <x:v>486</x:v>
      </x:c>
      <x:c r="B490" s="162"/>
      <x:c r="C490" s="163"/>
      <x:c r="D490" s="163"/>
      <x:c r="E490" s="164"/>
      <x:c r="F490" s="163"/>
      <x:c r="G490" s="185">
        <x:f t="shared" si="14"/>
        <x:v>0</x:v>
      </x:c>
      <x:c r="H490" s="185">
        <x:f t="shared" si="15"/>
        <x:v>0</x:v>
      </x:c>
      <x:c r="I490" s="186">
        <x:f>IF(AND(B490="",C490="",D490="",E490="",F490=""),"",IF(OR(B490="",C490="",E490=""),"БЛОК: нужны дата, тип операции и сумма",IF(N(E490)&lt;=0,"БЛОК: сумма должна быть больше нуля",IF(AND(H490&lt;&gt;0,F490=""),"БЛОК: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отделить",IF(AND(G490&lt;&gt;0,F490=""),"БЛОК: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нельзя",IF(AND(F490&lt;&gt;"",COUNTIF('Долг по актам'!$B$5:$B$34,F490)=0),"БЛОК: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договору")&gt;0)*($C$5:$C$504&lt;&gt;C490)*($E$5:$E$504=E490)*(($D$5:$D$504=D490)*(D490&lt;&gt;"")+($B$5:$B$504=B490)*(B490&lt;&gt;"")&gt;0))&gt;0,"БЛОК: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операцию",IF(AND(C490="Оплата",K490&lt;&gt;"Отдельный платёж — не сам аванс (сверено с выпиской банка)",OR(COUNTIFS($C$5:$C$504,"Зачёт аванса по договору",$E$5:$E$504,E490)&gt;0,ROUND(E490-$M$6,2)=0)),"БЛОК: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0" s="185" t="str">
        <x:f>IF(AND(B490="",C490="",E490=""),"",SUM($G$5:G490))</x:f>
        <x:v/>
      </x:c>
      <x:c r="K490" s="178"/>
      <x:c r="L490" s="46"/>
      <x:c r="M490" s="46"/>
    </x:row>
    <x:row r="491" ht="29" customHeight="1">
      <x:c r="A491" s="199">
        <x:v>487</x:v>
      </x:c>
      <x:c r="B491" s="162"/>
      <x:c r="C491" s="163"/>
      <x:c r="D491" s="163"/>
      <x:c r="E491" s="164"/>
      <x:c r="F491" s="163"/>
      <x:c r="G491" s="185">
        <x:f t="shared" si="14"/>
        <x:v>0</x:v>
      </x:c>
      <x:c r="H491" s="185">
        <x:f t="shared" si="15"/>
        <x:v>0</x:v>
      </x:c>
      <x:c r="I491" s="186">
        <x:f>IF(AND(B491="",C491="",D491="",E491="",F491=""),"",IF(OR(B491="",C491="",E491=""),"БЛОК: нужны дата, тип операции и сумма",IF(N(E491)&lt;=0,"БЛОК: сумма должна быть больше нуля",IF(AND(H491&lt;&gt;0,F491=""),"БЛОК: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отделить",IF(AND(G491&lt;&gt;0,F491=""),"БЛОК: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нельзя",IF(AND(F491&lt;&gt;"",COUNTIF('Долг по актам'!$B$5:$B$34,F491)=0),"БЛОК: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договору")&gt;0)*($C$5:$C$504&lt;&gt;C491)*($E$5:$E$504=E491)*(($D$5:$D$504=D491)*(D491&lt;&gt;"")+($B$5:$B$504=B491)*(B491&lt;&gt;"")&gt;0))&gt;0,"БЛОК: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операцию",IF(AND(C491="Оплата",K491&lt;&gt;"Отдельный платёж — не сам аванс (сверено с выпиской банка)",OR(COUNTIFS($C$5:$C$504,"Зачёт аванса по договору",$E$5:$E$504,E491)&gt;0,ROUND(E491-$M$6,2)=0)),"БЛОК: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1" s="185" t="str">
        <x:f>IF(AND(B491="",C491="",E491=""),"",SUM($G$5:G491))</x:f>
        <x:v/>
      </x:c>
      <x:c r="K491" s="178"/>
      <x:c r="L491" s="46"/>
      <x:c r="M491" s="46"/>
    </x:row>
    <x:row r="492" ht="29" customHeight="1">
      <x:c r="A492" s="199">
        <x:v>488</x:v>
      </x:c>
      <x:c r="B492" s="162"/>
      <x:c r="C492" s="163"/>
      <x:c r="D492" s="163"/>
      <x:c r="E492" s="164"/>
      <x:c r="F492" s="163"/>
      <x:c r="G492" s="185">
        <x:f t="shared" si="14"/>
        <x:v>0</x:v>
      </x:c>
      <x:c r="H492" s="185">
        <x:f t="shared" si="15"/>
        <x:v>0</x:v>
      </x:c>
      <x:c r="I492" s="186">
        <x:f>IF(AND(B492="",C492="",D492="",E492="",F492=""),"",IF(OR(B492="",C492="",E492=""),"БЛОК: нужны дата, тип операции и сумма",IF(N(E492)&lt;=0,"БЛОК: сумма должна быть больше нуля",IF(AND(H492&lt;&gt;0,F492=""),"БЛОК: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отделить",IF(AND(G492&lt;&gt;0,F492=""),"БЛОК: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нельзя",IF(AND(F492&lt;&gt;"",COUNTIF('Долг по актам'!$B$5:$B$34,F492)=0),"БЛОК: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договору")&gt;0)*($C$5:$C$504&lt;&gt;C492)*($E$5:$E$504=E492)*(($D$5:$D$504=D492)*(D492&lt;&gt;"")+($B$5:$B$504=B492)*(B492&lt;&gt;"")&gt;0))&gt;0,"БЛОК: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операцию",IF(AND(C492="Оплата",K492&lt;&gt;"Отдельный платёж — не сам аванс (сверено с выпиской банка)",OR(COUNTIFS($C$5:$C$504,"Зачёт аванса по договору",$E$5:$E$504,E492)&gt;0,ROUND(E492-$M$6,2)=0)),"БЛОК: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2" s="185" t="str">
        <x:f>IF(AND(B492="",C492="",E492=""),"",SUM($G$5:G492))</x:f>
        <x:v/>
      </x:c>
      <x:c r="K492" s="178"/>
      <x:c r="L492" s="46"/>
      <x:c r="M492" s="46"/>
    </x:row>
    <x:row r="493" ht="29" customHeight="1">
      <x:c r="A493" s="199">
        <x:v>489</x:v>
      </x:c>
      <x:c r="B493" s="162"/>
      <x:c r="C493" s="163"/>
      <x:c r="D493" s="163"/>
      <x:c r="E493" s="164"/>
      <x:c r="F493" s="163"/>
      <x:c r="G493" s="185">
        <x:f t="shared" si="14"/>
        <x:v>0</x:v>
      </x:c>
      <x:c r="H493" s="185">
        <x:f t="shared" si="15"/>
        <x:v>0</x:v>
      </x:c>
      <x:c r="I493" s="186">
        <x:f>IF(AND(B493="",C493="",D493="",E493="",F493=""),"",IF(OR(B493="",C493="",E493=""),"БЛОК: нужны дата, тип операции и сумма",IF(N(E493)&lt;=0,"БЛОК: сумма должна быть больше нуля",IF(AND(H493&lt;&gt;0,F493=""),"БЛОК: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отделить",IF(AND(G493&lt;&gt;0,F493=""),"БЛОК: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нельзя",IF(AND(F493&lt;&gt;"",COUNTIF('Долг по актам'!$B$5:$B$34,F493)=0),"БЛОК: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договору")&gt;0)*($C$5:$C$504&lt;&gt;C493)*($E$5:$E$504=E493)*(($D$5:$D$504=D493)*(D493&lt;&gt;"")+($B$5:$B$504=B493)*(B493&lt;&gt;"")&gt;0))&gt;0,"БЛОК: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операцию",IF(AND(C493="Оплата",K493&lt;&gt;"Отдельный платёж — не сам аванс (сверено с выпиской банка)",OR(COUNTIFS($C$5:$C$504,"Зачёт аванса по договору",$E$5:$E$504,E493)&gt;0,ROUND(E493-$M$6,2)=0)),"БЛОК: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3" s="185" t="str">
        <x:f>IF(AND(B493="",C493="",E493=""),"",SUM($G$5:G493))</x:f>
        <x:v/>
      </x:c>
      <x:c r="K493" s="178"/>
      <x:c r="L493" s="46"/>
      <x:c r="M493" s="46"/>
    </x:row>
    <x:row r="494" ht="29" customHeight="1">
      <x:c r="A494" s="199">
        <x:v>490</x:v>
      </x:c>
      <x:c r="B494" s="162"/>
      <x:c r="C494" s="163"/>
      <x:c r="D494" s="163"/>
      <x:c r="E494" s="164"/>
      <x:c r="F494" s="163"/>
      <x:c r="G494" s="185">
        <x:f t="shared" si="14"/>
        <x:v>0</x:v>
      </x:c>
      <x:c r="H494" s="185">
        <x:f t="shared" si="15"/>
        <x:v>0</x:v>
      </x:c>
      <x:c r="I494" s="186">
        <x:f>IF(AND(B494="",C494="",D494="",E494="",F494=""),"",IF(OR(B494="",C494="",E494=""),"БЛОК: нужны дата, тип операции и сумма",IF(N(E494)&lt;=0,"БЛОК: сумма должна быть больше нуля",IF(AND(H494&lt;&gt;0,F494=""),"БЛОК: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отделить",IF(AND(G494&lt;&gt;0,F494=""),"БЛОК: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нельзя",IF(AND(F494&lt;&gt;"",COUNTIF('Долг по актам'!$B$5:$B$34,F494)=0),"БЛОК: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договору")&gt;0)*($C$5:$C$504&lt;&gt;C494)*($E$5:$E$504=E494)*(($D$5:$D$504=D494)*(D494&lt;&gt;"")+($B$5:$B$504=B494)*(B494&lt;&gt;"")&gt;0))&gt;0,"БЛОК: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операцию",IF(AND(C494="Оплата",K494&lt;&gt;"Отдельный платёж — не сам аванс (сверено с выпиской банка)",OR(COUNTIFS($C$5:$C$504,"Зачёт аванса по договору",$E$5:$E$504,E494)&gt;0,ROUND(E494-$M$6,2)=0)),"БЛОК: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4" s="185" t="str">
        <x:f>IF(AND(B494="",C494="",E494=""),"",SUM($G$5:G494))</x:f>
        <x:v/>
      </x:c>
      <x:c r="K494" s="178"/>
      <x:c r="L494" s="46"/>
      <x:c r="M494" s="46"/>
    </x:row>
    <x:row r="495" ht="29" customHeight="1">
      <x:c r="A495" s="199">
        <x:v>491</x:v>
      </x:c>
      <x:c r="B495" s="162"/>
      <x:c r="C495" s="163"/>
      <x:c r="D495" s="163"/>
      <x:c r="E495" s="164"/>
      <x:c r="F495" s="163"/>
      <x:c r="G495" s="185">
        <x:f t="shared" si="14"/>
        <x:v>0</x:v>
      </x:c>
      <x:c r="H495" s="185">
        <x:f t="shared" si="15"/>
        <x:v>0</x:v>
      </x:c>
      <x:c r="I495" s="186">
        <x:f>IF(AND(B495="",C495="",D495="",E495="",F495=""),"",IF(OR(B495="",C495="",E495=""),"БЛОК: нужны дата, тип операции и сумма",IF(N(E495)&lt;=0,"БЛОК: сумма должна быть больше нуля",IF(AND(H495&lt;&gt;0,F495=""),"БЛОК: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отделить",IF(AND(G495&lt;&gt;0,F495=""),"БЛОК: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нельзя",IF(AND(F495&lt;&gt;"",COUNTIF('Долг по актам'!$B$5:$B$34,F495)=0),"БЛОК: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договору")&gt;0)*($C$5:$C$504&lt;&gt;C495)*($E$5:$E$504=E495)*(($D$5:$D$504=D495)*(D495&lt;&gt;"")+($B$5:$B$504=B495)*(B495&lt;&gt;"")&gt;0))&gt;0,"БЛОК: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операцию",IF(AND(C495="Оплата",K495&lt;&gt;"Отдельный платёж — не сам аванс (сверено с выпиской банка)",OR(COUNTIFS($C$5:$C$504,"Зачёт аванса по договору",$E$5:$E$504,E495)&gt;0,ROUND(E495-$M$6,2)=0)),"БЛОК: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5" s="185" t="str">
        <x:f>IF(AND(B495="",C495="",E495=""),"",SUM($G$5:G495))</x:f>
        <x:v/>
      </x:c>
      <x:c r="K495" s="178"/>
      <x:c r="L495" s="46"/>
      <x:c r="M495" s="46"/>
    </x:row>
    <x:row r="496" ht="29" customHeight="1">
      <x:c r="A496" s="199">
        <x:v>492</x:v>
      </x:c>
      <x:c r="B496" s="162"/>
      <x:c r="C496" s="163"/>
      <x:c r="D496" s="163"/>
      <x:c r="E496" s="164"/>
      <x:c r="F496" s="163"/>
      <x:c r="G496" s="185">
        <x:f t="shared" si="14"/>
        <x:v>0</x:v>
      </x:c>
      <x:c r="H496" s="185">
        <x:f t="shared" si="15"/>
        <x:v>0</x:v>
      </x:c>
      <x:c r="I496" s="186">
        <x:f>IF(AND(B496="",C496="",D496="",E496="",F496=""),"",IF(OR(B496="",C496="",E496=""),"БЛОК: нужны дата, тип операции и сумма",IF(N(E496)&lt;=0,"БЛОК: сумма должна быть больше нуля",IF(AND(H496&lt;&gt;0,F496=""),"БЛОК: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отделить",IF(AND(G496&lt;&gt;0,F496=""),"БЛОК: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нельзя",IF(AND(F496&lt;&gt;"",COUNTIF('Долг по актам'!$B$5:$B$34,F496)=0),"БЛОК: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договору")&gt;0)*($C$5:$C$504&lt;&gt;C496)*($E$5:$E$504=E496)*(($D$5:$D$504=D496)*(D496&lt;&gt;"")+($B$5:$B$504=B496)*(B496&lt;&gt;"")&gt;0))&gt;0,"БЛОК: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операцию",IF(AND(C496="Оплата",K496&lt;&gt;"Отдельный платёж — не сам аванс (сверено с выпиской банка)",OR(COUNTIFS($C$5:$C$504,"Зачёт аванса по договору",$E$5:$E$504,E496)&gt;0,ROUND(E496-$M$6,2)=0)),"БЛОК: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6" s="185" t="str">
        <x:f>IF(AND(B496="",C496="",E496=""),"",SUM($G$5:G496))</x:f>
        <x:v/>
      </x:c>
      <x:c r="K496" s="178"/>
      <x:c r="L496" s="46"/>
      <x:c r="M496" s="46"/>
    </x:row>
    <x:row r="497" ht="29" customHeight="1">
      <x:c r="A497" s="199">
        <x:v>493</x:v>
      </x:c>
      <x:c r="B497" s="162"/>
      <x:c r="C497" s="163"/>
      <x:c r="D497" s="163"/>
      <x:c r="E497" s="164"/>
      <x:c r="F497" s="163"/>
      <x:c r="G497" s="185">
        <x:f t="shared" si="14"/>
        <x:v>0</x:v>
      </x:c>
      <x:c r="H497" s="185">
        <x:f t="shared" si="15"/>
        <x:v>0</x:v>
      </x:c>
      <x:c r="I497" s="186">
        <x:f>IF(AND(B497="",C497="",D497="",E497="",F497=""),"",IF(OR(B497="",C497="",E497=""),"БЛОК: нужны дата, тип операции и сумма",IF(N(E497)&lt;=0,"БЛОК: сумма должна быть больше нуля",IF(AND(H497&lt;&gt;0,F497=""),"БЛОК: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отделить",IF(AND(G497&lt;&gt;0,F497=""),"БЛОК: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нельзя",IF(AND(F497&lt;&gt;"",COUNTIF('Долг по актам'!$B$5:$B$34,F497)=0),"БЛОК: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договору")&gt;0)*($C$5:$C$504&lt;&gt;C497)*($E$5:$E$504=E497)*(($D$5:$D$504=D497)*(D497&lt;&gt;"")+($B$5:$B$504=B497)*(B497&lt;&gt;"")&gt;0))&gt;0,"БЛОК: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операцию",IF(AND(C497="Оплата",K497&lt;&gt;"Отдельный платёж — не сам аванс (сверено с выпиской банка)",OR(COUNTIFS($C$5:$C$504,"Зачёт аванса по договору",$E$5:$E$504,E497)&gt;0,ROUND(E497-$M$6,2)=0)),"БЛОК: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7" s="185" t="str">
        <x:f>IF(AND(B497="",C497="",E497=""),"",SUM($G$5:G497))</x:f>
        <x:v/>
      </x:c>
      <x:c r="K497" s="178"/>
      <x:c r="L497" s="46"/>
      <x:c r="M497" s="46"/>
    </x:row>
    <x:row r="498" ht="29" customHeight="1">
      <x:c r="A498" s="199">
        <x:v>494</x:v>
      </x:c>
      <x:c r="B498" s="162"/>
      <x:c r="C498" s="163"/>
      <x:c r="D498" s="163"/>
      <x:c r="E498" s="164"/>
      <x:c r="F498" s="163"/>
      <x:c r="G498" s="185">
        <x:f t="shared" si="14"/>
        <x:v>0</x:v>
      </x:c>
      <x:c r="H498" s="185">
        <x:f t="shared" si="15"/>
        <x:v>0</x:v>
      </x:c>
      <x:c r="I498" s="186">
        <x:f>IF(AND(B498="",C498="",D498="",E498="",F498=""),"",IF(OR(B498="",C498="",E498=""),"БЛОК: нужны дата, тип операции и сумма",IF(N(E498)&lt;=0,"БЛОК: сумма должна быть больше нуля",IF(AND(H498&lt;&gt;0,F498=""),"БЛОК: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отделить",IF(AND(G498&lt;&gt;0,F498=""),"БЛОК: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нельзя",IF(AND(F498&lt;&gt;"",COUNTIF('Долг по актам'!$B$5:$B$34,F498)=0),"БЛОК: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договору")&gt;0)*($C$5:$C$504&lt;&gt;C498)*($E$5:$E$504=E498)*(($D$5:$D$504=D498)*(D498&lt;&gt;"")+($B$5:$B$504=B498)*(B498&lt;&gt;"")&gt;0))&gt;0,"БЛОК: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операцию",IF(AND(C498="Оплата",K498&lt;&gt;"Отдельный платёж — не сам аванс (сверено с выпиской банка)",OR(COUNTIFS($C$5:$C$504,"Зачёт аванса по договору",$E$5:$E$504,E498)&gt;0,ROUND(E498-$M$6,2)=0)),"БЛОК: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8" s="185" t="str">
        <x:f>IF(AND(B498="",C498="",E498=""),"",SUM($G$5:G498))</x:f>
        <x:v/>
      </x:c>
      <x:c r="K498" s="178"/>
      <x:c r="L498" s="46"/>
      <x:c r="M498" s="46"/>
    </x:row>
    <x:row r="499" ht="29" customHeight="1">
      <x:c r="A499" s="199">
        <x:v>495</x:v>
      </x:c>
      <x:c r="B499" s="162"/>
      <x:c r="C499" s="163"/>
      <x:c r="D499" s="163"/>
      <x:c r="E499" s="164"/>
      <x:c r="F499" s="163"/>
      <x:c r="G499" s="185">
        <x:f t="shared" si="14"/>
        <x:v>0</x:v>
      </x:c>
      <x:c r="H499" s="185">
        <x:f t="shared" si="15"/>
        <x:v>0</x:v>
      </x:c>
      <x:c r="I499" s="186">
        <x:f>IF(AND(B499="",C499="",D499="",E499="",F499=""),"",IF(OR(B499="",C499="",E499=""),"БЛОК: нужны дата, тип операции и сумма",IF(N(E499)&lt;=0,"БЛОК: сумма должна быть больше нуля",IF(AND(H499&lt;&gt;0,F499=""),"БЛОК: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отделить",IF(AND(G499&lt;&gt;0,F499=""),"БЛОК: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нельзя",IF(AND(F499&lt;&gt;"",COUNTIF('Долг по актам'!$B$5:$B$34,F499)=0),"БЛОК: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договору")&gt;0)*($C$5:$C$504&lt;&gt;C499)*($E$5:$E$504=E499)*(($D$5:$D$504=D499)*(D499&lt;&gt;"")+($B$5:$B$504=B499)*(B499&lt;&gt;"")&gt;0))&gt;0,"БЛОК: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операцию",IF(AND(C499="Оплата",K499&lt;&gt;"Отдельный платёж — не сам аванс (сверено с выпиской банка)",OR(COUNTIFS($C$5:$C$504,"Зачёт аванса по договору",$E$5:$E$504,E499)&gt;0,ROUND(E499-$M$6,2)=0)),"БЛОК: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499" s="185" t="str">
        <x:f>IF(AND(B499="",C499="",E499=""),"",SUM($G$5:G499))</x:f>
        <x:v/>
      </x:c>
      <x:c r="K499" s="178"/>
      <x:c r="L499" s="46"/>
      <x:c r="M499" s="46"/>
    </x:row>
    <x:row r="500" ht="29" customHeight="1">
      <x:c r="A500" s="199">
        <x:v>496</x:v>
      </x:c>
      <x:c r="B500" s="162"/>
      <x:c r="C500" s="163"/>
      <x:c r="D500" s="163"/>
      <x:c r="E500" s="164"/>
      <x:c r="F500" s="163"/>
      <x:c r="G500" s="185">
        <x:f t="shared" si="14"/>
        <x:v>0</x:v>
      </x:c>
      <x:c r="H500" s="185">
        <x:f t="shared" si="15"/>
        <x:v>0</x:v>
      </x:c>
      <x:c r="I500" s="186">
        <x:f>IF(AND(B500="",C500="",D500="",E500="",F500=""),"",IF(OR(B500="",C500="",E500=""),"БЛОК: нужны дата, тип операции и сумма",IF(N(E500)&lt;=0,"БЛОК: сумма должна быть больше нуля",IF(AND(H500&lt;&gt;0,F500=""),"БЛОК: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отделить",IF(AND(G500&lt;&gt;0,F500=""),"БЛОК: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нельзя",IF(AND(F500&lt;&gt;"",COUNTIF('Долг по актам'!$B$5:$B$34,F500)=0),"БЛОК: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договору")&gt;0)*($C$5:$C$504&lt;&gt;C500)*($E$5:$E$504=E500)*(($D$5:$D$504=D500)*(D500&lt;&gt;"")+($B$5:$B$504=B500)*(B500&lt;&gt;"")&gt;0))&gt;0,"БЛОК: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операцию",IF(AND(C500="Оплата",K500&lt;&gt;"Отдельный платёж — не сам аванс (сверено с выпиской банка)",OR(COUNTIFS($C$5:$C$504,"Зачёт аванса по договору",$E$5:$E$504,E500)&gt;0,ROUND(E500-$M$6,2)=0)),"БЛОК: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00" s="185" t="str">
        <x:f>IF(AND(B500="",C500="",E500=""),"",SUM($G$5:G500))</x:f>
        <x:v/>
      </x:c>
      <x:c r="K500" s="178"/>
      <x:c r="L500" s="46"/>
      <x:c r="M500" s="46"/>
    </x:row>
    <x:row r="501" ht="29" customHeight="1">
      <x:c r="A501" s="199">
        <x:v>497</x:v>
      </x:c>
      <x:c r="B501" s="162"/>
      <x:c r="C501" s="163"/>
      <x:c r="D501" s="163"/>
      <x:c r="E501" s="164"/>
      <x:c r="F501" s="163"/>
      <x:c r="G501" s="185">
        <x:f t="shared" si="14"/>
        <x:v>0</x:v>
      </x:c>
      <x:c r="H501" s="185">
        <x:f t="shared" si="15"/>
        <x:v>0</x:v>
      </x:c>
      <x:c r="I501" s="186">
        <x:f>IF(AND(B501="",C501="",D501="",E501="",F501=""),"",IF(OR(B501="",C501="",E501=""),"БЛОК: нужны дата, тип операции и сумма",IF(N(E501)&lt;=0,"БЛОК: сумма должна быть больше нуля",IF(AND(H501&lt;&gt;0,F501=""),"БЛОК: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отделить",IF(AND(G501&lt;&gt;0,F501=""),"БЛОК: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нельзя",IF(AND(F501&lt;&gt;"",COUNTIF('Долг по актам'!$B$5:$B$34,F501)=0),"БЛОК: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договору")&gt;0)*($C$5:$C$504&lt;&gt;C501)*($E$5:$E$504=E501)*(($D$5:$D$504=D501)*(D501&lt;&gt;"")+($B$5:$B$504=B501)*(B501&lt;&gt;"")&gt;0))&gt;0,"БЛОК: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операцию",IF(AND(C501="Оплата",K501&lt;&gt;"Отдельный платёж — не сам аванс (сверено с выпиской банка)",OR(COUNTIFS($C$5:$C$504,"Зачёт аванса по договору",$E$5:$E$504,E501)&gt;0,ROUND(E501-$M$6,2)=0)),"БЛОК: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01" s="185" t="str">
        <x:f>IF(AND(B501="",C501="",E501=""),"",SUM($G$5:G501))</x:f>
        <x:v/>
      </x:c>
      <x:c r="K501" s="178"/>
      <x:c r="L501" s="46"/>
      <x:c r="M501" s="46"/>
    </x:row>
    <x:row r="502" ht="29" customHeight="1">
      <x:c r="A502" s="199">
        <x:v>498</x:v>
      </x:c>
      <x:c r="B502" s="162"/>
      <x:c r="C502" s="163"/>
      <x:c r="D502" s="163"/>
      <x:c r="E502" s="164"/>
      <x:c r="F502" s="163"/>
      <x:c r="G502" s="185">
        <x:f t="shared" si="14"/>
        <x:v>0</x:v>
      </x:c>
      <x:c r="H502" s="185">
        <x:f t="shared" si="15"/>
        <x:v>0</x:v>
      </x:c>
      <x:c r="I502" s="186">
        <x:f>IF(AND(B502="",C502="",D502="",E502="",F502=""),"",IF(OR(B502="",C502="",E502=""),"БЛОК: нужны дата, тип операции и сумма",IF(N(E502)&lt;=0,"БЛОК: сумма должна быть больше нуля",IF(AND(H502&lt;&gt;0,F502=""),"БЛОК: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отделить",IF(AND(G502&lt;&gt;0,F502=""),"БЛОК: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нельзя",IF(AND(F502&lt;&gt;"",COUNTIF('Долг по актам'!$B$5:$B$34,F502)=0),"БЛОК: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договору")&gt;0)*($C$5:$C$504&lt;&gt;C502)*($E$5:$E$504=E502)*(($D$5:$D$504=D502)*(D502&lt;&gt;"")+($B$5:$B$504=B502)*(B502&lt;&gt;"")&gt;0))&gt;0,"БЛОК: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операцию",IF(AND(C502="Оплата",K502&lt;&gt;"Отдельный платёж — не сам аванс (сверено с выпиской банка)",OR(COUNTIFS($C$5:$C$504,"Зачёт аванса по договору",$E$5:$E$504,E502)&gt;0,ROUND(E502-$M$6,2)=0)),"БЛОК: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02" s="185" t="str">
        <x:f>IF(AND(B502="",C502="",E502=""),"",SUM($G$5:G502))</x:f>
        <x:v/>
      </x:c>
      <x:c r="K502" s="178"/>
      <x:c r="L502" s="46"/>
      <x:c r="M502" s="46"/>
    </x:row>
    <x:row r="503" ht="29" customHeight="1">
      <x:c r="A503" s="199">
        <x:v>499</x:v>
      </x:c>
      <x:c r="B503" s="162"/>
      <x:c r="C503" s="163"/>
      <x:c r="D503" s="163"/>
      <x:c r="E503" s="164"/>
      <x:c r="F503" s="163"/>
      <x:c r="G503" s="185">
        <x:f t="shared" si="14"/>
        <x:v>0</x:v>
      </x:c>
      <x:c r="H503" s="185">
        <x:f t="shared" si="15"/>
        <x:v>0</x:v>
      </x:c>
      <x:c r="I503" s="186">
        <x:f>IF(AND(B503="",C503="",D503="",E503="",F503=""),"",IF(OR(B503="",C503="",E503=""),"БЛОК: нужны дата, тип операции и сумма",IF(N(E503)&lt;=0,"БЛОК: сумма должна быть больше нуля",IF(AND(H503&lt;&gt;0,F503=""),"БЛОК: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отделить",IF(AND(G503&lt;&gt;0,F503=""),"БЛОК: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нельзя",IF(AND(F503&lt;&gt;"",COUNTIF('Долг по актам'!$B$5:$B$34,F503)=0),"БЛОК: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договору")&gt;0)*($C$5:$C$504&lt;&gt;C503)*($E$5:$E$504=E503)*(($D$5:$D$504=D503)*(D503&lt;&gt;"")+($B$5:$B$504=B503)*(B503&lt;&gt;"")&gt;0))&gt;0,"БЛОК: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операцию",IF(AND(C503="Оплата",K503&lt;&gt;"Отдельный платёж — не сам аванс (сверено с выпиской банка)",OR(COUNTIFS($C$5:$C$504,"Зачёт аванса по договору",$E$5:$E$504,E503)&gt;0,ROUND(E503-$M$6,2)=0)),"БЛОК: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03" s="185" t="str">
        <x:f>IF(AND(B503="",C503="",E503=""),"",SUM($G$5:G503))</x:f>
        <x:v/>
      </x:c>
      <x:c r="K503" s="178"/>
      <x:c r="L503" s="46"/>
      <x:c r="M503" s="46"/>
    </x:row>
    <x:row r="504" ht="29" customHeight="1">
      <x:c r="A504" s="200">
        <x:v>500</x:v>
      </x:c>
      <x:c r="B504" s="165"/>
      <x:c r="C504" s="166"/>
      <x:c r="D504" s="166"/>
      <x:c r="E504" s="167"/>
      <x:c r="F504" s="166"/>
      <x:c r="G504" s="187">
        <x:f t="shared" si="14"/>
        <x:v>0</x:v>
      </x:c>
      <x:c r="H504" s="187">
        <x:f t="shared" si="15"/>
        <x:v>0</x:v>
      </x:c>
      <x:c r="I504" s="188">
        <x:f>IF(AND(B504="",C504="",D504="",E504="",F504=""),"",IF(OR(B504="",C504="",E504=""),"БЛОК: нужны дата, тип операции и сумма",IF(N(E504)&lt;=0,"БЛОК: сумма должна быть больше нуля",IF(AND(H504&lt;&gt;0,F504=""),"БЛОК: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отделить",IF(AND(G504&lt;&gt;0,F504=""),"БЛОК: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нельзя",IF(AND(F504&lt;&gt;"",COUNTIF('Долг по актам'!$B$5:$B$34,F504)=0),"БЛОК: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договору")&gt;0)*($C$5:$C$504&lt;&gt;C504)*($E$5:$E$504=E504)*(($D$5:$D$504=D504)*(D504&lt;&gt;"")+($B$5:$B$504=B504)*(B504&lt;&gt;"")&gt;0))&gt;0,"БЛОК: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операцию",IF(AND(C504="Оплата",K504&lt;&gt;"Отдельный платёж — не сам аванс (сверено с выпиской банка)",OR(COUNTIFS($C$5:$C$504,"Зачёт аванса по договору",$E$5:$E$504,E504)&gt;0,ROUND(E504-$M$6,2)=0)),"БЛОК: нужна сверка с авансом — сумма этой оплаты равна зачёту аванса. Если это сам авансовый платёж, удалите строку: аванс учитывается один раз, зачётом. "&amp;"Если это отдельный платёж, сверьте его с выпиской банка и выберите в колонке K «Отдельный платёж — не сам аванс (сверено с выпиской банка)»","ок"))))))))</x:f>
      </x:c>
      <x:c r="J504" s="187" t="str">
        <x:f>IF(AND(B504="",C504="",E504=""),"",SUM($G$5:G504))</x:f>
        <x:v/>
      </x:c>
      <x:c r="K504" s="179"/>
      <x:c r="L504" s="46"/>
      <x:c r="M504" s="46"/>
    </x:row>
  </x:sheetData>
  <x:mergeCells>
    <x:mergeCell ref="L18:M24"/>
    <x:mergeCell ref="A1:J1"/>
    <x:mergeCell ref="A2:J2"/>
    <x:mergeCell ref="K1:M1"/>
  </x:mergeCells>
  <x:conditionalFormatting sqref="I5:I504">
    <x:cfRule type="expression" dxfId="0" priority="1">
      <x:formula>LEFT($I5,4)="БЛОК"</x:formula>
    </x:cfRule>
  </x:conditionalFormatting>
  <x:dataValidations xmlns:xr="http://schemas.microsoft.com/office/spreadsheetml/2014/revision" count="2">
    <x:dataValidation type="list" allowBlank="1" errorTitle="Недопустимое значение" error="Выберите значение из списка" sqref="C5:C504" xr:uid="{00000000-0002-0000-0000-000000000000}">
      <x:formula1>"Начисление по акту,Оплата,Зачёт аванса по договору,Корректировка (подписана обеими сторонами),Удержание,Зачёт встречного требования,Неустойка заявлена,Допработы без соглашения (спорно)"</x:formula1>
    </x:dataValidation>
    <x:dataValidation sqref="K5:K504" showDropDown="0" showInputMessage="0" showErrorMessage="0" allowBlank="1" errorTitle="Недопустимое значение" error="Выберите значение из списка" type="list">
      <x:formula1>"Отдельный платёж — не сам аванс (сверено с выпиской банка)"</x:formula1>
    </x:dataValidation>
  </x:dataValidations>
  <x:pageMargins left="0.75" right="0.75" top="1" bottom="1" header="0.5" footer="0.5"/>
  <x:pageSetup paperSize="9" fitToHeight="0" orientation="landscape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 tabSelected="0"/>
  </x:sheetViews>
  <x:sheetFormatPr defaultRowHeight="14.399999618530273"/>
  <x:cols>
    <x:col min="1" max="1" width="5" hidden="0" customWidth="1"/>
    <x:col min="2" max="2" width="21" hidden="0" customWidth="1"/>
    <x:col min="3" max="3" width="27" hidden="0" customWidth="1"/>
    <x:col min="4" max="4" width="22" hidden="0" customWidth="1"/>
    <x:col min="5" max="5" width="18" hidden="0" customWidth="1"/>
    <x:col min="6" max="9" width="18" customWidth="1"/>
    <x:col min="10" max="10" width="28" hidden="0" customWidth="1"/>
    <x:col min="11" max="11" width="26" hidden="0" customWidth="1"/>
    <x:col min="12" max="12" width="26" hidden="0" customWidth="1"/>
    <x:col min="13" max="13" width="29" hidden="0" customWidth="1"/>
    <x:col min="14" max="14" width="38" hidden="0" customWidth="1"/>
    <x:col min="15" max="15" width="26" hidden="0" customWidth="1"/>
    <x:col min="16" max="16" width="3" hidden="0" customWidth="1"/>
    <x:col min="17" max="17" width="49" hidden="0" customWidth="1"/>
    <x:col min="18" max="18" width="26" hidden="0" customWidth="1"/>
    <x:col min="6" max="6" width="21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8" customHeight="1">
      <x:c r="A1" s="75" t="inlineStr">
        <x:is>
          <x:t>Долг по актам: что переносить в расчёт процентов</x:t>
        </x:is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  <x:c r="Q1" s="76"/>
      <x:c r="R1" s="76"/>
    </x:row>
    <x:row r="2" ht="72" customHeight="1">
      <x:c r="A2" s="89" t="inlineStr">
        <x:is>
          <x:t>Одна строка — один акт (или часть долга) со своим сроком оплаты. Начисления, оплаты, зачёты и спорные операции берутся из листа «Взаиморасчёты» по идентификатору акта. Колонка H — общий долг на первый день просрочки, колонка I — спорная часть по акту (удержание, зачёт встречного требования, неустойка, допработы без соглашения). В файл 08, лист «Акты», переносится только бесспорная часть: колонка J — бесспорный долг на первый день просрочки (в колонку D файла 08), колонка M — текущий бесспорный остаток (в колонку F файла 08, для сверки). Проценты на спорную часть книга не считает ни за какой период. Оплаты, поступившие в первый день просрочки и позже, переносятся в файл 08, лист «Оплаты», с тем же идентификатором акта.</x:t>
        </x:is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46"/>
      <x:c r="Q2" s="46"/>
      <x:c r="R2" s="46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</x:row>
    <x:row r="4" ht="88" customHeight="1">
      <x:c r="A4" s="83" t="inlineStr">
        <x:is>
          <x:t>№</x:t>
        </x:is>
      </x:c>
      <x:c r="B4" s="83" t="inlineStr">
        <x:is>
          <x:t>Акт (идентификатор)</x:t>
        </x:is>
      </x:c>
      <x:c r="C4" s="83" t="inlineStr">
        <x:is>
          <x:t>Документ (КС-2 / акт: №, дата)</x:t>
        </x:is>
      </x:c>
      <x:c r="D4" s="83" t="inlineStr">
        <x:is>
          <x:t>Последний день срока оплаты по этому акту</x:t>
        </x:is>
      </x:c>
      <x:c r="E4" s="83" t="inlineStr">
        <x:is>
          <x:t>Первый день просрочки</x:t>
        </x:is>
      </x:c>
      <x:c r="F4" s="83" t="inlineStr">
        <x:is>
          <x:t>Начислено и скорректировано, руб.</x:t>
        </x:is>
      </x:c>
      <x:c r="G4" s="83" t="inlineStr">
        <x:is>
          <x:t>Оплачено и зачтено до первого дня просрочки, руб.</x:t>
        </x:is>
      </x:c>
      <x:c r="H4" s="83" t="inlineStr">
        <x:is>
          <x:t>Общий на первый день просрочки, руб.</x:t>
        </x:is>
      </x:c>
      <x:c r="I4" s="83" t="inlineStr">
        <x:is>
          <x:t>Спорно по акту, руб. (в расчёт и претензию не идёт)</x:t>
        </x:is>
      </x:c>
      <x:c r="J4" s="83" t="inlineStr">
        <x:is>
          <x:t>Бесспорный на первый день просрочки, руб. → файл 08, «Акты», колонка D</x:t>
        </x:is>
      </x:c>
      <x:c r="K4" s="83" t="inlineStr">
        <x:is>
          <x:t>Оплачено с первого дня просрочки, руб. → файл 08, «Оплаты»</x:t>
        </x:is>
      </x:c>
      <x:c r="L4" s="83" t="inlineStr">
        <x:is>
          <x:t>Текущий общий остаток по акту, руб. → акт сверки</x:t>
        </x:is>
      </x:c>
      <x:c r="M4" s="83" t="inlineStr">
        <x:is>
          <x:t>Текущий бесспорный остаток, руб. → файл 08, «Акты», колонка F (сверка); акт сверки</x:t>
        </x:is>
      </x:c>
      <x:c r="N4" s="83" t="inlineStr">
        <x:is>
          <x:t>Проверка</x:t>
        </x:is>
      </x:c>
      <x:c r="O4" s="83" t="inlineStr">
        <x:is>
          <x:t>Переносить в файл 08</x:t>
        </x:is>
      </x:c>
      <x:c r="P4" s="46"/>
      <x:c r="Q4" s="208" t="inlineStr">
        <x:is>
          <x:t>Актов к переносу в файл 08</x:t>
        </x:is>
      </x:c>
      <x:c r="R4" s="209">
        <x:f>COUNTIF(O5:O34,"да")</x:f>
        <x:v>0</x:v>
      </x:c>
    </x:row>
    <x:row r="5" ht="35" customHeight="1">
      <x:c r="A5" s="256">
        <x:v>1</x:v>
      </x:c>
      <x:c r="B5" s="160"/>
      <x:c r="C5" s="160"/>
      <x:c r="D5" s="159"/>
      <x:c r="E5" s="257" t="str">
        <x:f t="shared" ref="E5:E34" si="0">IF(ISNUMBER(D5),D5+1,"")</x:f>
        <x:v/>
      </x:c>
      <x:c r="F5" s="183" t="str">
        <x:f>IF(B5="","",SUMIFS(Взаиморасчёты!$E$5:$E$504,Взаиморасчёты!$C$5:$C$504,"Начисление по акту",Взаиморасчёты!$F$5:$F$504,B5)+SUMIFS(Взаиморасчёты!$E$5:$E$504,Взаиморасчёты!$C$5:$C$504,"Корректировка (подписана обеими сторонами)",Взаиморасчёты!$F$5:$F$504,B5))</x:f>
        <x:v/>
      </x:c>
      <x:c r="G5" s="183" t="str">
        <x:f>IF(OR(B5="",E5=""),"",SUMIFS(Взаиморасчёты!$E$5:$E$504,Взаиморасчёты!$C$5:$C$504,"Оплата",Взаиморасчёты!$F$5:$F$504,B5,Взаиморасчёты!$B$5:$B$504,"&lt;"&amp;E5)+SUMIFS(Взаиморасчёты!$E$5:$E$504,Взаиморасчёты!$C$5:$C$504,"Зачёт аванса по договору",Взаиморасчёты!$F$5:$F$504,B5,Взаиморасчёты!$B$5:$B$504,"&lt;"&amp;E5))</x:f>
        <x:v/>
      </x:c>
      <x:c r="H5" s="183" t="str">
        <x:f>IF(OR(B5="",E5=""),"",IF(NOT(ISNUMBER(Взаиморасчёты!$M$10)),"ЗАБЛОКИРОВАН",F5-G5))</x:f>
        <x:v/>
      </x:c>
      <x:c r="I5" s="183" t="str">
        <x:f>IF(B5="","",SUMIFS(Взаиморасчёты!$H$5:$H$504,Взаиморасчёты!$F$5:$F$504,B5))</x:f>
        <x:v/>
      </x:c>
      <x:c r="J5" s="280" t="str">
        <x:f t="shared" ref="J5:J34" si="1">IF(OR(B5="",E5=""),"",IF(OR(NOT(ISNUMBER(L5)),N(I5)&gt;N(L5)),"ЗАБЛОКИРОВАН",H5-I5))</x:f>
        <x:v/>
      </x:c>
      <x:c r="K5" s="183" t="str">
        <x:f>IF(OR(B5="",E5=""),"",SUMIFS(Взаиморасчёты!$E$5:$E$504,Взаиморасчёты!$C$5:$C$504,"Оплата",Взаиморасчёты!$F$5:$F$504,B5,Взаиморасчёты!$B$5:$B$504,"&gt;="&amp;E5)+SUMIFS(Взаиморасчёты!$E$5:$E$504,Взаиморасчёты!$C$5:$C$504,"Зачёт аванса по договору",Взаиморасчёты!$F$5:$F$504,B5,Взаиморасчёты!$B$5:$B$504,"&gt;="&amp;E5))</x:f>
        <x:v/>
      </x:c>
      <x:c r="L5" s="183" t="str">
        <x:f t="shared" ref="L5:L34" si="2">IF(OR(B5="",E5=""),"",IF(NOT(ISNUMBER(H5)),"ЗАБЛОКИРОВАН",H5-K5))</x:f>
        <x:v/>
      </x:c>
      <x:c r="M5" s="280" t="str">
        <x:f t="shared" ref="M5:M34" si="3">IF(OR(B5="",E5=""),"",IF(OR(NOT(ISNUMBER(L5)),N(I5)&gt;N(L5)),"ЗАБЛОКИРОВАН",L5-I5))</x:f>
        <x:v/>
      </x:c>
      <x:c r="N5" s="184" t="str">
        <x:f>IF(AND(B5="",C5="",D5=""),"",IF(B5="","БЛОК: нужен идентификатор акта — по нему распределяются оплаты",IF(COUNTIF($B$5:$B$34,B5)&gt;1,"БЛОК: идентификатор акта повторяется — оплату нельзя отнести однозначно",IF(NOT(ISNUMBER(D5)),"БЛОК: нужен последний день срока оплаты по этому акту",IF(COUNTIF(Взаиморасчёты!$F$5:$F$504,B5)=0,"БЛОК: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переносится",IF(N(H5)&lt;0,"БЛОК: до первого дня просрочки оплачено и зачтено больше, чем начислено по акту — проверьте распределение",IF(N(L5)&lt;0,"БЛОК: оплаты с первого дня просрочки больше долга на первый день просрочки — проверьте распределение",IF(N(I5)&gt;N(L5),"БЛОК: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5" s="258" t="str">
        <x:f t="shared" ref="O5:O34" si="4">IF(OR(B5="",N5&lt;&gt;"ок"),"",IF(N(J5)&gt;0,"да","нет: бесспорного долга на первый день просрочки нет"))</x:f>
        <x:v/>
      </x:c>
      <x:c r="P5" s="46"/>
      <x:c r="Q5" s="210" t="inlineStr">
        <x:is>
          <x:t>Строк с ошибкой в колонке «Проверка»</x:t>
        </x:is>
      </x:c>
      <x:c r="R5" s="211">
        <x:f>COUNTIF(N5:N34,"БЛОК*")</x:f>
        <x:v>0</x:v>
      </x:c>
    </x:row>
    <x:row r="6" ht="35" customHeight="1">
      <x:c r="A6" s="259">
        <x:v>2</x:v>
      </x:c>
      <x:c r="B6" s="163"/>
      <x:c r="C6" s="163"/>
      <x:c r="D6" s="162"/>
      <x:c r="E6" s="260" t="str">
        <x:f t="shared" si="0"/>
        <x:v/>
      </x:c>
      <x:c r="F6" s="185" t="str">
        <x:f>IF(B6="","",SUMIFS(Взаиморасчёты!$E$5:$E$504,Взаиморасчёты!$C$5:$C$504,"Начисление по акту",Взаиморасчёты!$F$5:$F$504,B6)+SUMIFS(Взаиморасчёты!$E$5:$E$504,Взаиморасчёты!$C$5:$C$504,"Корректировка (подписана обеими сторонами)",Взаиморасчёты!$F$5:$F$504,B6))</x:f>
        <x:v/>
      </x:c>
      <x:c r="G6" s="185" t="str">
        <x:f>IF(OR(B6="",E6=""),"",SUMIFS(Взаиморасчёты!$E$5:$E$504,Взаиморасчёты!$C$5:$C$504,"Оплата",Взаиморасчёты!$F$5:$F$504,B6,Взаиморасчёты!$B$5:$B$504,"&lt;"&amp;E6)+SUMIFS(Взаиморасчёты!$E$5:$E$504,Взаиморасчёты!$C$5:$C$504,"Зачёт аванса по договору",Взаиморасчёты!$F$5:$F$504,B6,Взаиморасчёты!$B$5:$B$504,"&lt;"&amp;E6))</x:f>
        <x:v/>
      </x:c>
      <x:c r="H6" s="185" t="str">
        <x:f>IF(OR(B6="",E6=""),"",IF(NOT(ISNUMBER(Взаиморасчёты!$M$10)),"ЗАБЛОКИРОВАН",F6-G6))</x:f>
        <x:v/>
      </x:c>
      <x:c r="I6" s="185" t="str">
        <x:f>IF(B6="","",SUMIFS(Взаиморасчёты!$H$5:$H$504,Взаиморасчёты!$F$5:$F$504,B6))</x:f>
        <x:v/>
      </x:c>
      <x:c r="J6" s="281" t="str">
        <x:f t="shared" si="1"/>
        <x:v/>
      </x:c>
      <x:c r="K6" s="185" t="str">
        <x:f>IF(OR(B6="",E6=""),"",SUMIFS(Взаиморасчёты!$E$5:$E$504,Взаиморасчёты!$C$5:$C$504,"Оплата",Взаиморасчёты!$F$5:$F$504,B6,Взаиморасчёты!$B$5:$B$504,"&gt;="&amp;E6)+SUMIFS(Взаиморасчёты!$E$5:$E$504,Взаиморасчёты!$C$5:$C$504,"Зачёт аванса по договору",Взаиморасчёты!$F$5:$F$504,B6,Взаиморасчёты!$B$5:$B$504,"&gt;="&amp;E6))</x:f>
        <x:v/>
      </x:c>
      <x:c r="L6" s="185" t="str">
        <x:f t="shared" si="2"/>
        <x:v/>
      </x:c>
      <x:c r="M6" s="281" t="str">
        <x:f t="shared" si="3"/>
        <x:v/>
      </x:c>
      <x:c r="N6" s="186" t="str">
        <x:f>IF(AND(B6="",C6="",D6=""),"",IF(B6="","БЛОК: нужен идентификатор акта — по нему распределяются оплаты",IF(COUNTIF($B$5:$B$34,B6)&gt;1,"БЛОК: идентификатор акта повторяется — оплату нельзя отнести однозначно",IF(NOT(ISNUMBER(D6)),"БЛОК: нужен последний день срока оплаты по этому акту",IF(COUNTIF(Взаиморасчёты!$F$5:$F$504,B6)=0,"БЛОК: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переносится",IF(N(H6)&lt;0,"БЛОК: до первого дня просрочки оплачено и зачтено больше, чем начислено по акту — проверьте распределение",IF(N(L6)&lt;0,"БЛОК: оплаты с первого дня просрочки больше долга на первый день просрочки — проверьте распределение",IF(N(I6)&gt;N(L6),"БЛОК: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6" s="261" t="str">
        <x:f t="shared" si="4"/>
        <x:v/>
      </x:c>
      <x:c r="P6" s="46"/>
      <x:c r="Q6" s="210" t="inlineStr">
        <x:is>
          <x:t>Записей ниже таблицы (не учтены)</x:t>
        </x:is>
      </x:c>
      <x:c r="R6" s="211">
        <x:f>COUNTA(A35:O1000)</x:f>
        <x:v>0</x:v>
      </x:c>
    </x:row>
    <x:row r="7" ht="35" customHeight="1">
      <x:c r="A7" s="259">
        <x:v>3</x:v>
      </x:c>
      <x:c r="B7" s="163"/>
      <x:c r="C7" s="163"/>
      <x:c r="D7" s="162"/>
      <x:c r="E7" s="260" t="str">
        <x:f t="shared" si="0"/>
        <x:v/>
      </x:c>
      <x:c r="F7" s="185" t="str">
        <x:f>IF(B7="","",SUMIFS(Взаиморасчёты!$E$5:$E$504,Взаиморасчёты!$C$5:$C$504,"Начисление по акту",Взаиморасчёты!$F$5:$F$504,B7)+SUMIFS(Взаиморасчёты!$E$5:$E$504,Взаиморасчёты!$C$5:$C$504,"Корректировка (подписана обеими сторонами)",Взаиморасчёты!$F$5:$F$504,B7))</x:f>
        <x:v/>
      </x:c>
      <x:c r="G7" s="185" t="str">
        <x:f>IF(OR(B7="",E7=""),"",SUMIFS(Взаиморасчёты!$E$5:$E$504,Взаиморасчёты!$C$5:$C$504,"Оплата",Взаиморасчёты!$F$5:$F$504,B7,Взаиморасчёты!$B$5:$B$504,"&lt;"&amp;E7)+SUMIFS(Взаиморасчёты!$E$5:$E$504,Взаиморасчёты!$C$5:$C$504,"Зачёт аванса по договору",Взаиморасчёты!$F$5:$F$504,B7,Взаиморасчёты!$B$5:$B$504,"&lt;"&amp;E7))</x:f>
        <x:v/>
      </x:c>
      <x:c r="H7" s="185" t="str">
        <x:f>IF(OR(B7="",E7=""),"",IF(NOT(ISNUMBER(Взаиморасчёты!$M$10)),"ЗАБЛОКИРОВАН",F7-G7))</x:f>
        <x:v/>
      </x:c>
      <x:c r="I7" s="185" t="str">
        <x:f>IF(B7="","",SUMIFS(Взаиморасчёты!$H$5:$H$504,Взаиморасчёты!$F$5:$F$504,B7))</x:f>
        <x:v/>
      </x:c>
      <x:c r="J7" s="281" t="str">
        <x:f t="shared" si="1"/>
        <x:v/>
      </x:c>
      <x:c r="K7" s="185" t="str">
        <x:f>IF(OR(B7="",E7=""),"",SUMIFS(Взаиморасчёты!$E$5:$E$504,Взаиморасчёты!$C$5:$C$504,"Оплата",Взаиморасчёты!$F$5:$F$504,B7,Взаиморасчёты!$B$5:$B$504,"&gt;="&amp;E7)+SUMIFS(Взаиморасчёты!$E$5:$E$504,Взаиморасчёты!$C$5:$C$504,"Зачёт аванса по договору",Взаиморасчёты!$F$5:$F$504,B7,Взаиморасчёты!$B$5:$B$504,"&gt;="&amp;E7))</x:f>
        <x:v/>
      </x:c>
      <x:c r="L7" s="185" t="str">
        <x:f t="shared" si="2"/>
        <x:v/>
      </x:c>
      <x:c r="M7" s="281" t="str">
        <x:f t="shared" si="3"/>
        <x:v/>
      </x:c>
      <x:c r="N7" s="186" t="str">
        <x:f>IF(AND(B7="",C7="",D7=""),"",IF(B7="","БЛОК: нужен идентификатор акта — по нему распределяются оплаты",IF(COUNTIF($B$5:$B$34,B7)&gt;1,"БЛОК: идентификатор акта повторяется — оплату нельзя отнести однозначно",IF(NOT(ISNUMBER(D7)),"БЛОК: нужен последний день срока оплаты по этому акту",IF(COUNTIF(Взаиморасчёты!$F$5:$F$504,B7)=0,"БЛОК: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переносится",IF(N(H7)&lt;0,"БЛОК: до первого дня просрочки оплачено и зачтено больше, чем начислено по акту — проверьте распределение",IF(N(L7)&lt;0,"БЛОК: оплаты с первого дня просрочки больше долга на первый день просрочки — проверьте распределение",IF(N(I7)&gt;N(L7),"БЛОК: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7" s="261" t="str">
        <x:f t="shared" si="4"/>
        <x:v/>
      </x:c>
      <x:c r="P7" s="46"/>
      <x:c r="Q7" s="210" t="inlineStr">
        <x:is>
          <x:t>Общий долг на первый день просрочки, всего по переносимым актам, руб.</x:t>
        </x:is>
      </x:c>
      <x:c r="R7" s="211">
        <x:f>IF(OR(R5&gt;0,R6&gt;0),"ИТОГ ЗАБЛОКИРОВАН: см. колонку «Проверка»",SUMIF(O5:O34,"да",H5:H34))</x:f>
        <x:v>0</x:v>
      </x:c>
    </x:row>
    <x:row r="8" ht="35" customHeight="1">
      <x:c r="A8" s="259">
        <x:v>4</x:v>
      </x:c>
      <x:c r="B8" s="163"/>
      <x:c r="C8" s="163"/>
      <x:c r="D8" s="162"/>
      <x:c r="E8" s="260" t="str">
        <x:f t="shared" si="0"/>
        <x:v/>
      </x:c>
      <x:c r="F8" s="185" t="str">
        <x:f>IF(B8="","",SUMIFS(Взаиморасчёты!$E$5:$E$504,Взаиморасчёты!$C$5:$C$504,"Начисление по акту",Взаиморасчёты!$F$5:$F$504,B8)+SUMIFS(Взаиморасчёты!$E$5:$E$504,Взаиморасчёты!$C$5:$C$504,"Корректировка (подписана обеими сторонами)",Взаиморасчёты!$F$5:$F$504,B8))</x:f>
        <x:v/>
      </x:c>
      <x:c r="G8" s="185" t="str">
        <x:f>IF(OR(B8="",E8=""),"",SUMIFS(Взаиморасчёты!$E$5:$E$504,Взаиморасчёты!$C$5:$C$504,"Оплата",Взаиморасчёты!$F$5:$F$504,B8,Взаиморасчёты!$B$5:$B$504,"&lt;"&amp;E8)+SUMIFS(Взаиморасчёты!$E$5:$E$504,Взаиморасчёты!$C$5:$C$504,"Зачёт аванса по договору",Взаиморасчёты!$F$5:$F$504,B8,Взаиморасчёты!$B$5:$B$504,"&lt;"&amp;E8))</x:f>
        <x:v/>
      </x:c>
      <x:c r="H8" s="185" t="str">
        <x:f>IF(OR(B8="",E8=""),"",IF(NOT(ISNUMBER(Взаиморасчёты!$M$10)),"ЗАБЛОКИРОВАН",F8-G8))</x:f>
        <x:v/>
      </x:c>
      <x:c r="I8" s="185" t="str">
        <x:f>IF(B8="","",SUMIFS(Взаиморасчёты!$H$5:$H$504,Взаиморасчёты!$F$5:$F$504,B8))</x:f>
        <x:v/>
      </x:c>
      <x:c r="J8" s="281" t="str">
        <x:f t="shared" si="1"/>
        <x:v/>
      </x:c>
      <x:c r="K8" s="185" t="str">
        <x:f>IF(OR(B8="",E8=""),"",SUMIFS(Взаиморасчёты!$E$5:$E$504,Взаиморасчёты!$C$5:$C$504,"Оплата",Взаиморасчёты!$F$5:$F$504,B8,Взаиморасчёты!$B$5:$B$504,"&gt;="&amp;E8)+SUMIFS(Взаиморасчёты!$E$5:$E$504,Взаиморасчёты!$C$5:$C$504,"Зачёт аванса по договору",Взаиморасчёты!$F$5:$F$504,B8,Взаиморасчёты!$B$5:$B$504,"&gt;="&amp;E8))</x:f>
        <x:v/>
      </x:c>
      <x:c r="L8" s="185" t="str">
        <x:f t="shared" si="2"/>
        <x:v/>
      </x:c>
      <x:c r="M8" s="281" t="str">
        <x:f t="shared" si="3"/>
        <x:v/>
      </x:c>
      <x:c r="N8" s="186" t="str">
        <x:f>IF(AND(B8="",C8="",D8=""),"",IF(B8="","БЛОК: нужен идентификатор акта — по нему распределяются оплаты",IF(COUNTIF($B$5:$B$34,B8)&gt;1,"БЛОК: идентификатор акта повторяется — оплату нельзя отнести однозначно",IF(NOT(ISNUMBER(D8)),"БЛОК: нужен последний день срока оплаты по этому акту",IF(COUNTIF(Взаиморасчёты!$F$5:$F$504,B8)=0,"БЛОК: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переносится",IF(N(H8)&lt;0,"БЛОК: до первого дня просрочки оплачено и зачтено больше, чем начислено по акту — проверьте распределение",IF(N(L8)&lt;0,"БЛОК: оплаты с первого дня просрочки больше долга на первый день просрочки — проверьте распределение",IF(N(I8)&gt;N(L8),"БЛОК: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8" s="261" t="str">
        <x:f t="shared" si="4"/>
        <x:v/>
      </x:c>
      <x:c r="P8" s="46"/>
      <x:c r="Q8" s="210" t="inlineStr">
        <x:is>
          <x:t>Спорно, всего по переносимым актам, руб.</x:t>
        </x:is>
      </x:c>
      <x:c r="R8" s="211">
        <x:f>IF(OR(R5&gt;0,R6&gt;0),"ИТОГ ЗАБЛОКИРОВАН: см. колонку «Проверка»",SUMIF(O5:O34,"да",I5:I34))</x:f>
        <x:v>0</x:v>
      </x:c>
    </x:row>
    <x:row r="9" ht="35" customHeight="1">
      <x:c r="A9" s="259">
        <x:v>5</x:v>
      </x:c>
      <x:c r="B9" s="163"/>
      <x:c r="C9" s="163"/>
      <x:c r="D9" s="162"/>
      <x:c r="E9" s="260" t="str">
        <x:f t="shared" si="0"/>
        <x:v/>
      </x:c>
      <x:c r="F9" s="185" t="str">
        <x:f>IF(B9="","",SUMIFS(Взаиморасчёты!$E$5:$E$504,Взаиморасчёты!$C$5:$C$504,"Начисление по акту",Взаиморасчёты!$F$5:$F$504,B9)+SUMIFS(Взаиморасчёты!$E$5:$E$504,Взаиморасчёты!$C$5:$C$504,"Корректировка (подписана обеими сторонами)",Взаиморасчёты!$F$5:$F$504,B9))</x:f>
        <x:v/>
      </x:c>
      <x:c r="G9" s="185" t="str">
        <x:f>IF(OR(B9="",E9=""),"",SUMIFS(Взаиморасчёты!$E$5:$E$504,Взаиморасчёты!$C$5:$C$504,"Оплата",Взаиморасчёты!$F$5:$F$504,B9,Взаиморасчёты!$B$5:$B$504,"&lt;"&amp;E9)+SUMIFS(Взаиморасчёты!$E$5:$E$504,Взаиморасчёты!$C$5:$C$504,"Зачёт аванса по договору",Взаиморасчёты!$F$5:$F$504,B9,Взаиморасчёты!$B$5:$B$504,"&lt;"&amp;E9))</x:f>
        <x:v/>
      </x:c>
      <x:c r="H9" s="185" t="str">
        <x:f>IF(OR(B9="",E9=""),"",IF(NOT(ISNUMBER(Взаиморасчёты!$M$10)),"ЗАБЛОКИРОВАН",F9-G9))</x:f>
        <x:v/>
      </x:c>
      <x:c r="I9" s="185" t="str">
        <x:f>IF(B9="","",SUMIFS(Взаиморасчёты!$H$5:$H$504,Взаиморасчёты!$F$5:$F$504,B9))</x:f>
        <x:v/>
      </x:c>
      <x:c r="J9" s="281" t="str">
        <x:f t="shared" si="1"/>
        <x:v/>
      </x:c>
      <x:c r="K9" s="185" t="str">
        <x:f>IF(OR(B9="",E9=""),"",SUMIFS(Взаиморасчёты!$E$5:$E$504,Взаиморасчёты!$C$5:$C$504,"Оплата",Взаиморасчёты!$F$5:$F$504,B9,Взаиморасчёты!$B$5:$B$504,"&gt;="&amp;E9)+SUMIFS(Взаиморасчёты!$E$5:$E$504,Взаиморасчёты!$C$5:$C$504,"Зачёт аванса по договору",Взаиморасчёты!$F$5:$F$504,B9,Взаиморасчёты!$B$5:$B$504,"&gt;="&amp;E9))</x:f>
        <x:v/>
      </x:c>
      <x:c r="L9" s="185" t="str">
        <x:f t="shared" si="2"/>
        <x:v/>
      </x:c>
      <x:c r="M9" s="281" t="str">
        <x:f t="shared" si="3"/>
        <x:v/>
      </x:c>
      <x:c r="N9" s="186" t="str">
        <x:f>IF(AND(B9="",C9="",D9=""),"",IF(B9="","БЛОК: нужен идентификатор акта — по нему распределяются оплаты",IF(COUNTIF($B$5:$B$34,B9)&gt;1,"БЛОК: идентификатор акта повторяется — оплату нельзя отнести однозначно",IF(NOT(ISNUMBER(D9)),"БЛОК: нужен последний день срока оплаты по этому акту",IF(COUNTIF(Взаиморасчёты!$F$5:$F$504,B9)=0,"БЛОК: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переносится",IF(N(H9)&lt;0,"БЛОК: до первого дня просрочки оплачено и зачтено больше, чем начислено по акту — проверьте распределение",IF(N(L9)&lt;0,"БЛОК: оплаты с первого дня просрочки больше долга на первый день просрочки — проверьте распределение",IF(N(I9)&gt;N(L9),"БЛОК: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9" s="261" t="str">
        <x:f t="shared" si="4"/>
        <x:v/>
      </x:c>
      <x:c r="P9" s="46"/>
      <x:c r="Q9" s="221" t="inlineStr">
        <x:is>
          <x:t>БЕССПОРНЫЙ ДОЛГ НА ПЕРВЫЙ ДЕНЬ ПРОСРОЧКИ, всего по переносимым актам, руб.</x:t>
        </x:is>
      </x:c>
      <x:c r="R9" s="223">
        <x:f>IF(OR(R5&gt;0,R6&gt;0),"ИТОГ ЗАБЛОКИРОВАН: см. колонку «Проверка»",SUMIF(O5:O34,"да",J5:J34))</x:f>
        <x:v>0</x:v>
      </x:c>
    </x:row>
    <x:row r="10" ht="35" customHeight="1">
      <x:c r="A10" s="259">
        <x:v>6</x:v>
      </x:c>
      <x:c r="B10" s="163"/>
      <x:c r="C10" s="163"/>
      <x:c r="D10" s="162"/>
      <x:c r="E10" s="260" t="str">
        <x:f t="shared" si="0"/>
        <x:v/>
      </x:c>
      <x:c r="F10" s="185" t="str">
        <x:f>IF(B10="","",SUMIFS(Взаиморасчёты!$E$5:$E$504,Взаиморасчёты!$C$5:$C$504,"Начисление по акту",Взаиморасчёты!$F$5:$F$504,B10)+SUMIFS(Взаиморасчёты!$E$5:$E$504,Взаиморасчёты!$C$5:$C$504,"Корректировка (подписана обеими сторонами)",Взаиморасчёты!$F$5:$F$504,B10))</x:f>
        <x:v/>
      </x:c>
      <x:c r="G10" s="185" t="str">
        <x:f>IF(OR(B10="",E10=""),"",SUMIFS(Взаиморасчёты!$E$5:$E$504,Взаиморасчёты!$C$5:$C$504,"Оплата",Взаиморасчёты!$F$5:$F$504,B10,Взаиморасчёты!$B$5:$B$504,"&lt;"&amp;E10)+SUMIFS(Взаиморасчёты!$E$5:$E$504,Взаиморасчёты!$C$5:$C$504,"Зачёт аванса по договору",Взаиморасчёты!$F$5:$F$504,B10,Взаиморасчёты!$B$5:$B$504,"&lt;"&amp;E10))</x:f>
        <x:v/>
      </x:c>
      <x:c r="H10" s="185" t="str">
        <x:f>IF(OR(B10="",E10=""),"",IF(NOT(ISNUMBER(Взаиморасчёты!$M$10)),"ЗАБЛОКИРОВАН",F10-G10))</x:f>
        <x:v/>
      </x:c>
      <x:c r="I10" s="185" t="str">
        <x:f>IF(B10="","",SUMIFS(Взаиморасчёты!$H$5:$H$504,Взаиморасчёты!$F$5:$F$504,B10))</x:f>
        <x:v/>
      </x:c>
      <x:c r="J10" s="281" t="str">
        <x:f t="shared" si="1"/>
        <x:v/>
      </x:c>
      <x:c r="K10" s="185" t="str">
        <x:f>IF(OR(B10="",E10=""),"",SUMIFS(Взаиморасчёты!$E$5:$E$504,Взаиморасчёты!$C$5:$C$504,"Оплата",Взаиморасчёты!$F$5:$F$504,B10,Взаиморасчёты!$B$5:$B$504,"&gt;="&amp;E10)+SUMIFS(Взаиморасчёты!$E$5:$E$504,Взаиморасчёты!$C$5:$C$504,"Зачёт аванса по договору",Взаиморасчёты!$F$5:$F$504,B10,Взаиморасчёты!$B$5:$B$504,"&gt;="&amp;E10))</x:f>
        <x:v/>
      </x:c>
      <x:c r="L10" s="185" t="str">
        <x:f t="shared" si="2"/>
        <x:v/>
      </x:c>
      <x:c r="M10" s="281" t="str">
        <x:f t="shared" si="3"/>
        <x:v/>
      </x:c>
      <x:c r="N10" s="186" t="str">
        <x:f>IF(AND(B10="",C10="",D10=""),"",IF(B10="","БЛОК: нужен идентификатор акта — по нему распределяются оплаты",IF(COUNTIF($B$5:$B$34,B10)&gt;1,"БЛОК: идентификатор акта повторяется — оплату нельзя отнести однозначно",IF(NOT(ISNUMBER(D10)),"БЛОК: нужен последний день срока оплаты по этому акту",IF(COUNTIF(Взаиморасчёты!$F$5:$F$504,B10)=0,"БЛОК: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переносится",IF(N(H10)&lt;0,"БЛОК: до первого дня просрочки оплачено и зачтено больше, чем начислено по акту — проверьте распределение",IF(N(L10)&lt;0,"БЛОК: оплаты с первого дня просрочки больше долга на первый день просрочки — проверьте распределение",IF(N(I10)&gt;N(L10),"БЛОК: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0" s="261" t="str">
        <x:f t="shared" si="4"/>
        <x:v/>
      </x:c>
      <x:c r="P10" s="46"/>
      <x:c r="Q10" s="289" t="inlineStr">
        <x:is>
          <x:t>Текущий бесспорный остаток, всего по переносимым актам, руб.</x:t>
        </x:is>
      </x:c>
      <x:c r="R10" s="291">
        <x:f>IF(OR(R5&gt;0,R6&gt;0),"ИТОГ ЗАБЛОКИРОВАН: см. колонку «Проверка»",SUMIF(O5:O34,"да",M5:M34))</x:f>
        <x:v>0</x:v>
      </x:c>
    </x:row>
    <x:row r="11" ht="35" customHeight="1">
      <x:c r="A11" s="259">
        <x:v>7</x:v>
      </x:c>
      <x:c r="B11" s="163"/>
      <x:c r="C11" s="163"/>
      <x:c r="D11" s="162"/>
      <x:c r="E11" s="260" t="str">
        <x:f t="shared" si="0"/>
        <x:v/>
      </x:c>
      <x:c r="F11" s="185" t="str">
        <x:f>IF(B11="","",SUMIFS(Взаиморасчёты!$E$5:$E$504,Взаиморасчёты!$C$5:$C$504,"Начисление по акту",Взаиморасчёты!$F$5:$F$504,B11)+SUMIFS(Взаиморасчёты!$E$5:$E$504,Взаиморасчёты!$C$5:$C$504,"Корректировка (подписана обеими сторонами)",Взаиморасчёты!$F$5:$F$504,B11))</x:f>
        <x:v/>
      </x:c>
      <x:c r="G11" s="185" t="str">
        <x:f>IF(OR(B11="",E11=""),"",SUMIFS(Взаиморасчёты!$E$5:$E$504,Взаиморасчёты!$C$5:$C$504,"Оплата",Взаиморасчёты!$F$5:$F$504,B11,Взаиморасчёты!$B$5:$B$504,"&lt;"&amp;E11)+SUMIFS(Взаиморасчёты!$E$5:$E$504,Взаиморасчёты!$C$5:$C$504,"Зачёт аванса по договору",Взаиморасчёты!$F$5:$F$504,B11,Взаиморасчёты!$B$5:$B$504,"&lt;"&amp;E11))</x:f>
        <x:v/>
      </x:c>
      <x:c r="H11" s="185" t="str">
        <x:f>IF(OR(B11="",E11=""),"",IF(NOT(ISNUMBER(Взаиморасчёты!$M$10)),"ЗАБЛОКИРОВАН",F11-G11))</x:f>
        <x:v/>
      </x:c>
      <x:c r="I11" s="185" t="str">
        <x:f>IF(B11="","",SUMIFS(Взаиморасчёты!$H$5:$H$504,Взаиморасчёты!$F$5:$F$504,B11))</x:f>
        <x:v/>
      </x:c>
      <x:c r="J11" s="281" t="str">
        <x:f t="shared" si="1"/>
        <x:v/>
      </x:c>
      <x:c r="K11" s="185" t="str">
        <x:f>IF(OR(B11="",E11=""),"",SUMIFS(Взаиморасчёты!$E$5:$E$504,Взаиморасчёты!$C$5:$C$504,"Оплата",Взаиморасчёты!$F$5:$F$504,B11,Взаиморасчёты!$B$5:$B$504,"&gt;="&amp;E11)+SUMIFS(Взаиморасчёты!$E$5:$E$504,Взаиморасчёты!$C$5:$C$504,"Зачёт аванса по договору",Взаиморасчёты!$F$5:$F$504,B11,Взаиморасчёты!$B$5:$B$504,"&gt;="&amp;E11))</x:f>
        <x:v/>
      </x:c>
      <x:c r="L11" s="185" t="str">
        <x:f t="shared" si="2"/>
        <x:v/>
      </x:c>
      <x:c r="M11" s="281" t="str">
        <x:f t="shared" si="3"/>
        <x:v/>
      </x:c>
      <x:c r="N11" s="186" t="str">
        <x:f>IF(AND(B11="",C11="",D11=""),"",IF(B11="","БЛОК: нужен идентификатор акта — по нему распределяются оплаты",IF(COUNTIF($B$5:$B$34,B11)&gt;1,"БЛОК: идентификатор акта повторяется — оплату нельзя отнести однозначно",IF(NOT(ISNUMBER(D11)),"БЛОК: нужен последний день срока оплаты по этому акту",IF(COUNTIF(Взаиморасчёты!$F$5:$F$504,B11)=0,"БЛОК: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переносится",IF(N(H11)&lt;0,"БЛОК: до первого дня просрочки оплачено и зачтено больше, чем начислено по акту — проверьте распределение",IF(N(L11)&lt;0,"БЛОК: оплаты с первого дня просрочки больше долга на первый день просрочки — проверьте распределение",IF(N(I11)&gt;N(L11),"БЛОК: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1" s="261" t="str">
        <x:f t="shared" si="4"/>
        <x:v/>
      </x:c>
      <x:c r="P11" s="46"/>
      <x:c r="Q11" s="46"/>
      <x:c r="R11" s="46"/>
    </x:row>
    <x:row r="12" ht="35" customHeight="1">
      <x:c r="A12" s="259">
        <x:v>8</x:v>
      </x:c>
      <x:c r="B12" s="163"/>
      <x:c r="C12" s="163"/>
      <x:c r="D12" s="162"/>
      <x:c r="E12" s="260" t="str">
        <x:f t="shared" si="0"/>
        <x:v/>
      </x:c>
      <x:c r="F12" s="185" t="str">
        <x:f>IF(B12="","",SUMIFS(Взаиморасчёты!$E$5:$E$504,Взаиморасчёты!$C$5:$C$504,"Начисление по акту",Взаиморасчёты!$F$5:$F$504,B12)+SUMIFS(Взаиморасчёты!$E$5:$E$504,Взаиморасчёты!$C$5:$C$504,"Корректировка (подписана обеими сторонами)",Взаиморасчёты!$F$5:$F$504,B12))</x:f>
        <x:v/>
      </x:c>
      <x:c r="G12" s="185" t="str">
        <x:f>IF(OR(B12="",E12=""),"",SUMIFS(Взаиморасчёты!$E$5:$E$504,Взаиморасчёты!$C$5:$C$504,"Оплата",Взаиморасчёты!$F$5:$F$504,B12,Взаиморасчёты!$B$5:$B$504,"&lt;"&amp;E12)+SUMIFS(Взаиморасчёты!$E$5:$E$504,Взаиморасчёты!$C$5:$C$504,"Зачёт аванса по договору",Взаиморасчёты!$F$5:$F$504,B12,Взаиморасчёты!$B$5:$B$504,"&lt;"&amp;E12))</x:f>
        <x:v/>
      </x:c>
      <x:c r="H12" s="185" t="str">
        <x:f>IF(OR(B12="",E12=""),"",IF(NOT(ISNUMBER(Взаиморасчёты!$M$10)),"ЗАБЛОКИРОВАН",F12-G12))</x:f>
        <x:v/>
      </x:c>
      <x:c r="I12" s="185" t="str">
        <x:f>IF(B12="","",SUMIFS(Взаиморасчёты!$H$5:$H$504,Взаиморасчёты!$F$5:$F$504,B12))</x:f>
        <x:v/>
      </x:c>
      <x:c r="J12" s="281" t="str">
        <x:f t="shared" si="1"/>
        <x:v/>
      </x:c>
      <x:c r="K12" s="185" t="str">
        <x:f>IF(OR(B12="",E12=""),"",SUMIFS(Взаиморасчёты!$E$5:$E$504,Взаиморасчёты!$C$5:$C$504,"Оплата",Взаиморасчёты!$F$5:$F$504,B12,Взаиморасчёты!$B$5:$B$504,"&gt;="&amp;E12)+SUMIFS(Взаиморасчёты!$E$5:$E$504,Взаиморасчёты!$C$5:$C$504,"Зачёт аванса по договору",Взаиморасчёты!$F$5:$F$504,B12,Взаиморасчёты!$B$5:$B$504,"&gt;="&amp;E12))</x:f>
        <x:v/>
      </x:c>
      <x:c r="L12" s="185" t="str">
        <x:f t="shared" si="2"/>
        <x:v/>
      </x:c>
      <x:c r="M12" s="281" t="str">
        <x:f t="shared" si="3"/>
        <x:v/>
      </x:c>
      <x:c r="N12" s="186" t="str">
        <x:f>IF(AND(B12="",C12="",D12=""),"",IF(B12="","БЛОК: нужен идентификатор акта — по нему распределяются оплаты",IF(COUNTIF($B$5:$B$34,B12)&gt;1,"БЛОК: идентификатор акта повторяется — оплату нельзя отнести однозначно",IF(NOT(ISNUMBER(D12)),"БЛОК: нужен последний день срока оплаты по этому акту",IF(COUNTIF(Взаиморасчёты!$F$5:$F$504,B12)=0,"БЛОК: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переносится",IF(N(H12)&lt;0,"БЛОК: до первого дня просрочки оплачено и зачтено больше, чем начислено по акту — проверьте распределение",IF(N(L12)&lt;0,"БЛОК: оплаты с первого дня просрочки больше долга на первый день просрочки — проверьте распределение",IF(N(I12)&gt;N(L12),"БЛОК: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2" s="261" t="str">
        <x:f t="shared" si="4"/>
        <x:v/>
      </x:c>
      <x:c r="P12" s="46"/>
      <x:c r="Q12" s="46"/>
      <x:c r="R12" s="46"/>
    </x:row>
    <x:row r="13" ht="35" customHeight="1">
      <x:c r="A13" s="259">
        <x:v>9</x:v>
      </x:c>
      <x:c r="B13" s="163"/>
      <x:c r="C13" s="163"/>
      <x:c r="D13" s="162"/>
      <x:c r="E13" s="260" t="str">
        <x:f t="shared" si="0"/>
        <x:v/>
      </x:c>
      <x:c r="F13" s="185" t="str">
        <x:f>IF(B13="","",SUMIFS(Взаиморасчёты!$E$5:$E$504,Взаиморасчёты!$C$5:$C$504,"Начисление по акту",Взаиморасчёты!$F$5:$F$504,B13)+SUMIFS(Взаиморасчёты!$E$5:$E$504,Взаиморасчёты!$C$5:$C$504,"Корректировка (подписана обеими сторонами)",Взаиморасчёты!$F$5:$F$504,B13))</x:f>
        <x:v/>
      </x:c>
      <x:c r="G13" s="185" t="str">
        <x:f>IF(OR(B13="",E13=""),"",SUMIFS(Взаиморасчёты!$E$5:$E$504,Взаиморасчёты!$C$5:$C$504,"Оплата",Взаиморасчёты!$F$5:$F$504,B13,Взаиморасчёты!$B$5:$B$504,"&lt;"&amp;E13)+SUMIFS(Взаиморасчёты!$E$5:$E$504,Взаиморасчёты!$C$5:$C$504,"Зачёт аванса по договору",Взаиморасчёты!$F$5:$F$504,B13,Взаиморасчёты!$B$5:$B$504,"&lt;"&amp;E13))</x:f>
        <x:v/>
      </x:c>
      <x:c r="H13" s="185" t="str">
        <x:f>IF(OR(B13="",E13=""),"",IF(NOT(ISNUMBER(Взаиморасчёты!$M$10)),"ЗАБЛОКИРОВАН",F13-G13))</x:f>
        <x:v/>
      </x:c>
      <x:c r="I13" s="185" t="str">
        <x:f>IF(B13="","",SUMIFS(Взаиморасчёты!$H$5:$H$504,Взаиморасчёты!$F$5:$F$504,B13))</x:f>
        <x:v/>
      </x:c>
      <x:c r="J13" s="281" t="str">
        <x:f t="shared" si="1"/>
        <x:v/>
      </x:c>
      <x:c r="K13" s="185" t="str">
        <x:f>IF(OR(B13="",E13=""),"",SUMIFS(Взаиморасчёты!$E$5:$E$504,Взаиморасчёты!$C$5:$C$504,"Оплата",Взаиморасчёты!$F$5:$F$504,B13,Взаиморасчёты!$B$5:$B$504,"&gt;="&amp;E13)+SUMIFS(Взаиморасчёты!$E$5:$E$504,Взаиморасчёты!$C$5:$C$504,"Зачёт аванса по договору",Взаиморасчёты!$F$5:$F$504,B13,Взаиморасчёты!$B$5:$B$504,"&gt;="&amp;E13))</x:f>
        <x:v/>
      </x:c>
      <x:c r="L13" s="185" t="str">
        <x:f t="shared" si="2"/>
        <x:v/>
      </x:c>
      <x:c r="M13" s="281" t="str">
        <x:f t="shared" si="3"/>
        <x:v/>
      </x:c>
      <x:c r="N13" s="186" t="str">
        <x:f>IF(AND(B13="",C13="",D13=""),"",IF(B13="","БЛОК: нужен идентификатор акта — по нему распределяются оплаты",IF(COUNTIF($B$5:$B$34,B13)&gt;1,"БЛОК: идентификатор акта повторяется — оплату нельзя отнести однозначно",IF(NOT(ISNUMBER(D13)),"БЛОК: нужен последний день срока оплаты по этому акту",IF(COUNTIF(Взаиморасчёты!$F$5:$F$504,B13)=0,"БЛОК: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переносится",IF(N(H13)&lt;0,"БЛОК: до первого дня просрочки оплачено и зачтено больше, чем начислено по акту — проверьте распределение",IF(N(L13)&lt;0,"БЛОК: оплаты с первого дня просрочки больше долга на первый день просрочки — проверьте распределение",IF(N(I13)&gt;N(L13),"БЛОК: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3" s="261" t="str">
        <x:f t="shared" si="4"/>
        <x:v/>
      </x:c>
      <x:c r="P13" s="46"/>
      <x:c r="Q13" s="46"/>
      <x:c r="R13" s="46"/>
    </x:row>
    <x:row r="14" ht="35" customHeight="1">
      <x:c r="A14" s="259">
        <x:v>10</x:v>
      </x:c>
      <x:c r="B14" s="163"/>
      <x:c r="C14" s="163"/>
      <x:c r="D14" s="162"/>
      <x:c r="E14" s="260" t="str">
        <x:f t="shared" si="0"/>
        <x:v/>
      </x:c>
      <x:c r="F14" s="185" t="str">
        <x:f>IF(B14="","",SUMIFS(Взаиморасчёты!$E$5:$E$504,Взаиморасчёты!$C$5:$C$504,"Начисление по акту",Взаиморасчёты!$F$5:$F$504,B14)+SUMIFS(Взаиморасчёты!$E$5:$E$504,Взаиморасчёты!$C$5:$C$504,"Корректировка (подписана обеими сторонами)",Взаиморасчёты!$F$5:$F$504,B14))</x:f>
        <x:v/>
      </x:c>
      <x:c r="G14" s="185" t="str">
        <x:f>IF(OR(B14="",E14=""),"",SUMIFS(Взаиморасчёты!$E$5:$E$504,Взаиморасчёты!$C$5:$C$504,"Оплата",Взаиморасчёты!$F$5:$F$504,B14,Взаиморасчёты!$B$5:$B$504,"&lt;"&amp;E14)+SUMIFS(Взаиморасчёты!$E$5:$E$504,Взаиморасчёты!$C$5:$C$504,"Зачёт аванса по договору",Взаиморасчёты!$F$5:$F$504,B14,Взаиморасчёты!$B$5:$B$504,"&lt;"&amp;E14))</x:f>
        <x:v/>
      </x:c>
      <x:c r="H14" s="185" t="str">
        <x:f>IF(OR(B14="",E14=""),"",IF(NOT(ISNUMBER(Взаиморасчёты!$M$10)),"ЗАБЛОКИРОВАН",F14-G14))</x:f>
        <x:v/>
      </x:c>
      <x:c r="I14" s="185" t="str">
        <x:f>IF(B14="","",SUMIFS(Взаиморасчёты!$H$5:$H$504,Взаиморасчёты!$F$5:$F$504,B14))</x:f>
        <x:v/>
      </x:c>
      <x:c r="J14" s="281" t="str">
        <x:f t="shared" si="1"/>
        <x:v/>
      </x:c>
      <x:c r="K14" s="185" t="str">
        <x:f>IF(OR(B14="",E14=""),"",SUMIFS(Взаиморасчёты!$E$5:$E$504,Взаиморасчёты!$C$5:$C$504,"Оплата",Взаиморасчёты!$F$5:$F$504,B14,Взаиморасчёты!$B$5:$B$504,"&gt;="&amp;E14)+SUMIFS(Взаиморасчёты!$E$5:$E$504,Взаиморасчёты!$C$5:$C$504,"Зачёт аванса по договору",Взаиморасчёты!$F$5:$F$504,B14,Взаиморасчёты!$B$5:$B$504,"&gt;="&amp;E14))</x:f>
        <x:v/>
      </x:c>
      <x:c r="L14" s="185" t="str">
        <x:f t="shared" si="2"/>
        <x:v/>
      </x:c>
      <x:c r="M14" s="281" t="str">
        <x:f t="shared" si="3"/>
        <x:v/>
      </x:c>
      <x:c r="N14" s="186" t="str">
        <x:f>IF(AND(B14="",C14="",D14=""),"",IF(B14="","БЛОК: нужен идентификатор акта — по нему распределяются оплаты",IF(COUNTIF($B$5:$B$34,B14)&gt;1,"БЛОК: идентификатор акта повторяется — оплату нельзя отнести однозначно",IF(NOT(ISNUMBER(D14)),"БЛОК: нужен последний день срока оплаты по этому акту",IF(COUNTIF(Взаиморасчёты!$F$5:$F$504,B14)=0,"БЛОК: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переносится",IF(N(H14)&lt;0,"БЛОК: до первого дня просрочки оплачено и зачтено больше, чем начислено по акту — проверьте распределение",IF(N(L14)&lt;0,"БЛОК: оплаты с первого дня просрочки больше долга на первый день просрочки — проверьте распределение",IF(N(I14)&gt;N(L14),"БЛОК: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4" s="261" t="str">
        <x:f t="shared" si="4"/>
        <x:v/>
      </x:c>
      <x:c r="P14" s="46"/>
      <x:c r="Q14" s="46"/>
      <x:c r="R14" s="46"/>
    </x:row>
    <x:row r="15" ht="35" customHeight="1">
      <x:c r="A15" s="259">
        <x:v>11</x:v>
      </x:c>
      <x:c r="B15" s="163"/>
      <x:c r="C15" s="163"/>
      <x:c r="D15" s="162"/>
      <x:c r="E15" s="260" t="str">
        <x:f t="shared" si="0"/>
        <x:v/>
      </x:c>
      <x:c r="F15" s="185" t="str">
        <x:f>IF(B15="","",SUMIFS(Взаиморасчёты!$E$5:$E$504,Взаиморасчёты!$C$5:$C$504,"Начисление по акту",Взаиморасчёты!$F$5:$F$504,B15)+SUMIFS(Взаиморасчёты!$E$5:$E$504,Взаиморасчёты!$C$5:$C$504,"Корректировка (подписана обеими сторонами)",Взаиморасчёты!$F$5:$F$504,B15))</x:f>
        <x:v/>
      </x:c>
      <x:c r="G15" s="185" t="str">
        <x:f>IF(OR(B15="",E15=""),"",SUMIFS(Взаиморасчёты!$E$5:$E$504,Взаиморасчёты!$C$5:$C$504,"Оплата",Взаиморасчёты!$F$5:$F$504,B15,Взаиморасчёты!$B$5:$B$504,"&lt;"&amp;E15)+SUMIFS(Взаиморасчёты!$E$5:$E$504,Взаиморасчёты!$C$5:$C$504,"Зачёт аванса по договору",Взаиморасчёты!$F$5:$F$504,B15,Взаиморасчёты!$B$5:$B$504,"&lt;"&amp;E15))</x:f>
        <x:v/>
      </x:c>
      <x:c r="H15" s="185" t="str">
        <x:f>IF(OR(B15="",E15=""),"",IF(NOT(ISNUMBER(Взаиморасчёты!$M$10)),"ЗАБЛОКИРОВАН",F15-G15))</x:f>
        <x:v/>
      </x:c>
      <x:c r="I15" s="185" t="str">
        <x:f>IF(B15="","",SUMIFS(Взаиморасчёты!$H$5:$H$504,Взаиморасчёты!$F$5:$F$504,B15))</x:f>
        <x:v/>
      </x:c>
      <x:c r="J15" s="281" t="str">
        <x:f t="shared" si="1"/>
        <x:v/>
      </x:c>
      <x:c r="K15" s="185" t="str">
        <x:f>IF(OR(B15="",E15=""),"",SUMIFS(Взаиморасчёты!$E$5:$E$504,Взаиморасчёты!$C$5:$C$504,"Оплата",Взаиморасчёты!$F$5:$F$504,B15,Взаиморасчёты!$B$5:$B$504,"&gt;="&amp;E15)+SUMIFS(Взаиморасчёты!$E$5:$E$504,Взаиморасчёты!$C$5:$C$504,"Зачёт аванса по договору",Взаиморасчёты!$F$5:$F$504,B15,Взаиморасчёты!$B$5:$B$504,"&gt;="&amp;E15))</x:f>
        <x:v/>
      </x:c>
      <x:c r="L15" s="185" t="str">
        <x:f t="shared" si="2"/>
        <x:v/>
      </x:c>
      <x:c r="M15" s="281" t="str">
        <x:f t="shared" si="3"/>
        <x:v/>
      </x:c>
      <x:c r="N15" s="186" t="str">
        <x:f>IF(AND(B15="",C15="",D15=""),"",IF(B15="","БЛОК: нужен идентификатор акта — по нему распределяются оплаты",IF(COUNTIF($B$5:$B$34,B15)&gt;1,"БЛОК: идентификатор акта повторяется — оплату нельзя отнести однозначно",IF(NOT(ISNUMBER(D15)),"БЛОК: нужен последний день срока оплаты по этому акту",IF(COUNTIF(Взаиморасчёты!$F$5:$F$504,B15)=0,"БЛОК: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переносится",IF(N(H15)&lt;0,"БЛОК: до первого дня просрочки оплачено и зачтено больше, чем начислено по акту — проверьте распределение",IF(N(L15)&lt;0,"БЛОК: оплаты с первого дня просрочки больше долга на первый день просрочки — проверьте распределение",IF(N(I15)&gt;N(L15),"БЛОК: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5" s="261" t="str">
        <x:f t="shared" si="4"/>
        <x:v/>
      </x:c>
      <x:c r="P15" s="46"/>
      <x:c r="Q15" s="46"/>
      <x:c r="R15" s="46"/>
    </x:row>
    <x:row r="16" ht="35" customHeight="1">
      <x:c r="A16" s="259">
        <x:v>12</x:v>
      </x:c>
      <x:c r="B16" s="163"/>
      <x:c r="C16" s="163"/>
      <x:c r="D16" s="162"/>
      <x:c r="E16" s="260" t="str">
        <x:f t="shared" si="0"/>
        <x:v/>
      </x:c>
      <x:c r="F16" s="185" t="str">
        <x:f>IF(B16="","",SUMIFS(Взаиморасчёты!$E$5:$E$504,Взаиморасчёты!$C$5:$C$504,"Начисление по акту",Взаиморасчёты!$F$5:$F$504,B16)+SUMIFS(Взаиморасчёты!$E$5:$E$504,Взаиморасчёты!$C$5:$C$504,"Корректировка (подписана обеими сторонами)",Взаиморасчёты!$F$5:$F$504,B16))</x:f>
        <x:v/>
      </x:c>
      <x:c r="G16" s="185" t="str">
        <x:f>IF(OR(B16="",E16=""),"",SUMIFS(Взаиморасчёты!$E$5:$E$504,Взаиморасчёты!$C$5:$C$504,"Оплата",Взаиморасчёты!$F$5:$F$504,B16,Взаиморасчёты!$B$5:$B$504,"&lt;"&amp;E16)+SUMIFS(Взаиморасчёты!$E$5:$E$504,Взаиморасчёты!$C$5:$C$504,"Зачёт аванса по договору",Взаиморасчёты!$F$5:$F$504,B16,Взаиморасчёты!$B$5:$B$504,"&lt;"&amp;E16))</x:f>
        <x:v/>
      </x:c>
      <x:c r="H16" s="185" t="str">
        <x:f>IF(OR(B16="",E16=""),"",IF(NOT(ISNUMBER(Взаиморасчёты!$M$10)),"ЗАБЛОКИРОВАН",F16-G16))</x:f>
        <x:v/>
      </x:c>
      <x:c r="I16" s="185" t="str">
        <x:f>IF(B16="","",SUMIFS(Взаиморасчёты!$H$5:$H$504,Взаиморасчёты!$F$5:$F$504,B16))</x:f>
        <x:v/>
      </x:c>
      <x:c r="J16" s="281" t="str">
        <x:f t="shared" si="1"/>
        <x:v/>
      </x:c>
      <x:c r="K16" s="185" t="str">
        <x:f>IF(OR(B16="",E16=""),"",SUMIFS(Взаиморасчёты!$E$5:$E$504,Взаиморасчёты!$C$5:$C$504,"Оплата",Взаиморасчёты!$F$5:$F$504,B16,Взаиморасчёты!$B$5:$B$504,"&gt;="&amp;E16)+SUMIFS(Взаиморасчёты!$E$5:$E$504,Взаиморасчёты!$C$5:$C$504,"Зачёт аванса по договору",Взаиморасчёты!$F$5:$F$504,B16,Взаиморасчёты!$B$5:$B$504,"&gt;="&amp;E16))</x:f>
        <x:v/>
      </x:c>
      <x:c r="L16" s="185" t="str">
        <x:f t="shared" si="2"/>
        <x:v/>
      </x:c>
      <x:c r="M16" s="281" t="str">
        <x:f t="shared" si="3"/>
        <x:v/>
      </x:c>
      <x:c r="N16" s="186" t="str">
        <x:f>IF(AND(B16="",C16="",D16=""),"",IF(B16="","БЛОК: нужен идентификатор акта — по нему распределяются оплаты",IF(COUNTIF($B$5:$B$34,B16)&gt;1,"БЛОК: идентификатор акта повторяется — оплату нельзя отнести однозначно",IF(NOT(ISNUMBER(D16)),"БЛОК: нужен последний день срока оплаты по этому акту",IF(COUNTIF(Взаиморасчёты!$F$5:$F$504,B16)=0,"БЛОК: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переносится",IF(N(H16)&lt;0,"БЛОК: до первого дня просрочки оплачено и зачтено больше, чем начислено по акту — проверьте распределение",IF(N(L16)&lt;0,"БЛОК: оплаты с первого дня просрочки больше долга на первый день просрочки — проверьте распределение",IF(N(I16)&gt;N(L16),"БЛОК: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6" s="261" t="str">
        <x:f t="shared" si="4"/>
        <x:v/>
      </x:c>
      <x:c r="P16" s="46"/>
      <x:c r="Q16" s="46"/>
      <x:c r="R16" s="46"/>
    </x:row>
    <x:row r="17" ht="35" customHeight="1">
      <x:c r="A17" s="259">
        <x:v>13</x:v>
      </x:c>
      <x:c r="B17" s="163"/>
      <x:c r="C17" s="163"/>
      <x:c r="D17" s="162"/>
      <x:c r="E17" s="260" t="str">
        <x:f t="shared" si="0"/>
        <x:v/>
      </x:c>
      <x:c r="F17" s="185" t="str">
        <x:f>IF(B17="","",SUMIFS(Взаиморасчёты!$E$5:$E$504,Взаиморасчёты!$C$5:$C$504,"Начисление по акту",Взаиморасчёты!$F$5:$F$504,B17)+SUMIFS(Взаиморасчёты!$E$5:$E$504,Взаиморасчёты!$C$5:$C$504,"Корректировка (подписана обеими сторонами)",Взаиморасчёты!$F$5:$F$504,B17))</x:f>
        <x:v/>
      </x:c>
      <x:c r="G17" s="185" t="str">
        <x:f>IF(OR(B17="",E17=""),"",SUMIFS(Взаиморасчёты!$E$5:$E$504,Взаиморасчёты!$C$5:$C$504,"Оплата",Взаиморасчёты!$F$5:$F$504,B17,Взаиморасчёты!$B$5:$B$504,"&lt;"&amp;E17)+SUMIFS(Взаиморасчёты!$E$5:$E$504,Взаиморасчёты!$C$5:$C$504,"Зачёт аванса по договору",Взаиморасчёты!$F$5:$F$504,B17,Взаиморасчёты!$B$5:$B$504,"&lt;"&amp;E17))</x:f>
        <x:v/>
      </x:c>
      <x:c r="H17" s="185" t="str">
        <x:f>IF(OR(B17="",E17=""),"",IF(NOT(ISNUMBER(Взаиморасчёты!$M$10)),"ЗАБЛОКИРОВАН",F17-G17))</x:f>
        <x:v/>
      </x:c>
      <x:c r="I17" s="185" t="str">
        <x:f>IF(B17="","",SUMIFS(Взаиморасчёты!$H$5:$H$504,Взаиморасчёты!$F$5:$F$504,B17))</x:f>
        <x:v/>
      </x:c>
      <x:c r="J17" s="281" t="str">
        <x:f t="shared" si="1"/>
        <x:v/>
      </x:c>
      <x:c r="K17" s="185" t="str">
        <x:f>IF(OR(B17="",E17=""),"",SUMIFS(Взаиморасчёты!$E$5:$E$504,Взаиморасчёты!$C$5:$C$504,"Оплата",Взаиморасчёты!$F$5:$F$504,B17,Взаиморасчёты!$B$5:$B$504,"&gt;="&amp;E17)+SUMIFS(Взаиморасчёты!$E$5:$E$504,Взаиморасчёты!$C$5:$C$504,"Зачёт аванса по договору",Взаиморасчёты!$F$5:$F$504,B17,Взаиморасчёты!$B$5:$B$504,"&gt;="&amp;E17))</x:f>
        <x:v/>
      </x:c>
      <x:c r="L17" s="185" t="str">
        <x:f t="shared" si="2"/>
        <x:v/>
      </x:c>
      <x:c r="M17" s="281" t="str">
        <x:f t="shared" si="3"/>
        <x:v/>
      </x:c>
      <x:c r="N17" s="186" t="str">
        <x:f>IF(AND(B17="",C17="",D17=""),"",IF(B17="","БЛОК: нужен идентификатор акта — по нему распределяются оплаты",IF(COUNTIF($B$5:$B$34,B17)&gt;1,"БЛОК: идентификатор акта повторяется — оплату нельзя отнести однозначно",IF(NOT(ISNUMBER(D17)),"БЛОК: нужен последний день срока оплаты по этому акту",IF(COUNTIF(Взаиморасчёты!$F$5:$F$504,B17)=0,"БЛОК: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переносится",IF(N(H17)&lt;0,"БЛОК: до первого дня просрочки оплачено и зачтено больше, чем начислено по акту — проверьте распределение",IF(N(L17)&lt;0,"БЛОК: оплаты с первого дня просрочки больше долга на первый день просрочки — проверьте распределение",IF(N(I17)&gt;N(L17),"БЛОК: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7" s="261" t="str">
        <x:f t="shared" si="4"/>
        <x:v/>
      </x:c>
      <x:c r="P17" s="46"/>
      <x:c r="Q17" s="46"/>
      <x:c r="R17" s="46"/>
    </x:row>
    <x:row r="18" ht="35" customHeight="1">
      <x:c r="A18" s="259">
        <x:v>14</x:v>
      </x:c>
      <x:c r="B18" s="163"/>
      <x:c r="C18" s="163"/>
      <x:c r="D18" s="162"/>
      <x:c r="E18" s="260" t="str">
        <x:f t="shared" si="0"/>
        <x:v/>
      </x:c>
      <x:c r="F18" s="185" t="str">
        <x:f>IF(B18="","",SUMIFS(Взаиморасчёты!$E$5:$E$504,Взаиморасчёты!$C$5:$C$504,"Начисление по акту",Взаиморасчёты!$F$5:$F$504,B18)+SUMIFS(Взаиморасчёты!$E$5:$E$504,Взаиморасчёты!$C$5:$C$504,"Корректировка (подписана обеими сторонами)",Взаиморасчёты!$F$5:$F$504,B18))</x:f>
        <x:v/>
      </x:c>
      <x:c r="G18" s="185" t="str">
        <x:f>IF(OR(B18="",E18=""),"",SUMIFS(Взаиморасчёты!$E$5:$E$504,Взаиморасчёты!$C$5:$C$504,"Оплата",Взаиморасчёты!$F$5:$F$504,B18,Взаиморасчёты!$B$5:$B$504,"&lt;"&amp;E18)+SUMIFS(Взаиморасчёты!$E$5:$E$504,Взаиморасчёты!$C$5:$C$504,"Зачёт аванса по договору",Взаиморасчёты!$F$5:$F$504,B18,Взаиморасчёты!$B$5:$B$504,"&lt;"&amp;E18))</x:f>
        <x:v/>
      </x:c>
      <x:c r="H18" s="185" t="str">
        <x:f>IF(OR(B18="",E18=""),"",IF(NOT(ISNUMBER(Взаиморасчёты!$M$10)),"ЗАБЛОКИРОВАН",F18-G18))</x:f>
        <x:v/>
      </x:c>
      <x:c r="I18" s="185" t="str">
        <x:f>IF(B18="","",SUMIFS(Взаиморасчёты!$H$5:$H$504,Взаиморасчёты!$F$5:$F$504,B18))</x:f>
        <x:v/>
      </x:c>
      <x:c r="J18" s="281" t="str">
        <x:f t="shared" si="1"/>
        <x:v/>
      </x:c>
      <x:c r="K18" s="185" t="str">
        <x:f>IF(OR(B18="",E18=""),"",SUMIFS(Взаиморасчёты!$E$5:$E$504,Взаиморасчёты!$C$5:$C$504,"Оплата",Взаиморасчёты!$F$5:$F$504,B18,Взаиморасчёты!$B$5:$B$504,"&gt;="&amp;E18)+SUMIFS(Взаиморасчёты!$E$5:$E$504,Взаиморасчёты!$C$5:$C$504,"Зачёт аванса по договору",Взаиморасчёты!$F$5:$F$504,B18,Взаиморасчёты!$B$5:$B$504,"&gt;="&amp;E18))</x:f>
        <x:v/>
      </x:c>
      <x:c r="L18" s="185" t="str">
        <x:f t="shared" si="2"/>
        <x:v/>
      </x:c>
      <x:c r="M18" s="281" t="str">
        <x:f t="shared" si="3"/>
        <x:v/>
      </x:c>
      <x:c r="N18" s="186" t="str">
        <x:f>IF(AND(B18="",C18="",D18=""),"",IF(B18="","БЛОК: нужен идентификатор акта — по нему распределяются оплаты",IF(COUNTIF($B$5:$B$34,B18)&gt;1,"БЛОК: идентификатор акта повторяется — оплату нельзя отнести однозначно",IF(NOT(ISNUMBER(D18)),"БЛОК: нужен последний день срока оплаты по этому акту",IF(COUNTIF(Взаиморасчёты!$F$5:$F$504,B18)=0,"БЛОК: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переносится",IF(N(H18)&lt;0,"БЛОК: до первого дня просрочки оплачено и зачтено больше, чем начислено по акту — проверьте распределение",IF(N(L18)&lt;0,"БЛОК: оплаты с первого дня просрочки больше долга на первый день просрочки — проверьте распределение",IF(N(I18)&gt;N(L18),"БЛОК: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8" s="261" t="str">
        <x:f t="shared" si="4"/>
        <x:v/>
      </x:c>
      <x:c r="P18" s="46"/>
      <x:c r="Q18" s="46"/>
      <x:c r="R18" s="46"/>
    </x:row>
    <x:row r="19" ht="35" customHeight="1">
      <x:c r="A19" s="259">
        <x:v>15</x:v>
      </x:c>
      <x:c r="B19" s="163"/>
      <x:c r="C19" s="163"/>
      <x:c r="D19" s="162"/>
      <x:c r="E19" s="260" t="str">
        <x:f t="shared" si="0"/>
        <x:v/>
      </x:c>
      <x:c r="F19" s="185" t="str">
        <x:f>IF(B19="","",SUMIFS(Взаиморасчёты!$E$5:$E$504,Взаиморасчёты!$C$5:$C$504,"Начисление по акту",Взаиморасчёты!$F$5:$F$504,B19)+SUMIFS(Взаиморасчёты!$E$5:$E$504,Взаиморасчёты!$C$5:$C$504,"Корректировка (подписана обеими сторонами)",Взаиморасчёты!$F$5:$F$504,B19))</x:f>
        <x:v/>
      </x:c>
      <x:c r="G19" s="185" t="str">
        <x:f>IF(OR(B19="",E19=""),"",SUMIFS(Взаиморасчёты!$E$5:$E$504,Взаиморасчёты!$C$5:$C$504,"Оплата",Взаиморасчёты!$F$5:$F$504,B19,Взаиморасчёты!$B$5:$B$504,"&lt;"&amp;E19)+SUMIFS(Взаиморасчёты!$E$5:$E$504,Взаиморасчёты!$C$5:$C$504,"Зачёт аванса по договору",Взаиморасчёты!$F$5:$F$504,B19,Взаиморасчёты!$B$5:$B$504,"&lt;"&amp;E19))</x:f>
        <x:v/>
      </x:c>
      <x:c r="H19" s="185" t="str">
        <x:f>IF(OR(B19="",E19=""),"",IF(NOT(ISNUMBER(Взаиморасчёты!$M$10)),"ЗАБЛОКИРОВАН",F19-G19))</x:f>
        <x:v/>
      </x:c>
      <x:c r="I19" s="185" t="str">
        <x:f>IF(B19="","",SUMIFS(Взаиморасчёты!$H$5:$H$504,Взаиморасчёты!$F$5:$F$504,B19))</x:f>
        <x:v/>
      </x:c>
      <x:c r="J19" s="281" t="str">
        <x:f t="shared" si="1"/>
        <x:v/>
      </x:c>
      <x:c r="K19" s="185" t="str">
        <x:f>IF(OR(B19="",E19=""),"",SUMIFS(Взаиморасчёты!$E$5:$E$504,Взаиморасчёты!$C$5:$C$504,"Оплата",Взаиморасчёты!$F$5:$F$504,B19,Взаиморасчёты!$B$5:$B$504,"&gt;="&amp;E19)+SUMIFS(Взаиморасчёты!$E$5:$E$504,Взаиморасчёты!$C$5:$C$504,"Зачёт аванса по договору",Взаиморасчёты!$F$5:$F$504,B19,Взаиморасчёты!$B$5:$B$504,"&gt;="&amp;E19))</x:f>
        <x:v/>
      </x:c>
      <x:c r="L19" s="185" t="str">
        <x:f t="shared" si="2"/>
        <x:v/>
      </x:c>
      <x:c r="M19" s="281" t="str">
        <x:f t="shared" si="3"/>
        <x:v/>
      </x:c>
      <x:c r="N19" s="186" t="str">
        <x:f>IF(AND(B19="",C19="",D19=""),"",IF(B19="","БЛОК: нужен идентификатор акта — по нему распределяются оплаты",IF(COUNTIF($B$5:$B$34,B19)&gt;1,"БЛОК: идентификатор акта повторяется — оплату нельзя отнести однозначно",IF(NOT(ISNUMBER(D19)),"БЛОК: нужен последний день срока оплаты по этому акту",IF(COUNTIF(Взаиморасчёты!$F$5:$F$504,B19)=0,"БЛОК: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переносится",IF(N(H19)&lt;0,"БЛОК: до первого дня просрочки оплачено и зачтено больше, чем начислено по акту — проверьте распределение",IF(N(L19)&lt;0,"БЛОК: оплаты с первого дня просрочки больше долга на первый день просрочки — проверьте распределение",IF(N(I19)&gt;N(L19),"БЛОК: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19" s="261" t="str">
        <x:f t="shared" si="4"/>
        <x:v/>
      </x:c>
      <x:c r="P19" s="46"/>
      <x:c r="Q19" s="46"/>
      <x:c r="R19" s="46"/>
    </x:row>
    <x:row r="20" ht="35" customHeight="1">
      <x:c r="A20" s="259">
        <x:v>16</x:v>
      </x:c>
      <x:c r="B20" s="163"/>
      <x:c r="C20" s="163"/>
      <x:c r="D20" s="162"/>
      <x:c r="E20" s="260" t="str">
        <x:f t="shared" si="0"/>
        <x:v/>
      </x:c>
      <x:c r="F20" s="185" t="str">
        <x:f>IF(B20="","",SUMIFS(Взаиморасчёты!$E$5:$E$504,Взаиморасчёты!$C$5:$C$504,"Начисление по акту",Взаиморасчёты!$F$5:$F$504,B20)+SUMIFS(Взаиморасчёты!$E$5:$E$504,Взаиморасчёты!$C$5:$C$504,"Корректировка (подписана обеими сторонами)",Взаиморасчёты!$F$5:$F$504,B20))</x:f>
        <x:v/>
      </x:c>
      <x:c r="G20" s="185" t="str">
        <x:f>IF(OR(B20="",E20=""),"",SUMIFS(Взаиморасчёты!$E$5:$E$504,Взаиморасчёты!$C$5:$C$504,"Оплата",Взаиморасчёты!$F$5:$F$504,B20,Взаиморасчёты!$B$5:$B$504,"&lt;"&amp;E20)+SUMIFS(Взаиморасчёты!$E$5:$E$504,Взаиморасчёты!$C$5:$C$504,"Зачёт аванса по договору",Взаиморасчёты!$F$5:$F$504,B20,Взаиморасчёты!$B$5:$B$504,"&lt;"&amp;E20))</x:f>
        <x:v/>
      </x:c>
      <x:c r="H20" s="185" t="str">
        <x:f>IF(OR(B20="",E20=""),"",IF(NOT(ISNUMBER(Взаиморасчёты!$M$10)),"ЗАБЛОКИРОВАН",F20-G20))</x:f>
        <x:v/>
      </x:c>
      <x:c r="I20" s="185" t="str">
        <x:f>IF(B20="","",SUMIFS(Взаиморасчёты!$H$5:$H$504,Взаиморасчёты!$F$5:$F$504,B20))</x:f>
        <x:v/>
      </x:c>
      <x:c r="J20" s="281" t="str">
        <x:f t="shared" si="1"/>
        <x:v/>
      </x:c>
      <x:c r="K20" s="185" t="str">
        <x:f>IF(OR(B20="",E20=""),"",SUMIFS(Взаиморасчёты!$E$5:$E$504,Взаиморасчёты!$C$5:$C$504,"Оплата",Взаиморасчёты!$F$5:$F$504,B20,Взаиморасчёты!$B$5:$B$504,"&gt;="&amp;E20)+SUMIFS(Взаиморасчёты!$E$5:$E$504,Взаиморасчёты!$C$5:$C$504,"Зачёт аванса по договору",Взаиморасчёты!$F$5:$F$504,B20,Взаиморасчёты!$B$5:$B$504,"&gt;="&amp;E20))</x:f>
        <x:v/>
      </x:c>
      <x:c r="L20" s="185" t="str">
        <x:f t="shared" si="2"/>
        <x:v/>
      </x:c>
      <x:c r="M20" s="281" t="str">
        <x:f t="shared" si="3"/>
        <x:v/>
      </x:c>
      <x:c r="N20" s="186" t="str">
        <x:f>IF(AND(B20="",C20="",D20=""),"",IF(B20="","БЛОК: нужен идентификатор акта — по нему распределяются оплаты",IF(COUNTIF($B$5:$B$34,B20)&gt;1,"БЛОК: идентификатор акта повторяется — оплату нельзя отнести однозначно",IF(NOT(ISNUMBER(D20)),"БЛОК: нужен последний день срока оплаты по этому акту",IF(COUNTIF(Взаиморасчёты!$F$5:$F$504,B20)=0,"БЛОК: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переносится",IF(N(H20)&lt;0,"БЛОК: до первого дня просрочки оплачено и зачтено больше, чем начислено по акту — проверьте распределение",IF(N(L20)&lt;0,"БЛОК: оплаты с первого дня просрочки больше долга на первый день просрочки — проверьте распределение",IF(N(I20)&gt;N(L20),"БЛОК: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0" s="261" t="str">
        <x:f t="shared" si="4"/>
        <x:v/>
      </x:c>
      <x:c r="P20" s="46"/>
      <x:c r="Q20" s="46"/>
      <x:c r="R20" s="46"/>
    </x:row>
    <x:row r="21" ht="35" customHeight="1">
      <x:c r="A21" s="259">
        <x:v>17</x:v>
      </x:c>
      <x:c r="B21" s="163"/>
      <x:c r="C21" s="163"/>
      <x:c r="D21" s="162"/>
      <x:c r="E21" s="260" t="str">
        <x:f t="shared" si="0"/>
        <x:v/>
      </x:c>
      <x:c r="F21" s="185" t="str">
        <x:f>IF(B21="","",SUMIFS(Взаиморасчёты!$E$5:$E$504,Взаиморасчёты!$C$5:$C$504,"Начисление по акту",Взаиморасчёты!$F$5:$F$504,B21)+SUMIFS(Взаиморасчёты!$E$5:$E$504,Взаиморасчёты!$C$5:$C$504,"Корректировка (подписана обеими сторонами)",Взаиморасчёты!$F$5:$F$504,B21))</x:f>
        <x:v/>
      </x:c>
      <x:c r="G21" s="185" t="str">
        <x:f>IF(OR(B21="",E21=""),"",SUMIFS(Взаиморасчёты!$E$5:$E$504,Взаиморасчёты!$C$5:$C$504,"Оплата",Взаиморасчёты!$F$5:$F$504,B21,Взаиморасчёты!$B$5:$B$504,"&lt;"&amp;E21)+SUMIFS(Взаиморасчёты!$E$5:$E$504,Взаиморасчёты!$C$5:$C$504,"Зачёт аванса по договору",Взаиморасчёты!$F$5:$F$504,B21,Взаиморасчёты!$B$5:$B$504,"&lt;"&amp;E21))</x:f>
        <x:v/>
      </x:c>
      <x:c r="H21" s="185" t="str">
        <x:f>IF(OR(B21="",E21=""),"",IF(NOT(ISNUMBER(Взаиморасчёты!$M$10)),"ЗАБЛОКИРОВАН",F21-G21))</x:f>
        <x:v/>
      </x:c>
      <x:c r="I21" s="185" t="str">
        <x:f>IF(B21="","",SUMIFS(Взаиморасчёты!$H$5:$H$504,Взаиморасчёты!$F$5:$F$504,B21))</x:f>
        <x:v/>
      </x:c>
      <x:c r="J21" s="281" t="str">
        <x:f t="shared" si="1"/>
        <x:v/>
      </x:c>
      <x:c r="K21" s="185" t="str">
        <x:f>IF(OR(B21="",E21=""),"",SUMIFS(Взаиморасчёты!$E$5:$E$504,Взаиморасчёты!$C$5:$C$504,"Оплата",Взаиморасчёты!$F$5:$F$504,B21,Взаиморасчёты!$B$5:$B$504,"&gt;="&amp;E21)+SUMIFS(Взаиморасчёты!$E$5:$E$504,Взаиморасчёты!$C$5:$C$504,"Зачёт аванса по договору",Взаиморасчёты!$F$5:$F$504,B21,Взаиморасчёты!$B$5:$B$504,"&gt;="&amp;E21))</x:f>
        <x:v/>
      </x:c>
      <x:c r="L21" s="185" t="str">
        <x:f t="shared" si="2"/>
        <x:v/>
      </x:c>
      <x:c r="M21" s="281" t="str">
        <x:f t="shared" si="3"/>
        <x:v/>
      </x:c>
      <x:c r="N21" s="186" t="str">
        <x:f>IF(AND(B21="",C21="",D21=""),"",IF(B21="","БЛОК: нужен идентификатор акта — по нему распределяются оплаты",IF(COUNTIF($B$5:$B$34,B21)&gt;1,"БЛОК: идентификатор акта повторяется — оплату нельзя отнести однозначно",IF(NOT(ISNUMBER(D21)),"БЛОК: нужен последний день срока оплаты по этому акту",IF(COUNTIF(Взаиморасчёты!$F$5:$F$504,B21)=0,"БЛОК: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переносится",IF(N(H21)&lt;0,"БЛОК: до первого дня просрочки оплачено и зачтено больше, чем начислено по акту — проверьте распределение",IF(N(L21)&lt;0,"БЛОК: оплаты с первого дня просрочки больше долга на первый день просрочки — проверьте распределение",IF(N(I21)&gt;N(L21),"БЛОК: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1" s="261" t="str">
        <x:f t="shared" si="4"/>
        <x:v/>
      </x:c>
      <x:c r="P21" s="46"/>
      <x:c r="Q21" s="46"/>
      <x:c r="R21" s="46"/>
    </x:row>
    <x:row r="22" ht="35" customHeight="1">
      <x:c r="A22" s="259">
        <x:v>18</x:v>
      </x:c>
      <x:c r="B22" s="163"/>
      <x:c r="C22" s="163"/>
      <x:c r="D22" s="162"/>
      <x:c r="E22" s="260" t="str">
        <x:f t="shared" si="0"/>
        <x:v/>
      </x:c>
      <x:c r="F22" s="185" t="str">
        <x:f>IF(B22="","",SUMIFS(Взаиморасчёты!$E$5:$E$504,Взаиморасчёты!$C$5:$C$504,"Начисление по акту",Взаиморасчёты!$F$5:$F$504,B22)+SUMIFS(Взаиморасчёты!$E$5:$E$504,Взаиморасчёты!$C$5:$C$504,"Корректировка (подписана обеими сторонами)",Взаиморасчёты!$F$5:$F$504,B22))</x:f>
        <x:v/>
      </x:c>
      <x:c r="G22" s="185" t="str">
        <x:f>IF(OR(B22="",E22=""),"",SUMIFS(Взаиморасчёты!$E$5:$E$504,Взаиморасчёты!$C$5:$C$504,"Оплата",Взаиморасчёты!$F$5:$F$504,B22,Взаиморасчёты!$B$5:$B$504,"&lt;"&amp;E22)+SUMIFS(Взаиморасчёты!$E$5:$E$504,Взаиморасчёты!$C$5:$C$504,"Зачёт аванса по договору",Взаиморасчёты!$F$5:$F$504,B22,Взаиморасчёты!$B$5:$B$504,"&lt;"&amp;E22))</x:f>
        <x:v/>
      </x:c>
      <x:c r="H22" s="185" t="str">
        <x:f>IF(OR(B22="",E22=""),"",IF(NOT(ISNUMBER(Взаиморасчёты!$M$10)),"ЗАБЛОКИРОВАН",F22-G22))</x:f>
        <x:v/>
      </x:c>
      <x:c r="I22" s="185" t="str">
        <x:f>IF(B22="","",SUMIFS(Взаиморасчёты!$H$5:$H$504,Взаиморасчёты!$F$5:$F$504,B22))</x:f>
        <x:v/>
      </x:c>
      <x:c r="J22" s="281" t="str">
        <x:f t="shared" si="1"/>
        <x:v/>
      </x:c>
      <x:c r="K22" s="185" t="str">
        <x:f>IF(OR(B22="",E22=""),"",SUMIFS(Взаиморасчёты!$E$5:$E$504,Взаиморасчёты!$C$5:$C$504,"Оплата",Взаиморасчёты!$F$5:$F$504,B22,Взаиморасчёты!$B$5:$B$504,"&gt;="&amp;E22)+SUMIFS(Взаиморасчёты!$E$5:$E$504,Взаиморасчёты!$C$5:$C$504,"Зачёт аванса по договору",Взаиморасчёты!$F$5:$F$504,B22,Взаиморасчёты!$B$5:$B$504,"&gt;="&amp;E22))</x:f>
        <x:v/>
      </x:c>
      <x:c r="L22" s="185" t="str">
        <x:f t="shared" si="2"/>
        <x:v/>
      </x:c>
      <x:c r="M22" s="281" t="str">
        <x:f t="shared" si="3"/>
        <x:v/>
      </x:c>
      <x:c r="N22" s="186" t="str">
        <x:f>IF(AND(B22="",C22="",D22=""),"",IF(B22="","БЛОК: нужен идентификатор акта — по нему распределяются оплаты",IF(COUNTIF($B$5:$B$34,B22)&gt;1,"БЛОК: идентификатор акта повторяется — оплату нельзя отнести однозначно",IF(NOT(ISNUMBER(D22)),"БЛОК: нужен последний день срока оплаты по этому акту",IF(COUNTIF(Взаиморасчёты!$F$5:$F$504,B22)=0,"БЛОК: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переносится",IF(N(H22)&lt;0,"БЛОК: до первого дня просрочки оплачено и зачтено больше, чем начислено по акту — проверьте распределение",IF(N(L22)&lt;0,"БЛОК: оплаты с первого дня просрочки больше долга на первый день просрочки — проверьте распределение",IF(N(I22)&gt;N(L22),"БЛОК: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2" s="261" t="str">
        <x:f t="shared" si="4"/>
        <x:v/>
      </x:c>
      <x:c r="P22" s="46"/>
      <x:c r="Q22" s="46"/>
      <x:c r="R22" s="46"/>
    </x:row>
    <x:row r="23" ht="35" customHeight="1">
      <x:c r="A23" s="259">
        <x:v>19</x:v>
      </x:c>
      <x:c r="B23" s="163"/>
      <x:c r="C23" s="163"/>
      <x:c r="D23" s="162"/>
      <x:c r="E23" s="260" t="str">
        <x:f t="shared" si="0"/>
        <x:v/>
      </x:c>
      <x:c r="F23" s="185" t="str">
        <x:f>IF(B23="","",SUMIFS(Взаиморасчёты!$E$5:$E$504,Взаиморасчёты!$C$5:$C$504,"Начисление по акту",Взаиморасчёты!$F$5:$F$504,B23)+SUMIFS(Взаиморасчёты!$E$5:$E$504,Взаиморасчёты!$C$5:$C$504,"Корректировка (подписана обеими сторонами)",Взаиморасчёты!$F$5:$F$504,B23))</x:f>
        <x:v/>
      </x:c>
      <x:c r="G23" s="185" t="str">
        <x:f>IF(OR(B23="",E23=""),"",SUMIFS(Взаиморасчёты!$E$5:$E$504,Взаиморасчёты!$C$5:$C$504,"Оплата",Взаиморасчёты!$F$5:$F$504,B23,Взаиморасчёты!$B$5:$B$504,"&lt;"&amp;E23)+SUMIFS(Взаиморасчёты!$E$5:$E$504,Взаиморасчёты!$C$5:$C$504,"Зачёт аванса по договору",Взаиморасчёты!$F$5:$F$504,B23,Взаиморасчёты!$B$5:$B$504,"&lt;"&amp;E23))</x:f>
        <x:v/>
      </x:c>
      <x:c r="H23" s="185" t="str">
        <x:f>IF(OR(B23="",E23=""),"",IF(NOT(ISNUMBER(Взаиморасчёты!$M$10)),"ЗАБЛОКИРОВАН",F23-G23))</x:f>
        <x:v/>
      </x:c>
      <x:c r="I23" s="185" t="str">
        <x:f>IF(B23="","",SUMIFS(Взаиморасчёты!$H$5:$H$504,Взаиморасчёты!$F$5:$F$504,B23))</x:f>
        <x:v/>
      </x:c>
      <x:c r="J23" s="281" t="str">
        <x:f t="shared" si="1"/>
        <x:v/>
      </x:c>
      <x:c r="K23" s="185" t="str">
        <x:f>IF(OR(B23="",E23=""),"",SUMIFS(Взаиморасчёты!$E$5:$E$504,Взаиморасчёты!$C$5:$C$504,"Оплата",Взаиморасчёты!$F$5:$F$504,B23,Взаиморасчёты!$B$5:$B$504,"&gt;="&amp;E23)+SUMIFS(Взаиморасчёты!$E$5:$E$504,Взаиморасчёты!$C$5:$C$504,"Зачёт аванса по договору",Взаиморасчёты!$F$5:$F$504,B23,Взаиморасчёты!$B$5:$B$504,"&gt;="&amp;E23))</x:f>
        <x:v/>
      </x:c>
      <x:c r="L23" s="185" t="str">
        <x:f t="shared" si="2"/>
        <x:v/>
      </x:c>
      <x:c r="M23" s="281" t="str">
        <x:f t="shared" si="3"/>
        <x:v/>
      </x:c>
      <x:c r="N23" s="186" t="str">
        <x:f>IF(AND(B23="",C23="",D23=""),"",IF(B23="","БЛОК: нужен идентификатор акта — по нему распределяются оплаты",IF(COUNTIF($B$5:$B$34,B23)&gt;1,"БЛОК: идентификатор акта повторяется — оплату нельзя отнести однозначно",IF(NOT(ISNUMBER(D23)),"БЛОК: нужен последний день срока оплаты по этому акту",IF(COUNTIF(Взаиморасчёты!$F$5:$F$504,B23)=0,"БЛОК: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переносится",IF(N(H23)&lt;0,"БЛОК: до первого дня просрочки оплачено и зачтено больше, чем начислено по акту — проверьте распределение",IF(N(L23)&lt;0,"БЛОК: оплаты с первого дня просрочки больше долга на первый день просрочки — проверьте распределение",IF(N(I23)&gt;N(L23),"БЛОК: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3" s="261" t="str">
        <x:f t="shared" si="4"/>
        <x:v/>
      </x:c>
      <x:c r="P23" s="46"/>
      <x:c r="Q23" s="46"/>
      <x:c r="R23" s="46"/>
    </x:row>
    <x:row r="24" ht="35" customHeight="1">
      <x:c r="A24" s="259">
        <x:v>20</x:v>
      </x:c>
      <x:c r="B24" s="163"/>
      <x:c r="C24" s="163"/>
      <x:c r="D24" s="162"/>
      <x:c r="E24" s="260" t="str">
        <x:f t="shared" si="0"/>
        <x:v/>
      </x:c>
      <x:c r="F24" s="185" t="str">
        <x:f>IF(B24="","",SUMIFS(Взаиморасчёты!$E$5:$E$504,Взаиморасчёты!$C$5:$C$504,"Начисление по акту",Взаиморасчёты!$F$5:$F$504,B24)+SUMIFS(Взаиморасчёты!$E$5:$E$504,Взаиморасчёты!$C$5:$C$504,"Корректировка (подписана обеими сторонами)",Взаиморасчёты!$F$5:$F$504,B24))</x:f>
        <x:v/>
      </x:c>
      <x:c r="G24" s="185" t="str">
        <x:f>IF(OR(B24="",E24=""),"",SUMIFS(Взаиморасчёты!$E$5:$E$504,Взаиморасчёты!$C$5:$C$504,"Оплата",Взаиморасчёты!$F$5:$F$504,B24,Взаиморасчёты!$B$5:$B$504,"&lt;"&amp;E24)+SUMIFS(Взаиморасчёты!$E$5:$E$504,Взаиморасчёты!$C$5:$C$504,"Зачёт аванса по договору",Взаиморасчёты!$F$5:$F$504,B24,Взаиморасчёты!$B$5:$B$504,"&lt;"&amp;E24))</x:f>
        <x:v/>
      </x:c>
      <x:c r="H24" s="185" t="str">
        <x:f>IF(OR(B24="",E24=""),"",IF(NOT(ISNUMBER(Взаиморасчёты!$M$10)),"ЗАБЛОКИРОВАН",F24-G24))</x:f>
        <x:v/>
      </x:c>
      <x:c r="I24" s="185" t="str">
        <x:f>IF(B24="","",SUMIFS(Взаиморасчёты!$H$5:$H$504,Взаиморасчёты!$F$5:$F$504,B24))</x:f>
        <x:v/>
      </x:c>
      <x:c r="J24" s="281" t="str">
        <x:f t="shared" si="1"/>
        <x:v/>
      </x:c>
      <x:c r="K24" s="185" t="str">
        <x:f>IF(OR(B24="",E24=""),"",SUMIFS(Взаиморасчёты!$E$5:$E$504,Взаиморасчёты!$C$5:$C$504,"Оплата",Взаиморасчёты!$F$5:$F$504,B24,Взаиморасчёты!$B$5:$B$504,"&gt;="&amp;E24)+SUMIFS(Взаиморасчёты!$E$5:$E$504,Взаиморасчёты!$C$5:$C$504,"Зачёт аванса по договору",Взаиморасчёты!$F$5:$F$504,B24,Взаиморасчёты!$B$5:$B$504,"&gt;="&amp;E24))</x:f>
        <x:v/>
      </x:c>
      <x:c r="L24" s="185" t="str">
        <x:f t="shared" si="2"/>
        <x:v/>
      </x:c>
      <x:c r="M24" s="281" t="str">
        <x:f t="shared" si="3"/>
        <x:v/>
      </x:c>
      <x:c r="N24" s="186" t="str">
        <x:f>IF(AND(B24="",C24="",D24=""),"",IF(B24="","БЛОК: нужен идентификатор акта — по нему распределяются оплаты",IF(COUNTIF($B$5:$B$34,B24)&gt;1,"БЛОК: идентификатор акта повторяется — оплату нельзя отнести однозначно",IF(NOT(ISNUMBER(D24)),"БЛОК: нужен последний день срока оплаты по этому акту",IF(COUNTIF(Взаиморасчёты!$F$5:$F$504,B24)=0,"БЛОК: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переносится",IF(N(H24)&lt;0,"БЛОК: до первого дня просрочки оплачено и зачтено больше, чем начислено по акту — проверьте распределение",IF(N(L24)&lt;0,"БЛОК: оплаты с первого дня просрочки больше долга на первый день просрочки — проверьте распределение",IF(N(I24)&gt;N(L24),"БЛОК: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4" s="261" t="str">
        <x:f t="shared" si="4"/>
        <x:v/>
      </x:c>
      <x:c r="P24" s="46"/>
      <x:c r="Q24" s="46"/>
      <x:c r="R24" s="46"/>
    </x:row>
    <x:row r="25" ht="35" customHeight="1">
      <x:c r="A25" s="259">
        <x:v>21</x:v>
      </x:c>
      <x:c r="B25" s="163"/>
      <x:c r="C25" s="163"/>
      <x:c r="D25" s="162"/>
      <x:c r="E25" s="260" t="str">
        <x:f t="shared" si="0"/>
        <x:v/>
      </x:c>
      <x:c r="F25" s="185" t="str">
        <x:f>IF(B25="","",SUMIFS(Взаиморасчёты!$E$5:$E$504,Взаиморасчёты!$C$5:$C$504,"Начисление по акту",Взаиморасчёты!$F$5:$F$504,B25)+SUMIFS(Взаиморасчёты!$E$5:$E$504,Взаиморасчёты!$C$5:$C$504,"Корректировка (подписана обеими сторонами)",Взаиморасчёты!$F$5:$F$504,B25))</x:f>
        <x:v/>
      </x:c>
      <x:c r="G25" s="185" t="str">
        <x:f>IF(OR(B25="",E25=""),"",SUMIFS(Взаиморасчёты!$E$5:$E$504,Взаиморасчёты!$C$5:$C$504,"Оплата",Взаиморасчёты!$F$5:$F$504,B25,Взаиморасчёты!$B$5:$B$504,"&lt;"&amp;E25)+SUMIFS(Взаиморасчёты!$E$5:$E$504,Взаиморасчёты!$C$5:$C$504,"Зачёт аванса по договору",Взаиморасчёты!$F$5:$F$504,B25,Взаиморасчёты!$B$5:$B$504,"&lt;"&amp;E25))</x:f>
        <x:v/>
      </x:c>
      <x:c r="H25" s="185" t="str">
        <x:f>IF(OR(B25="",E25=""),"",IF(NOT(ISNUMBER(Взаиморасчёты!$M$10)),"ЗАБЛОКИРОВАН",F25-G25))</x:f>
        <x:v/>
      </x:c>
      <x:c r="I25" s="185" t="str">
        <x:f>IF(B25="","",SUMIFS(Взаиморасчёты!$H$5:$H$504,Взаиморасчёты!$F$5:$F$504,B25))</x:f>
        <x:v/>
      </x:c>
      <x:c r="J25" s="281" t="str">
        <x:f t="shared" si="1"/>
        <x:v/>
      </x:c>
      <x:c r="K25" s="185" t="str">
        <x:f>IF(OR(B25="",E25=""),"",SUMIFS(Взаиморасчёты!$E$5:$E$504,Взаиморасчёты!$C$5:$C$504,"Оплата",Взаиморасчёты!$F$5:$F$504,B25,Взаиморасчёты!$B$5:$B$504,"&gt;="&amp;E25)+SUMIFS(Взаиморасчёты!$E$5:$E$504,Взаиморасчёты!$C$5:$C$504,"Зачёт аванса по договору",Взаиморасчёты!$F$5:$F$504,B25,Взаиморасчёты!$B$5:$B$504,"&gt;="&amp;E25))</x:f>
        <x:v/>
      </x:c>
      <x:c r="L25" s="185" t="str">
        <x:f t="shared" si="2"/>
        <x:v/>
      </x:c>
      <x:c r="M25" s="281" t="str">
        <x:f t="shared" si="3"/>
        <x:v/>
      </x:c>
      <x:c r="N25" s="186" t="str">
        <x:f>IF(AND(B25="",C25="",D25=""),"",IF(B25="","БЛОК: нужен идентификатор акта — по нему распределяются оплаты",IF(COUNTIF($B$5:$B$34,B25)&gt;1,"БЛОК: идентификатор акта повторяется — оплату нельзя отнести однозначно",IF(NOT(ISNUMBER(D25)),"БЛОК: нужен последний день срока оплаты по этому акту",IF(COUNTIF(Взаиморасчёты!$F$5:$F$504,B25)=0,"БЛОК: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переносится",IF(N(H25)&lt;0,"БЛОК: до первого дня просрочки оплачено и зачтено больше, чем начислено по акту — проверьте распределение",IF(N(L25)&lt;0,"БЛОК: оплаты с первого дня просрочки больше долга на первый день просрочки — проверьте распределение",IF(N(I25)&gt;N(L25),"БЛОК: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5" s="261" t="str">
        <x:f t="shared" si="4"/>
        <x:v/>
      </x:c>
      <x:c r="P25" s="46"/>
      <x:c r="Q25" s="46"/>
      <x:c r="R25" s="46"/>
    </x:row>
    <x:row r="26" ht="35" customHeight="1">
      <x:c r="A26" s="259">
        <x:v>22</x:v>
      </x:c>
      <x:c r="B26" s="163"/>
      <x:c r="C26" s="163"/>
      <x:c r="D26" s="162"/>
      <x:c r="E26" s="260" t="str">
        <x:f t="shared" si="0"/>
        <x:v/>
      </x:c>
      <x:c r="F26" s="185" t="str">
        <x:f>IF(B26="","",SUMIFS(Взаиморасчёты!$E$5:$E$504,Взаиморасчёты!$C$5:$C$504,"Начисление по акту",Взаиморасчёты!$F$5:$F$504,B26)+SUMIFS(Взаиморасчёты!$E$5:$E$504,Взаиморасчёты!$C$5:$C$504,"Корректировка (подписана обеими сторонами)",Взаиморасчёты!$F$5:$F$504,B26))</x:f>
        <x:v/>
      </x:c>
      <x:c r="G26" s="185" t="str">
        <x:f>IF(OR(B26="",E26=""),"",SUMIFS(Взаиморасчёты!$E$5:$E$504,Взаиморасчёты!$C$5:$C$504,"Оплата",Взаиморасчёты!$F$5:$F$504,B26,Взаиморасчёты!$B$5:$B$504,"&lt;"&amp;E26)+SUMIFS(Взаиморасчёты!$E$5:$E$504,Взаиморасчёты!$C$5:$C$504,"Зачёт аванса по договору",Взаиморасчёты!$F$5:$F$504,B26,Взаиморасчёты!$B$5:$B$504,"&lt;"&amp;E26))</x:f>
        <x:v/>
      </x:c>
      <x:c r="H26" s="185" t="str">
        <x:f>IF(OR(B26="",E26=""),"",IF(NOT(ISNUMBER(Взаиморасчёты!$M$10)),"ЗАБЛОКИРОВАН",F26-G26))</x:f>
        <x:v/>
      </x:c>
      <x:c r="I26" s="185" t="str">
        <x:f>IF(B26="","",SUMIFS(Взаиморасчёты!$H$5:$H$504,Взаиморасчёты!$F$5:$F$504,B26))</x:f>
        <x:v/>
      </x:c>
      <x:c r="J26" s="281" t="str">
        <x:f t="shared" si="1"/>
        <x:v/>
      </x:c>
      <x:c r="K26" s="185" t="str">
        <x:f>IF(OR(B26="",E26=""),"",SUMIFS(Взаиморасчёты!$E$5:$E$504,Взаиморасчёты!$C$5:$C$504,"Оплата",Взаиморасчёты!$F$5:$F$504,B26,Взаиморасчёты!$B$5:$B$504,"&gt;="&amp;E26)+SUMIFS(Взаиморасчёты!$E$5:$E$504,Взаиморасчёты!$C$5:$C$504,"Зачёт аванса по договору",Взаиморасчёты!$F$5:$F$504,B26,Взаиморасчёты!$B$5:$B$504,"&gt;="&amp;E26))</x:f>
        <x:v/>
      </x:c>
      <x:c r="L26" s="185" t="str">
        <x:f t="shared" si="2"/>
        <x:v/>
      </x:c>
      <x:c r="M26" s="281" t="str">
        <x:f t="shared" si="3"/>
        <x:v/>
      </x:c>
      <x:c r="N26" s="186" t="str">
        <x:f>IF(AND(B26="",C26="",D26=""),"",IF(B26="","БЛОК: нужен идентификатор акта — по нему распределяются оплаты",IF(COUNTIF($B$5:$B$34,B26)&gt;1,"БЛОК: идентификатор акта повторяется — оплату нельзя отнести однозначно",IF(NOT(ISNUMBER(D26)),"БЛОК: нужен последний день срока оплаты по этому акту",IF(COUNTIF(Взаиморасчёты!$F$5:$F$504,B26)=0,"БЛОК: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переносится",IF(N(H26)&lt;0,"БЛОК: до первого дня просрочки оплачено и зачтено больше, чем начислено по акту — проверьте распределение",IF(N(L26)&lt;0,"БЛОК: оплаты с первого дня просрочки больше долга на первый день просрочки — проверьте распределение",IF(N(I26)&gt;N(L26),"БЛОК: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6" s="261" t="str">
        <x:f t="shared" si="4"/>
        <x:v/>
      </x:c>
      <x:c r="P26" s="46"/>
      <x:c r="Q26" s="46"/>
      <x:c r="R26" s="46"/>
    </x:row>
    <x:row r="27" ht="35" customHeight="1">
      <x:c r="A27" s="259">
        <x:v>23</x:v>
      </x:c>
      <x:c r="B27" s="163"/>
      <x:c r="C27" s="163"/>
      <x:c r="D27" s="162"/>
      <x:c r="E27" s="260" t="str">
        <x:f t="shared" si="0"/>
        <x:v/>
      </x:c>
      <x:c r="F27" s="185" t="str">
        <x:f>IF(B27="","",SUMIFS(Взаиморасчёты!$E$5:$E$504,Взаиморасчёты!$C$5:$C$504,"Начисление по акту",Взаиморасчёты!$F$5:$F$504,B27)+SUMIFS(Взаиморасчёты!$E$5:$E$504,Взаиморасчёты!$C$5:$C$504,"Корректировка (подписана обеими сторонами)",Взаиморасчёты!$F$5:$F$504,B27))</x:f>
        <x:v/>
      </x:c>
      <x:c r="G27" s="185" t="str">
        <x:f>IF(OR(B27="",E27=""),"",SUMIFS(Взаиморасчёты!$E$5:$E$504,Взаиморасчёты!$C$5:$C$504,"Оплата",Взаиморасчёты!$F$5:$F$504,B27,Взаиморасчёты!$B$5:$B$504,"&lt;"&amp;E27)+SUMIFS(Взаиморасчёты!$E$5:$E$504,Взаиморасчёты!$C$5:$C$504,"Зачёт аванса по договору",Взаиморасчёты!$F$5:$F$504,B27,Взаиморасчёты!$B$5:$B$504,"&lt;"&amp;E27))</x:f>
        <x:v/>
      </x:c>
      <x:c r="H27" s="185" t="str">
        <x:f>IF(OR(B27="",E27=""),"",IF(NOT(ISNUMBER(Взаиморасчёты!$M$10)),"ЗАБЛОКИРОВАН",F27-G27))</x:f>
        <x:v/>
      </x:c>
      <x:c r="I27" s="185" t="str">
        <x:f>IF(B27="","",SUMIFS(Взаиморасчёты!$H$5:$H$504,Взаиморасчёты!$F$5:$F$504,B27))</x:f>
        <x:v/>
      </x:c>
      <x:c r="J27" s="281" t="str">
        <x:f t="shared" si="1"/>
        <x:v/>
      </x:c>
      <x:c r="K27" s="185" t="str">
        <x:f>IF(OR(B27="",E27=""),"",SUMIFS(Взаиморасчёты!$E$5:$E$504,Взаиморасчёты!$C$5:$C$504,"Оплата",Взаиморасчёты!$F$5:$F$504,B27,Взаиморасчёты!$B$5:$B$504,"&gt;="&amp;E27)+SUMIFS(Взаиморасчёты!$E$5:$E$504,Взаиморасчёты!$C$5:$C$504,"Зачёт аванса по договору",Взаиморасчёты!$F$5:$F$504,B27,Взаиморасчёты!$B$5:$B$504,"&gt;="&amp;E27))</x:f>
        <x:v/>
      </x:c>
      <x:c r="L27" s="185" t="str">
        <x:f t="shared" si="2"/>
        <x:v/>
      </x:c>
      <x:c r="M27" s="281" t="str">
        <x:f t="shared" si="3"/>
        <x:v/>
      </x:c>
      <x:c r="N27" s="186" t="str">
        <x:f>IF(AND(B27="",C27="",D27=""),"",IF(B27="","БЛОК: нужен идентификатор акта — по нему распределяются оплаты",IF(COUNTIF($B$5:$B$34,B27)&gt;1,"БЛОК: идентификатор акта повторяется — оплату нельзя отнести однозначно",IF(NOT(ISNUMBER(D27)),"БЛОК: нужен последний день срока оплаты по этому акту",IF(COUNTIF(Взаиморасчёты!$F$5:$F$504,B27)=0,"БЛОК: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переносится",IF(N(H27)&lt;0,"БЛОК: до первого дня просрочки оплачено и зачтено больше, чем начислено по акту — проверьте распределение",IF(N(L27)&lt;0,"БЛОК: оплаты с первого дня просрочки больше долга на первый день просрочки — проверьте распределение",IF(N(I27)&gt;N(L27),"БЛОК: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7" s="261" t="str">
        <x:f t="shared" si="4"/>
        <x:v/>
      </x:c>
      <x:c r="P27" s="46"/>
      <x:c r="Q27" s="46"/>
      <x:c r="R27" s="46"/>
    </x:row>
    <x:row r="28" ht="35" customHeight="1">
      <x:c r="A28" s="259">
        <x:v>24</x:v>
      </x:c>
      <x:c r="B28" s="163"/>
      <x:c r="C28" s="163"/>
      <x:c r="D28" s="162"/>
      <x:c r="E28" s="260" t="str">
        <x:f t="shared" si="0"/>
        <x:v/>
      </x:c>
      <x:c r="F28" s="185" t="str">
        <x:f>IF(B28="","",SUMIFS(Взаиморасчёты!$E$5:$E$504,Взаиморасчёты!$C$5:$C$504,"Начисление по акту",Взаиморасчёты!$F$5:$F$504,B28)+SUMIFS(Взаиморасчёты!$E$5:$E$504,Взаиморасчёты!$C$5:$C$504,"Корректировка (подписана обеими сторонами)",Взаиморасчёты!$F$5:$F$504,B28))</x:f>
        <x:v/>
      </x:c>
      <x:c r="G28" s="185" t="str">
        <x:f>IF(OR(B28="",E28=""),"",SUMIFS(Взаиморасчёты!$E$5:$E$504,Взаиморасчёты!$C$5:$C$504,"Оплата",Взаиморасчёты!$F$5:$F$504,B28,Взаиморасчёты!$B$5:$B$504,"&lt;"&amp;E28)+SUMIFS(Взаиморасчёты!$E$5:$E$504,Взаиморасчёты!$C$5:$C$504,"Зачёт аванса по договору",Взаиморасчёты!$F$5:$F$504,B28,Взаиморасчёты!$B$5:$B$504,"&lt;"&amp;E28))</x:f>
        <x:v/>
      </x:c>
      <x:c r="H28" s="185" t="str">
        <x:f>IF(OR(B28="",E28=""),"",IF(NOT(ISNUMBER(Взаиморасчёты!$M$10)),"ЗАБЛОКИРОВАН",F28-G28))</x:f>
        <x:v/>
      </x:c>
      <x:c r="I28" s="185" t="str">
        <x:f>IF(B28="","",SUMIFS(Взаиморасчёты!$H$5:$H$504,Взаиморасчёты!$F$5:$F$504,B28))</x:f>
        <x:v/>
      </x:c>
      <x:c r="J28" s="281" t="str">
        <x:f t="shared" si="1"/>
        <x:v/>
      </x:c>
      <x:c r="K28" s="185" t="str">
        <x:f>IF(OR(B28="",E28=""),"",SUMIFS(Взаиморасчёты!$E$5:$E$504,Взаиморасчёты!$C$5:$C$504,"Оплата",Взаиморасчёты!$F$5:$F$504,B28,Взаиморасчёты!$B$5:$B$504,"&gt;="&amp;E28)+SUMIFS(Взаиморасчёты!$E$5:$E$504,Взаиморасчёты!$C$5:$C$504,"Зачёт аванса по договору",Взаиморасчёты!$F$5:$F$504,B28,Взаиморасчёты!$B$5:$B$504,"&gt;="&amp;E28))</x:f>
        <x:v/>
      </x:c>
      <x:c r="L28" s="185" t="str">
        <x:f t="shared" si="2"/>
        <x:v/>
      </x:c>
      <x:c r="M28" s="281" t="str">
        <x:f t="shared" si="3"/>
        <x:v/>
      </x:c>
      <x:c r="N28" s="186" t="str">
        <x:f>IF(AND(B28="",C28="",D28=""),"",IF(B28="","БЛОК: нужен идентификатор акта — по нему распределяются оплаты",IF(COUNTIF($B$5:$B$34,B28)&gt;1,"БЛОК: идентификатор акта повторяется — оплату нельзя отнести однозначно",IF(NOT(ISNUMBER(D28)),"БЛОК: нужен последний день срока оплаты по этому акту",IF(COUNTIF(Взаиморасчёты!$F$5:$F$504,B28)=0,"БЛОК: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переносится",IF(N(H28)&lt;0,"БЛОК: до первого дня просрочки оплачено и зачтено больше, чем начислено по акту — проверьте распределение",IF(N(L28)&lt;0,"БЛОК: оплаты с первого дня просрочки больше долга на первый день просрочки — проверьте распределение",IF(N(I28)&gt;N(L28),"БЛОК: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8" s="261" t="str">
        <x:f t="shared" si="4"/>
        <x:v/>
      </x:c>
      <x:c r="P28" s="46"/>
      <x:c r="Q28" s="46"/>
      <x:c r="R28" s="46"/>
    </x:row>
    <x:row r="29" ht="35" customHeight="1">
      <x:c r="A29" s="259">
        <x:v>25</x:v>
      </x:c>
      <x:c r="B29" s="163"/>
      <x:c r="C29" s="163"/>
      <x:c r="D29" s="162"/>
      <x:c r="E29" s="260" t="str">
        <x:f t="shared" si="0"/>
        <x:v/>
      </x:c>
      <x:c r="F29" s="185" t="str">
        <x:f>IF(B29="","",SUMIFS(Взаиморасчёты!$E$5:$E$504,Взаиморасчёты!$C$5:$C$504,"Начисление по акту",Взаиморасчёты!$F$5:$F$504,B29)+SUMIFS(Взаиморасчёты!$E$5:$E$504,Взаиморасчёты!$C$5:$C$504,"Корректировка (подписана обеими сторонами)",Взаиморасчёты!$F$5:$F$504,B29))</x:f>
        <x:v/>
      </x:c>
      <x:c r="G29" s="185" t="str">
        <x:f>IF(OR(B29="",E29=""),"",SUMIFS(Взаиморасчёты!$E$5:$E$504,Взаиморасчёты!$C$5:$C$504,"Оплата",Взаиморасчёты!$F$5:$F$504,B29,Взаиморасчёты!$B$5:$B$504,"&lt;"&amp;E29)+SUMIFS(Взаиморасчёты!$E$5:$E$504,Взаиморасчёты!$C$5:$C$504,"Зачёт аванса по договору",Взаиморасчёты!$F$5:$F$504,B29,Взаиморасчёты!$B$5:$B$504,"&lt;"&amp;E29))</x:f>
        <x:v/>
      </x:c>
      <x:c r="H29" s="185" t="str">
        <x:f>IF(OR(B29="",E29=""),"",IF(NOT(ISNUMBER(Взаиморасчёты!$M$10)),"ЗАБЛОКИРОВАН",F29-G29))</x:f>
        <x:v/>
      </x:c>
      <x:c r="I29" s="185" t="str">
        <x:f>IF(B29="","",SUMIFS(Взаиморасчёты!$H$5:$H$504,Взаиморасчёты!$F$5:$F$504,B29))</x:f>
        <x:v/>
      </x:c>
      <x:c r="J29" s="281" t="str">
        <x:f t="shared" si="1"/>
        <x:v/>
      </x:c>
      <x:c r="K29" s="185" t="str">
        <x:f>IF(OR(B29="",E29=""),"",SUMIFS(Взаиморасчёты!$E$5:$E$504,Взаиморасчёты!$C$5:$C$504,"Оплата",Взаиморасчёты!$F$5:$F$504,B29,Взаиморасчёты!$B$5:$B$504,"&gt;="&amp;E29)+SUMIFS(Взаиморасчёты!$E$5:$E$504,Взаиморасчёты!$C$5:$C$504,"Зачёт аванса по договору",Взаиморасчёты!$F$5:$F$504,B29,Взаиморасчёты!$B$5:$B$504,"&gt;="&amp;E29))</x:f>
        <x:v/>
      </x:c>
      <x:c r="L29" s="185" t="str">
        <x:f t="shared" si="2"/>
        <x:v/>
      </x:c>
      <x:c r="M29" s="281" t="str">
        <x:f t="shared" si="3"/>
        <x:v/>
      </x:c>
      <x:c r="N29" s="186" t="str">
        <x:f>IF(AND(B29="",C29="",D29=""),"",IF(B29="","БЛОК: нужен идентификатор акта — по нему распределяются оплаты",IF(COUNTIF($B$5:$B$34,B29)&gt;1,"БЛОК: идентификатор акта повторяется — оплату нельзя отнести однозначно",IF(NOT(ISNUMBER(D29)),"БЛОК: нужен последний день срока оплаты по этому акту",IF(COUNTIF(Взаиморасчёты!$F$5:$F$504,B29)=0,"БЛОК: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переносится",IF(N(H29)&lt;0,"БЛОК: до первого дня просрочки оплачено и зачтено больше, чем начислено по акту — проверьте распределение",IF(N(L29)&lt;0,"БЛОК: оплаты с первого дня просрочки больше долга на первый день просрочки — проверьте распределение",IF(N(I29)&gt;N(L29),"БЛОК: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29" s="261" t="str">
        <x:f t="shared" si="4"/>
        <x:v/>
      </x:c>
      <x:c r="P29" s="46"/>
      <x:c r="Q29" s="46"/>
      <x:c r="R29" s="46"/>
    </x:row>
    <x:row r="30" ht="35" customHeight="1">
      <x:c r="A30" s="259">
        <x:v>26</x:v>
      </x:c>
      <x:c r="B30" s="163"/>
      <x:c r="C30" s="163"/>
      <x:c r="D30" s="162"/>
      <x:c r="E30" s="260" t="str">
        <x:f t="shared" si="0"/>
        <x:v/>
      </x:c>
      <x:c r="F30" s="185" t="str">
        <x:f>IF(B30="","",SUMIFS(Взаиморасчёты!$E$5:$E$504,Взаиморасчёты!$C$5:$C$504,"Начисление по акту",Взаиморасчёты!$F$5:$F$504,B30)+SUMIFS(Взаиморасчёты!$E$5:$E$504,Взаиморасчёты!$C$5:$C$504,"Корректировка (подписана обеими сторонами)",Взаиморасчёты!$F$5:$F$504,B30))</x:f>
        <x:v/>
      </x:c>
      <x:c r="G30" s="185" t="str">
        <x:f>IF(OR(B30="",E30=""),"",SUMIFS(Взаиморасчёты!$E$5:$E$504,Взаиморасчёты!$C$5:$C$504,"Оплата",Взаиморасчёты!$F$5:$F$504,B30,Взаиморасчёты!$B$5:$B$504,"&lt;"&amp;E30)+SUMIFS(Взаиморасчёты!$E$5:$E$504,Взаиморасчёты!$C$5:$C$504,"Зачёт аванса по договору",Взаиморасчёты!$F$5:$F$504,B30,Взаиморасчёты!$B$5:$B$504,"&lt;"&amp;E30))</x:f>
        <x:v/>
      </x:c>
      <x:c r="H30" s="185" t="str">
        <x:f>IF(OR(B30="",E30=""),"",IF(NOT(ISNUMBER(Взаиморасчёты!$M$10)),"ЗАБЛОКИРОВАН",F30-G30))</x:f>
        <x:v/>
      </x:c>
      <x:c r="I30" s="185" t="str">
        <x:f>IF(B30="","",SUMIFS(Взаиморасчёты!$H$5:$H$504,Взаиморасчёты!$F$5:$F$504,B30))</x:f>
        <x:v/>
      </x:c>
      <x:c r="J30" s="281" t="str">
        <x:f t="shared" si="1"/>
        <x:v/>
      </x:c>
      <x:c r="K30" s="185" t="str">
        <x:f>IF(OR(B30="",E30=""),"",SUMIFS(Взаиморасчёты!$E$5:$E$504,Взаиморасчёты!$C$5:$C$504,"Оплата",Взаиморасчёты!$F$5:$F$504,B30,Взаиморасчёты!$B$5:$B$504,"&gt;="&amp;E30)+SUMIFS(Взаиморасчёты!$E$5:$E$504,Взаиморасчёты!$C$5:$C$504,"Зачёт аванса по договору",Взаиморасчёты!$F$5:$F$504,B30,Взаиморасчёты!$B$5:$B$504,"&gt;="&amp;E30))</x:f>
        <x:v/>
      </x:c>
      <x:c r="L30" s="185" t="str">
        <x:f t="shared" si="2"/>
        <x:v/>
      </x:c>
      <x:c r="M30" s="281" t="str">
        <x:f t="shared" si="3"/>
        <x:v/>
      </x:c>
      <x:c r="N30" s="186" t="str">
        <x:f>IF(AND(B30="",C30="",D30=""),"",IF(B30="","БЛОК: нужен идентификатор акта — по нему распределяются оплаты",IF(COUNTIF($B$5:$B$34,B30)&gt;1,"БЛОК: идентификатор акта повторяется — оплату нельзя отнести однозначно",IF(NOT(ISNUMBER(D30)),"БЛОК: нужен последний день срока оплаты по этому акту",IF(COUNTIF(Взаиморасчёты!$F$5:$F$504,B30)=0,"БЛОК: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переносится",IF(N(H30)&lt;0,"БЛОК: до первого дня просрочки оплачено и зачтено больше, чем начислено по акту — проверьте распределение",IF(N(L30)&lt;0,"БЛОК: оплаты с первого дня просрочки больше долга на первый день просрочки — проверьте распределение",IF(N(I30)&gt;N(L30),"БЛОК: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30" s="261" t="str">
        <x:f t="shared" si="4"/>
        <x:v/>
      </x:c>
      <x:c r="P30" s="46"/>
      <x:c r="Q30" s="46"/>
      <x:c r="R30" s="46"/>
    </x:row>
    <x:row r="31" ht="35" customHeight="1">
      <x:c r="A31" s="259">
        <x:v>27</x:v>
      </x:c>
      <x:c r="B31" s="163"/>
      <x:c r="C31" s="163"/>
      <x:c r="D31" s="162"/>
      <x:c r="E31" s="260" t="str">
        <x:f t="shared" si="0"/>
        <x:v/>
      </x:c>
      <x:c r="F31" s="185" t="str">
        <x:f>IF(B31="","",SUMIFS(Взаиморасчёты!$E$5:$E$504,Взаиморасчёты!$C$5:$C$504,"Начисление по акту",Взаиморасчёты!$F$5:$F$504,B31)+SUMIFS(Взаиморасчёты!$E$5:$E$504,Взаиморасчёты!$C$5:$C$504,"Корректировка (подписана обеими сторонами)",Взаиморасчёты!$F$5:$F$504,B31))</x:f>
        <x:v/>
      </x:c>
      <x:c r="G31" s="185" t="str">
        <x:f>IF(OR(B31="",E31=""),"",SUMIFS(Взаиморасчёты!$E$5:$E$504,Взаиморасчёты!$C$5:$C$504,"Оплата",Взаиморасчёты!$F$5:$F$504,B31,Взаиморасчёты!$B$5:$B$504,"&lt;"&amp;E31)+SUMIFS(Взаиморасчёты!$E$5:$E$504,Взаиморасчёты!$C$5:$C$504,"Зачёт аванса по договору",Взаиморасчёты!$F$5:$F$504,B31,Взаиморасчёты!$B$5:$B$504,"&lt;"&amp;E31))</x:f>
        <x:v/>
      </x:c>
      <x:c r="H31" s="185" t="str">
        <x:f>IF(OR(B31="",E31=""),"",IF(NOT(ISNUMBER(Взаиморасчёты!$M$10)),"ЗАБЛОКИРОВАН",F31-G31))</x:f>
        <x:v/>
      </x:c>
      <x:c r="I31" s="185" t="str">
        <x:f>IF(B31="","",SUMIFS(Взаиморасчёты!$H$5:$H$504,Взаиморасчёты!$F$5:$F$504,B31))</x:f>
        <x:v/>
      </x:c>
      <x:c r="J31" s="281" t="str">
        <x:f t="shared" si="1"/>
        <x:v/>
      </x:c>
      <x:c r="K31" s="185" t="str">
        <x:f>IF(OR(B31="",E31=""),"",SUMIFS(Взаиморасчёты!$E$5:$E$504,Взаиморасчёты!$C$5:$C$504,"Оплата",Взаиморасчёты!$F$5:$F$504,B31,Взаиморасчёты!$B$5:$B$504,"&gt;="&amp;E31)+SUMIFS(Взаиморасчёты!$E$5:$E$504,Взаиморасчёты!$C$5:$C$504,"Зачёт аванса по договору",Взаиморасчёты!$F$5:$F$504,B31,Взаиморасчёты!$B$5:$B$504,"&gt;="&amp;E31))</x:f>
        <x:v/>
      </x:c>
      <x:c r="L31" s="185" t="str">
        <x:f t="shared" si="2"/>
        <x:v/>
      </x:c>
      <x:c r="M31" s="281" t="str">
        <x:f t="shared" si="3"/>
        <x:v/>
      </x:c>
      <x:c r="N31" s="186" t="str">
        <x:f>IF(AND(B31="",C31="",D31=""),"",IF(B31="","БЛОК: нужен идентификатор акта — по нему распределяются оплаты",IF(COUNTIF($B$5:$B$34,B31)&gt;1,"БЛОК: идентификатор акта повторяется — оплату нельзя отнести однозначно",IF(NOT(ISNUMBER(D31)),"БЛОК: нужен последний день срока оплаты по этому акту",IF(COUNTIF(Взаиморасчёты!$F$5:$F$504,B31)=0,"БЛОК: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переносится",IF(N(H31)&lt;0,"БЛОК: до первого дня просрочки оплачено и зачтено больше, чем начислено по акту — проверьте распределение",IF(N(L31)&lt;0,"БЛОК: оплаты с первого дня просрочки больше долга на первый день просрочки — проверьте распределение",IF(N(I31)&gt;N(L31),"БЛОК: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31" s="261" t="str">
        <x:f t="shared" si="4"/>
        <x:v/>
      </x:c>
      <x:c r="P31" s="46"/>
      <x:c r="Q31" s="46"/>
      <x:c r="R31" s="46"/>
    </x:row>
    <x:row r="32" ht="35" customHeight="1">
      <x:c r="A32" s="259">
        <x:v>28</x:v>
      </x:c>
      <x:c r="B32" s="163"/>
      <x:c r="C32" s="163"/>
      <x:c r="D32" s="162"/>
      <x:c r="E32" s="260" t="str">
        <x:f t="shared" si="0"/>
        <x:v/>
      </x:c>
      <x:c r="F32" s="185" t="str">
        <x:f>IF(B32="","",SUMIFS(Взаиморасчёты!$E$5:$E$504,Взаиморасчёты!$C$5:$C$504,"Начисление по акту",Взаиморасчёты!$F$5:$F$504,B32)+SUMIFS(Взаиморасчёты!$E$5:$E$504,Взаиморасчёты!$C$5:$C$504,"Корректировка (подписана обеими сторонами)",Взаиморасчёты!$F$5:$F$504,B32))</x:f>
        <x:v/>
      </x:c>
      <x:c r="G32" s="185" t="str">
        <x:f>IF(OR(B32="",E32=""),"",SUMIFS(Взаиморасчёты!$E$5:$E$504,Взаиморасчёты!$C$5:$C$504,"Оплата",Взаиморасчёты!$F$5:$F$504,B32,Взаиморасчёты!$B$5:$B$504,"&lt;"&amp;E32)+SUMIFS(Взаиморасчёты!$E$5:$E$504,Взаиморасчёты!$C$5:$C$504,"Зачёт аванса по договору",Взаиморасчёты!$F$5:$F$504,B32,Взаиморасчёты!$B$5:$B$504,"&lt;"&amp;E32))</x:f>
        <x:v/>
      </x:c>
      <x:c r="H32" s="185" t="str">
        <x:f>IF(OR(B32="",E32=""),"",IF(NOT(ISNUMBER(Взаиморасчёты!$M$10)),"ЗАБЛОКИРОВАН",F32-G32))</x:f>
        <x:v/>
      </x:c>
      <x:c r="I32" s="185" t="str">
        <x:f>IF(B32="","",SUMIFS(Взаиморасчёты!$H$5:$H$504,Взаиморасчёты!$F$5:$F$504,B32))</x:f>
        <x:v/>
      </x:c>
      <x:c r="J32" s="281" t="str">
        <x:f t="shared" si="1"/>
        <x:v/>
      </x:c>
      <x:c r="K32" s="185" t="str">
        <x:f>IF(OR(B32="",E32=""),"",SUMIFS(Взаиморасчёты!$E$5:$E$504,Взаиморасчёты!$C$5:$C$504,"Оплата",Взаиморасчёты!$F$5:$F$504,B32,Взаиморасчёты!$B$5:$B$504,"&gt;="&amp;E32)+SUMIFS(Взаиморасчёты!$E$5:$E$504,Взаиморасчёты!$C$5:$C$504,"Зачёт аванса по договору",Взаиморасчёты!$F$5:$F$504,B32,Взаиморасчёты!$B$5:$B$504,"&gt;="&amp;E32))</x:f>
        <x:v/>
      </x:c>
      <x:c r="L32" s="185" t="str">
        <x:f t="shared" si="2"/>
        <x:v/>
      </x:c>
      <x:c r="M32" s="281" t="str">
        <x:f t="shared" si="3"/>
        <x:v/>
      </x:c>
      <x:c r="N32" s="186" t="str">
        <x:f>IF(AND(B32="",C32="",D32=""),"",IF(B32="","БЛОК: нужен идентификатор акта — по нему распределяются оплаты",IF(COUNTIF($B$5:$B$34,B32)&gt;1,"БЛОК: идентификатор акта повторяется — оплату нельзя отнести однозначно",IF(NOT(ISNUMBER(D32)),"БЛОК: нужен последний день срока оплаты по этому акту",IF(COUNTIF(Взаиморасчёты!$F$5:$F$504,B32)=0,"БЛОК: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переносится",IF(N(H32)&lt;0,"БЛОК: до первого дня просрочки оплачено и зачтено больше, чем начислено по акту — проверьте распределение",IF(N(L32)&lt;0,"БЛОК: оплаты с первого дня просрочки больше долга на первый день просрочки — проверьте распределение",IF(N(I32)&gt;N(L32),"БЛОК: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32" s="261" t="str">
        <x:f t="shared" si="4"/>
        <x:v/>
      </x:c>
      <x:c r="P32" s="46"/>
      <x:c r="Q32" s="46"/>
      <x:c r="R32" s="46"/>
    </x:row>
    <x:row r="33" ht="35" customHeight="1">
      <x:c r="A33" s="259">
        <x:v>29</x:v>
      </x:c>
      <x:c r="B33" s="163"/>
      <x:c r="C33" s="163"/>
      <x:c r="D33" s="162"/>
      <x:c r="E33" s="260" t="str">
        <x:f t="shared" si="0"/>
        <x:v/>
      </x:c>
      <x:c r="F33" s="185" t="str">
        <x:f>IF(B33="","",SUMIFS(Взаиморасчёты!$E$5:$E$504,Взаиморасчёты!$C$5:$C$504,"Начисление по акту",Взаиморасчёты!$F$5:$F$504,B33)+SUMIFS(Взаиморасчёты!$E$5:$E$504,Взаиморасчёты!$C$5:$C$504,"Корректировка (подписана обеими сторонами)",Взаиморасчёты!$F$5:$F$504,B33))</x:f>
        <x:v/>
      </x:c>
      <x:c r="G33" s="185" t="str">
        <x:f>IF(OR(B33="",E33=""),"",SUMIFS(Взаиморасчёты!$E$5:$E$504,Взаиморасчёты!$C$5:$C$504,"Оплата",Взаиморасчёты!$F$5:$F$504,B33,Взаиморасчёты!$B$5:$B$504,"&lt;"&amp;E33)+SUMIFS(Взаиморасчёты!$E$5:$E$504,Взаиморасчёты!$C$5:$C$504,"Зачёт аванса по договору",Взаиморасчёты!$F$5:$F$504,B33,Взаиморасчёты!$B$5:$B$504,"&lt;"&amp;E33))</x:f>
        <x:v/>
      </x:c>
      <x:c r="H33" s="185" t="str">
        <x:f>IF(OR(B33="",E33=""),"",IF(NOT(ISNUMBER(Взаиморасчёты!$M$10)),"ЗАБЛОКИРОВАН",F33-G33))</x:f>
        <x:v/>
      </x:c>
      <x:c r="I33" s="185" t="str">
        <x:f>IF(B33="","",SUMIFS(Взаиморасчёты!$H$5:$H$504,Взаиморасчёты!$F$5:$F$504,B33))</x:f>
        <x:v/>
      </x:c>
      <x:c r="J33" s="281" t="str">
        <x:f t="shared" si="1"/>
        <x:v/>
      </x:c>
      <x:c r="K33" s="185" t="str">
        <x:f>IF(OR(B33="",E33=""),"",SUMIFS(Взаиморасчёты!$E$5:$E$504,Взаиморасчёты!$C$5:$C$504,"Оплата",Взаиморасчёты!$F$5:$F$504,B33,Взаиморасчёты!$B$5:$B$504,"&gt;="&amp;E33)+SUMIFS(Взаиморасчёты!$E$5:$E$504,Взаиморасчёты!$C$5:$C$504,"Зачёт аванса по договору",Взаиморасчёты!$F$5:$F$504,B33,Взаиморасчёты!$B$5:$B$504,"&gt;="&amp;E33))</x:f>
        <x:v/>
      </x:c>
      <x:c r="L33" s="185" t="str">
        <x:f t="shared" si="2"/>
        <x:v/>
      </x:c>
      <x:c r="M33" s="281" t="str">
        <x:f t="shared" si="3"/>
        <x:v/>
      </x:c>
      <x:c r="N33" s="186" t="str">
        <x:f>IF(AND(B33="",C33="",D33=""),"",IF(B33="","БЛОК: нужен идентификатор акта — по нему распределяются оплаты",IF(COUNTIF($B$5:$B$34,B33)&gt;1,"БЛОК: идентификатор акта повторяется — оплату нельзя отнести однозначно",IF(NOT(ISNUMBER(D33)),"БЛОК: нужен последний день срока оплаты по этому акту",IF(COUNTIF(Взаиморасчёты!$F$5:$F$504,B33)=0,"БЛОК: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переносится",IF(N(H33)&lt;0,"БЛОК: до первого дня просрочки оплачено и зачтено больше, чем начислено по акту — проверьте распределение",IF(N(L33)&lt;0,"БЛОК: оплаты с первого дня просрочки больше долга на первый день просрочки — проверьте распределение",IF(N(I33)&gt;N(L33),"БЛОК: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33" s="261" t="str">
        <x:f t="shared" si="4"/>
        <x:v/>
      </x:c>
      <x:c r="P33" s="46"/>
      <x:c r="Q33" s="46"/>
      <x:c r="R33" s="46"/>
    </x:row>
    <x:row r="34" ht="35" customHeight="1">
      <x:c r="A34" s="262">
        <x:v>30</x:v>
      </x:c>
      <x:c r="B34" s="166"/>
      <x:c r="C34" s="166"/>
      <x:c r="D34" s="165"/>
      <x:c r="E34" s="263" t="str">
        <x:f t="shared" si="0"/>
        <x:v/>
      </x:c>
      <x:c r="F34" s="187" t="str">
        <x:f>IF(B34="","",SUMIFS(Взаиморасчёты!$E$5:$E$504,Взаиморасчёты!$C$5:$C$504,"Начисление по акту",Взаиморасчёты!$F$5:$F$504,B34)+SUMIFS(Взаиморасчёты!$E$5:$E$504,Взаиморасчёты!$C$5:$C$504,"Корректировка (подписана обеими сторонами)",Взаиморасчёты!$F$5:$F$504,B34))</x:f>
        <x:v/>
      </x:c>
      <x:c r="G34" s="187" t="str">
        <x:f>IF(OR(B34="",E34=""),"",SUMIFS(Взаиморасчёты!$E$5:$E$504,Взаиморасчёты!$C$5:$C$504,"Оплата",Взаиморасчёты!$F$5:$F$504,B34,Взаиморасчёты!$B$5:$B$504,"&lt;"&amp;E34)+SUMIFS(Взаиморасчёты!$E$5:$E$504,Взаиморасчёты!$C$5:$C$504,"Зачёт аванса по договору",Взаиморасчёты!$F$5:$F$504,B34,Взаиморасчёты!$B$5:$B$504,"&lt;"&amp;E34))</x:f>
        <x:v/>
      </x:c>
      <x:c r="H34" s="187" t="str">
        <x:f>IF(OR(B34="",E34=""),"",IF(NOT(ISNUMBER(Взаиморасчёты!$M$10)),"ЗАБЛОКИРОВАН",F34-G34))</x:f>
        <x:v/>
      </x:c>
      <x:c r="I34" s="187" t="str">
        <x:f>IF(B34="","",SUMIFS(Взаиморасчёты!$H$5:$H$504,Взаиморасчёты!$F$5:$F$504,B34))</x:f>
        <x:v/>
      </x:c>
      <x:c r="J34" s="282" t="str">
        <x:f t="shared" si="1"/>
        <x:v/>
      </x:c>
      <x:c r="K34" s="187" t="str">
        <x:f>IF(OR(B34="",E34=""),"",SUMIFS(Взаиморасчёты!$E$5:$E$504,Взаиморасчёты!$C$5:$C$504,"Оплата",Взаиморасчёты!$F$5:$F$504,B34,Взаиморасчёты!$B$5:$B$504,"&gt;="&amp;E34)+SUMIFS(Взаиморасчёты!$E$5:$E$504,Взаиморасчёты!$C$5:$C$504,"Зачёт аванса по договору",Взаиморасчёты!$F$5:$F$504,B34,Взаиморасчёты!$B$5:$B$504,"&gt;="&amp;E34))</x:f>
        <x:v/>
      </x:c>
      <x:c r="L34" s="187" t="str">
        <x:f t="shared" si="2"/>
        <x:v/>
      </x:c>
      <x:c r="M34" s="282" t="str">
        <x:f t="shared" si="3"/>
        <x:v/>
      </x:c>
      <x:c r="N34" s="188" t="str">
        <x:f>IF(AND(B34="",C34="",D34=""),"",IF(B34="","БЛОК: нужен идентификатор акта — по нему распределяются оплаты",IF(COUNTIF($B$5:$B$34,B34)&gt;1,"БЛОК: идентификатор акта повторяется — оплату нельзя отнести однозначно",IF(NOT(ISNUMBER(D34)),"БЛОК: нужен последний день срока оплаты по этому акту",IF(COUNTIF(Взаиморасчёты!$F$5:$F$504,B34)=0,"БЛОК: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переносится",IF(N(H34)&lt;0,"БЛОК: до первого дня просрочки оплачено и зачтено больше, чем начислено по акту — проверьте распределение",IF(N(L34)&lt;0,"БЛОК: оплаты с первого дня просрочки больше долга на первый день просрочки — проверьте распределение",IF(N(I34)&gt;N(L34),"БЛОК: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x:f>
        <x:v/>
      </x:c>
      <x:c r="O34" s="264" t="str">
        <x:f t="shared" si="4"/>
        <x:v/>
      </x:c>
      <x:c r="P34" s="46"/>
      <x:c r="Q34" s="46"/>
      <x:c r="R34" s="46"/>
    </x:row>
  </x:sheetData>
  <x:mergeCells>
    <x:mergeCell ref="A1:O1"/>
    <x:mergeCell ref="A2:O2"/>
  </x:mergeCells>
  <x:conditionalFormatting sqref="N5:N34">
    <x:cfRule type="expression" dxfId="1" priority="1">
      <x:formula>LEFT($N5,4)="БЛОК"</x:formula>
    </x:cfRule>
  </x:conditionalFormatting>
  <x:pageMargins left="0.75" right="0.75" top="1" bottom="1" header="0.5" footer="0.5"/>
  <x:pageSetup paperSize="9" fitToHeight="0" orientation="landscape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 tabSelected="0"/>
  </x:sheetViews>
  <x:sheetFormatPr defaultRowHeight="14.399999618530273"/>
  <x:cols>
    <x:col min="1" max="1" width="5" customWidth="1"/>
    <x:col min="2" max="2" width="20" customWidth="1"/>
    <x:col min="3" max="3" width="24" customWidth="1"/>
    <x:col min="4" max="5" width="18" customWidth="1"/>
    <x:col min="6" max="7" width="20" customWidth="1"/>
    <x:col min="8" max="9" width="18" customWidth="1"/>
    <x:col min="10" max="10" width="30" customWidth="1"/>
  </x:cols>
  <x:sheetData>
    <x:row r="1" ht="34" customHeight="1">
      <x:c r="A1" s="297" t="inlineStr">
        <x:is>
          <x:t>АКТ СВЕРКИ ВЗАИМНЫХ РАСЧЁТОВ</x:t>
        </x:is>
      </x:c>
      <x:c r="B1" s="298"/>
      <x:c r="C1" s="298"/>
      <x:c r="D1" s="298"/>
      <x:c r="E1" s="298"/>
      <x:c r="F1" s="298"/>
      <x:c r="G1" s="298"/>
      <x:c r="H1" s="298"/>
      <x:c r="I1" s="298"/>
      <x:c r="J1" s="298"/>
    </x:row>
    <x:row r="2" ht="66" customHeight="1">
      <x:c r="A2" s="303" t="inlineStr">
        <x:is>
          <x:t>Рабочая форма для направления заказчику. Заполняется автоматически из листов «Взаиморасчёты» и «Долг по актам»: впишите только стороны, договор и дату сверки. Показывает общий долг по данным Субподрядчика и отдельной графой — сумму, которую оспаривает Заказчик (удержание, зачёт встречного требования, неустойка, допработы без соглашения). Графу «По данным Заказчика» заполняет Заказчик. Правовое значение подписанного акта сверки и порядок работы со спорной частью — вопрос к специалисту; система их не оценивает.</x:t>
        </x:is>
      </x:c>
      <x:c r="B2" s="303"/>
      <x:c r="C2" s="303"/>
      <x:c r="D2" s="303"/>
      <x:c r="E2" s="303"/>
      <x:c r="F2" s="303"/>
      <x:c r="G2" s="303"/>
      <x:c r="H2" s="303"/>
      <x:c r="I2" s="303"/>
      <x:c r="J2" s="303"/>
    </x:row>
    <x:row r="3" ht="48" customHeight="1">
      <x:c r="A3" s="46"/>
      <x:c r="B3" s="111" t="inlineStr">
        <x:is>
          <x:t>Статус</x:t>
        </x:is>
      </x:c>
      <x:c r="C3" s="235" t="str">
        <x:f>IF(COUNTA('Долг по актам'!$B$5:$B$34)=0,"НЕ ГОТОВ: на листе «Долг по актам» нет ни одного акта",IF(NOT(ISNUMBER(Взаиморасчёты!$M$10)),"НЕ ГОТОВ: реестр «Взаиморасчёты» заблокирован (например, двойной учёт аванса или операция без акта) — исправьте строки с «БЛОК»",IF(COUNTIF('Долг по актам'!$N$5:$N$34,"БЛОК*")&gt;0,"НЕ ГОТОВ: на листе «Долг по актам» есть строки с «БЛОК» в колонке «Проверка»",IF(NOT(ISNUMBER(Взаиморасчёты!$M$12)),"НЕ ГОТОВ: бесспорная часть заблокирована — см. «Взаиморасчёты», свод",IF(ROUND(SUM(F13:F42)-Взаиморасчёты!$M$10,2)&lt;&gt;0,"НЕ ГОТОВ: сумма по актам не равна общему долгу реестра — проверьте, что все операции отнесены к актам этого листа","ГОТОВ")))))</x:f>
        <x:v>НЕ ГОТОВ: на листе «Долг по актам» нет ни одного акта</x:v>
      </x:c>
      <x:c r="D3" s="235"/>
      <x:c r="E3" s="235"/>
      <x:c r="F3" s="235"/>
      <x:c r="G3" s="235"/>
      <x:c r="H3" s="235"/>
      <x:c r="I3" s="235"/>
      <x:c r="J3" s="235"/>
    </x:row>
    <x:row r="4">
      <x:c r="A4" s="46"/>
      <x:c r="B4" s="46"/>
      <x:c r="C4" s="46"/>
      <x:c r="D4" s="46"/>
      <x:c r="E4" s="46"/>
      <x:c r="F4" s="46"/>
      <x:c r="G4" s="46"/>
      <x:c r="H4" s="46"/>
      <x:c r="I4" s="46"/>
      <x:c r="J4" s="46"/>
    </x:row>
    <x:row r="5">
      <x:c r="A5" s="46"/>
      <x:c r="B5" s="111" t="inlineStr">
        <x:is>
          <x:t>Субподрядчик</x:t>
        </x:is>
      </x:c>
      <x:c r="C5" s="315"/>
      <x:c r="D5" s="316"/>
      <x:c r="E5" s="316"/>
      <x:c r="F5" s="316"/>
      <x:c r="G5" s="316"/>
      <x:c r="H5" s="316"/>
      <x:c r="I5" s="316"/>
      <x:c r="J5" s="46" t="inlineStr">
        <x:is>
          <x:t>наименование, ИНН</x:t>
        </x:is>
      </x:c>
    </x:row>
    <x:row r="6">
      <x:c r="A6" s="46"/>
      <x:c r="B6" s="111" t="inlineStr">
        <x:is>
          <x:t>Заказчик</x:t>
        </x:is>
      </x:c>
      <x:c r="C6" s="315"/>
      <x:c r="D6" s="316"/>
      <x:c r="E6" s="316"/>
      <x:c r="F6" s="316"/>
      <x:c r="G6" s="316"/>
      <x:c r="H6" s="316"/>
      <x:c r="I6" s="316"/>
      <x:c r="J6" s="46" t="inlineStr">
        <x:is>
          <x:t>наименование, ИНН</x:t>
        </x:is>
      </x:c>
    </x:row>
    <x:row r="7">
      <x:c r="A7" s="46"/>
      <x:c r="B7" s="111" t="inlineStr">
        <x:is>
          <x:t>Договор</x:t>
        </x:is>
      </x:c>
      <x:c r="C7" s="315"/>
      <x:c r="D7" s="316"/>
      <x:c r="E7" s="316"/>
      <x:c r="F7" s="316"/>
      <x:c r="G7" s="316"/>
      <x:c r="H7" s="316"/>
      <x:c r="I7" s="316"/>
      <x:c r="J7" s="46" t="inlineStr">
        <x:is>
          <x:t>№, дата</x:t>
        </x:is>
      </x:c>
    </x:row>
    <x:row r="8">
      <x:c r="A8" s="46"/>
      <x:c r="B8" s="111" t="inlineStr">
        <x:is>
          <x:t>Дата сверки</x:t>
        </x:is>
      </x:c>
      <x:c r="C8" s="317"/>
      <x:c r="D8" s="316"/>
      <x:c r="E8" s="316"/>
      <x:c r="F8" s="316"/>
      <x:c r="G8" s="316"/>
      <x:c r="H8" s="316"/>
      <x:c r="I8" s="316"/>
      <x:c r="J8" s="46" t="inlineStr">
        <x:is>
          <x:t>дата</x:t>
        </x:is>
      </x:c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</x:row>
    <x:row r="10" ht="36" customHeight="1">
      <x:c r="A10" s="328" t="inlineStr">
        <x:is>
          <x:t>Суммы — по данным Субподрядчика. Общий долг = начислено и скорректировано − оплачено и зачтено. «В том числе оспаривается Заказчиком» общий долг не уменьшает: это его часть, которую Заказчик не признаёт.</x:t>
        </x:is>
      </x:c>
      <x:c r="B10" s="328"/>
      <x:c r="C10" s="328"/>
      <x:c r="D10" s="328"/>
      <x:c r="E10" s="328"/>
      <x:c r="F10" s="328"/>
      <x:c r="G10" s="328"/>
      <x:c r="H10" s="328"/>
      <x:c r="I10" s="328"/>
      <x:c r="J10" s="328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</x:row>
    <x:row r="12" ht="70" customHeight="1">
      <x:c r="A12" s="333" t="inlineStr">
        <x:is>
          <x:t>№</x:t>
        </x:is>
      </x:c>
      <x:c r="B12" s="333" t="inlineStr">
        <x:is>
          <x:t>Акт (идентификатор)</x:t>
        </x:is>
      </x:c>
      <x:c r="C12" s="333" t="inlineStr">
        <x:is>
          <x:t>Документ (КС-2 / акт: №, дата)</x:t>
        </x:is>
      </x:c>
      <x:c r="D12" s="333" t="inlineStr">
        <x:is>
          <x:t>Начислено и скорректировано, руб.</x:t>
        </x:is>
      </x:c>
      <x:c r="E12" s="333" t="inlineStr">
        <x:is>
          <x:t>Оплачено и зачтено, руб.</x:t>
        </x:is>
      </x:c>
      <x:c r="F12" s="333" t="inlineStr">
        <x:is>
          <x:t>Общий долг по данным Субподрядчика, руб.</x:t>
        </x:is>
      </x:c>
      <x:c r="G12" s="333" t="inlineStr">
        <x:is>
          <x:t>в том числе оспаривается Заказчиком, руб.</x:t>
        </x:is>
      </x:c>
      <x:c r="H12" s="333" t="inlineStr">
        <x:is>
          <x:t>Бесспорная часть, руб.</x:t>
        </x:is>
      </x:c>
      <x:c r="I12" s="333" t="inlineStr">
        <x:is>
          <x:t>По данным Заказчика, руб.</x:t>
        </x:is>
      </x:c>
      <x:c r="J12" s="333" t="inlineStr">
        <x:is>
          <x:t>Расхождение, комментарий Заказчика</x:t>
        </x:is>
      </x:c>
    </x:row>
    <x:row r="13" ht="20" customHeight="1">
      <x:c r="A13" s="126">
        <x:v>1</x:v>
      </x:c>
      <x:c r="B13" s="128" t="str">
        <x:f>IF('Долг по актам'!B5="","",'Долг по актам'!B5)</x:f>
        <x:v/>
      </x:c>
      <x:c r="C13" s="128" t="str">
        <x:f>IF('Долг по актам'!B5="","",'Долг по актам'!C5&amp;"")</x:f>
        <x:v/>
      </x:c>
      <x:c r="D13" s="129" t="str">
        <x:f>IF('Долг по актам'!B5="","",N('Долг по актам'!F5))</x:f>
        <x:v/>
      </x:c>
      <x:c r="E13" s="129" t="str">
        <x:f>IF('Долг по актам'!B5="","",IF(ISNUMBER('Долг по актам'!G5),'Долг по актам'!G5,0)+N('Долг по актам'!K5))</x:f>
        <x:v/>
      </x:c>
      <x:c r="F13" s="129" t="str">
        <x:f>IF(ISNUMBER('Долг по актам'!L5),'Долг по актам'!L5,"")</x:f>
        <x:v/>
      </x:c>
      <x:c r="G13" s="129" t="str">
        <x:f>IF('Долг по актам'!B5="","",N('Долг по актам'!I5))</x:f>
        <x:v/>
      </x:c>
      <x:c r="H13" s="129" t="str">
        <x:f>IF(ISNUMBER('Долг по актам'!M5),'Долг по актам'!M5,"")</x:f>
        <x:v/>
      </x:c>
      <x:c r="I13" s="335"/>
      <x:c r="J13" s="336"/>
    </x:row>
    <x:row r="14" ht="20" customHeight="1">
      <x:c r="A14" s="131">
        <x:v>2</x:v>
      </x:c>
      <x:c r="B14" s="133" t="str">
        <x:f>IF('Долг по актам'!B6="","",'Долг по актам'!B6)</x:f>
        <x:v/>
      </x:c>
      <x:c r="C14" s="133" t="str">
        <x:f>IF('Долг по актам'!B6="","",'Долг по актам'!C6&amp;"")</x:f>
        <x:v/>
      </x:c>
      <x:c r="D14" s="134" t="str">
        <x:f>IF('Долг по актам'!B6="","",N('Долг по актам'!F6))</x:f>
        <x:v/>
      </x:c>
      <x:c r="E14" s="134" t="str">
        <x:f>IF('Долг по актам'!B6="","",IF(ISNUMBER('Долг по актам'!G6),'Долг по актам'!G6,0)+N('Долг по актам'!K6))</x:f>
        <x:v/>
      </x:c>
      <x:c r="F14" s="134" t="str">
        <x:f>IF(ISNUMBER('Долг по актам'!L6),'Долг по актам'!L6,"")</x:f>
        <x:v/>
      </x:c>
      <x:c r="G14" s="134" t="str">
        <x:f>IF('Долг по актам'!B6="","",N('Долг по актам'!I6))</x:f>
        <x:v/>
      </x:c>
      <x:c r="H14" s="134" t="str">
        <x:f>IF(ISNUMBER('Долг по актам'!M6),'Долг по актам'!M6,"")</x:f>
        <x:v/>
      </x:c>
      <x:c r="I14" s="337"/>
      <x:c r="J14" s="338"/>
    </x:row>
    <x:row r="15" ht="20" customHeight="1">
      <x:c r="A15" s="131">
        <x:v>3</x:v>
      </x:c>
      <x:c r="B15" s="133" t="str">
        <x:f>IF('Долг по актам'!B7="","",'Долг по актам'!B7)</x:f>
        <x:v/>
      </x:c>
      <x:c r="C15" s="133" t="str">
        <x:f>IF('Долг по актам'!B7="","",'Долг по актам'!C7&amp;"")</x:f>
        <x:v/>
      </x:c>
      <x:c r="D15" s="134" t="str">
        <x:f>IF('Долг по актам'!B7="","",N('Долг по актам'!F7))</x:f>
        <x:v/>
      </x:c>
      <x:c r="E15" s="134" t="str">
        <x:f>IF('Долг по актам'!B7="","",IF(ISNUMBER('Долг по актам'!G7),'Долг по актам'!G7,0)+N('Долг по актам'!K7))</x:f>
        <x:v/>
      </x:c>
      <x:c r="F15" s="134" t="str">
        <x:f>IF(ISNUMBER('Долг по актам'!L7),'Долг по актам'!L7,"")</x:f>
        <x:v/>
      </x:c>
      <x:c r="G15" s="134" t="str">
        <x:f>IF('Долг по актам'!B7="","",N('Долг по актам'!I7))</x:f>
        <x:v/>
      </x:c>
      <x:c r="H15" s="134" t="str">
        <x:f>IF(ISNUMBER('Долг по актам'!M7),'Долг по актам'!M7,"")</x:f>
        <x:v/>
      </x:c>
      <x:c r="I15" s="337"/>
      <x:c r="J15" s="338"/>
    </x:row>
    <x:row r="16" ht="20" customHeight="1">
      <x:c r="A16" s="131">
        <x:v>4</x:v>
      </x:c>
      <x:c r="B16" s="133" t="str">
        <x:f>IF('Долг по актам'!B8="","",'Долг по актам'!B8)</x:f>
        <x:v/>
      </x:c>
      <x:c r="C16" s="133" t="str">
        <x:f>IF('Долг по актам'!B8="","",'Долг по актам'!C8&amp;"")</x:f>
        <x:v/>
      </x:c>
      <x:c r="D16" s="134" t="str">
        <x:f>IF('Долг по актам'!B8="","",N('Долг по актам'!F8))</x:f>
        <x:v/>
      </x:c>
      <x:c r="E16" s="134" t="str">
        <x:f>IF('Долг по актам'!B8="","",IF(ISNUMBER('Долг по актам'!G8),'Долг по актам'!G8,0)+N('Долг по актам'!K8))</x:f>
        <x:v/>
      </x:c>
      <x:c r="F16" s="134" t="str">
        <x:f>IF(ISNUMBER('Долг по актам'!L8),'Долг по актам'!L8,"")</x:f>
        <x:v/>
      </x:c>
      <x:c r="G16" s="134" t="str">
        <x:f>IF('Долг по актам'!B8="","",N('Долг по актам'!I8))</x:f>
        <x:v/>
      </x:c>
      <x:c r="H16" s="134" t="str">
        <x:f>IF(ISNUMBER('Долг по актам'!M8),'Долг по актам'!M8,"")</x:f>
        <x:v/>
      </x:c>
      <x:c r="I16" s="337"/>
      <x:c r="J16" s="338"/>
    </x:row>
    <x:row r="17" ht="20" customHeight="1">
      <x:c r="A17" s="131">
        <x:v>5</x:v>
      </x:c>
      <x:c r="B17" s="133" t="str">
        <x:f>IF('Долг по актам'!B9="","",'Долг по актам'!B9)</x:f>
        <x:v/>
      </x:c>
      <x:c r="C17" s="133" t="str">
        <x:f>IF('Долг по актам'!B9="","",'Долг по актам'!C9&amp;"")</x:f>
        <x:v/>
      </x:c>
      <x:c r="D17" s="134" t="str">
        <x:f>IF('Долг по актам'!B9="","",N('Долг по актам'!F9))</x:f>
        <x:v/>
      </x:c>
      <x:c r="E17" s="134" t="str">
        <x:f>IF('Долг по актам'!B9="","",IF(ISNUMBER('Долг по актам'!G9),'Долг по актам'!G9,0)+N('Долг по актам'!K9))</x:f>
        <x:v/>
      </x:c>
      <x:c r="F17" s="134" t="str">
        <x:f>IF(ISNUMBER('Долг по актам'!L9),'Долг по актам'!L9,"")</x:f>
        <x:v/>
      </x:c>
      <x:c r="G17" s="134" t="str">
        <x:f>IF('Долг по актам'!B9="","",N('Долг по актам'!I9))</x:f>
        <x:v/>
      </x:c>
      <x:c r="H17" s="134" t="str">
        <x:f>IF(ISNUMBER('Долг по актам'!M9),'Долг по актам'!M9,"")</x:f>
        <x:v/>
      </x:c>
      <x:c r="I17" s="337"/>
      <x:c r="J17" s="338"/>
    </x:row>
    <x:row r="18" ht="20" customHeight="1">
      <x:c r="A18" s="131">
        <x:v>6</x:v>
      </x:c>
      <x:c r="B18" s="133" t="str">
        <x:f>IF('Долг по актам'!B10="","",'Долг по актам'!B10)</x:f>
        <x:v/>
      </x:c>
      <x:c r="C18" s="133" t="str">
        <x:f>IF('Долг по актам'!B10="","",'Долг по актам'!C10&amp;"")</x:f>
        <x:v/>
      </x:c>
      <x:c r="D18" s="134" t="str">
        <x:f>IF('Долг по актам'!B10="","",N('Долг по актам'!F10))</x:f>
        <x:v/>
      </x:c>
      <x:c r="E18" s="134" t="str">
        <x:f>IF('Долг по актам'!B10="","",IF(ISNUMBER('Долг по актам'!G10),'Долг по актам'!G10,0)+N('Долг по актам'!K10))</x:f>
        <x:v/>
      </x:c>
      <x:c r="F18" s="134" t="str">
        <x:f>IF(ISNUMBER('Долг по актам'!L10),'Долг по актам'!L10,"")</x:f>
        <x:v/>
      </x:c>
      <x:c r="G18" s="134" t="str">
        <x:f>IF('Долг по актам'!B10="","",N('Долг по актам'!I10))</x:f>
        <x:v/>
      </x:c>
      <x:c r="H18" s="134" t="str">
        <x:f>IF(ISNUMBER('Долг по актам'!M10),'Долг по актам'!M10,"")</x:f>
        <x:v/>
      </x:c>
      <x:c r="I18" s="337"/>
      <x:c r="J18" s="338"/>
    </x:row>
    <x:row r="19" ht="20" customHeight="1">
      <x:c r="A19" s="131">
        <x:v>7</x:v>
      </x:c>
      <x:c r="B19" s="133" t="str">
        <x:f>IF('Долг по актам'!B11="","",'Долг по актам'!B11)</x:f>
        <x:v/>
      </x:c>
      <x:c r="C19" s="133" t="str">
        <x:f>IF('Долг по актам'!B11="","",'Долг по актам'!C11&amp;"")</x:f>
        <x:v/>
      </x:c>
      <x:c r="D19" s="134" t="str">
        <x:f>IF('Долг по актам'!B11="","",N('Долг по актам'!F11))</x:f>
        <x:v/>
      </x:c>
      <x:c r="E19" s="134" t="str">
        <x:f>IF('Долг по актам'!B11="","",IF(ISNUMBER('Долг по актам'!G11),'Долг по актам'!G11,0)+N('Долг по актам'!K11))</x:f>
        <x:v/>
      </x:c>
      <x:c r="F19" s="134" t="str">
        <x:f>IF(ISNUMBER('Долг по актам'!L11),'Долг по актам'!L11,"")</x:f>
        <x:v/>
      </x:c>
      <x:c r="G19" s="134" t="str">
        <x:f>IF('Долг по актам'!B11="","",N('Долг по актам'!I11))</x:f>
        <x:v/>
      </x:c>
      <x:c r="H19" s="134" t="str">
        <x:f>IF(ISNUMBER('Долг по актам'!M11),'Долг по актам'!M11,"")</x:f>
        <x:v/>
      </x:c>
      <x:c r="I19" s="337"/>
      <x:c r="J19" s="338"/>
    </x:row>
    <x:row r="20" ht="20" customHeight="1">
      <x:c r="A20" s="131">
        <x:v>8</x:v>
      </x:c>
      <x:c r="B20" s="133" t="str">
        <x:f>IF('Долг по актам'!B12="","",'Долг по актам'!B12)</x:f>
        <x:v/>
      </x:c>
      <x:c r="C20" s="133" t="str">
        <x:f>IF('Долг по актам'!B12="","",'Долг по актам'!C12&amp;"")</x:f>
        <x:v/>
      </x:c>
      <x:c r="D20" s="134" t="str">
        <x:f>IF('Долг по актам'!B12="","",N('Долг по актам'!F12))</x:f>
        <x:v/>
      </x:c>
      <x:c r="E20" s="134" t="str">
        <x:f>IF('Долг по актам'!B12="","",IF(ISNUMBER('Долг по актам'!G12),'Долг по актам'!G12,0)+N('Долг по актам'!K12))</x:f>
        <x:v/>
      </x:c>
      <x:c r="F20" s="134" t="str">
        <x:f>IF(ISNUMBER('Долг по актам'!L12),'Долг по актам'!L12,"")</x:f>
        <x:v/>
      </x:c>
      <x:c r="G20" s="134" t="str">
        <x:f>IF('Долг по актам'!B12="","",N('Долг по актам'!I12))</x:f>
        <x:v/>
      </x:c>
      <x:c r="H20" s="134" t="str">
        <x:f>IF(ISNUMBER('Долг по актам'!M12),'Долг по актам'!M12,"")</x:f>
        <x:v/>
      </x:c>
      <x:c r="I20" s="337"/>
      <x:c r="J20" s="338"/>
    </x:row>
    <x:row r="21" ht="20" customHeight="1">
      <x:c r="A21" s="131">
        <x:v>9</x:v>
      </x:c>
      <x:c r="B21" s="133" t="str">
        <x:f>IF('Долг по актам'!B13="","",'Долг по актам'!B13)</x:f>
        <x:v/>
      </x:c>
      <x:c r="C21" s="133" t="str">
        <x:f>IF('Долг по актам'!B13="","",'Долг по актам'!C13&amp;"")</x:f>
        <x:v/>
      </x:c>
      <x:c r="D21" s="134" t="str">
        <x:f>IF('Долг по актам'!B13="","",N('Долг по актам'!F13))</x:f>
        <x:v/>
      </x:c>
      <x:c r="E21" s="134" t="str">
        <x:f>IF('Долг по актам'!B13="","",IF(ISNUMBER('Долг по актам'!G13),'Долг по актам'!G13,0)+N('Долг по актам'!K13))</x:f>
        <x:v/>
      </x:c>
      <x:c r="F21" s="134" t="str">
        <x:f>IF(ISNUMBER('Долг по актам'!L13),'Долг по актам'!L13,"")</x:f>
        <x:v/>
      </x:c>
      <x:c r="G21" s="134" t="str">
        <x:f>IF('Долг по актам'!B13="","",N('Долг по актам'!I13))</x:f>
        <x:v/>
      </x:c>
      <x:c r="H21" s="134" t="str">
        <x:f>IF(ISNUMBER('Долг по актам'!M13),'Долг по актам'!M13,"")</x:f>
        <x:v/>
      </x:c>
      <x:c r="I21" s="337"/>
      <x:c r="J21" s="338"/>
    </x:row>
    <x:row r="22" ht="20" customHeight="1">
      <x:c r="A22" s="131">
        <x:v>10</x:v>
      </x:c>
      <x:c r="B22" s="133" t="str">
        <x:f>IF('Долг по актам'!B14="","",'Долг по актам'!B14)</x:f>
        <x:v/>
      </x:c>
      <x:c r="C22" s="133" t="str">
        <x:f>IF('Долг по актам'!B14="","",'Долг по актам'!C14&amp;"")</x:f>
        <x:v/>
      </x:c>
      <x:c r="D22" s="134" t="str">
        <x:f>IF('Долг по актам'!B14="","",N('Долг по актам'!F14))</x:f>
        <x:v/>
      </x:c>
      <x:c r="E22" s="134" t="str">
        <x:f>IF('Долг по актам'!B14="","",IF(ISNUMBER('Долг по актам'!G14),'Долг по актам'!G14,0)+N('Долг по актам'!K14))</x:f>
        <x:v/>
      </x:c>
      <x:c r="F22" s="134" t="str">
        <x:f>IF(ISNUMBER('Долг по актам'!L14),'Долг по актам'!L14,"")</x:f>
        <x:v/>
      </x:c>
      <x:c r="G22" s="134" t="str">
        <x:f>IF('Долг по актам'!B14="","",N('Долг по актам'!I14))</x:f>
        <x:v/>
      </x:c>
      <x:c r="H22" s="134" t="str">
        <x:f>IF(ISNUMBER('Долг по актам'!M14),'Долг по актам'!M14,"")</x:f>
        <x:v/>
      </x:c>
      <x:c r="I22" s="337"/>
      <x:c r="J22" s="338"/>
    </x:row>
    <x:row r="23" ht="20" customHeight="1">
      <x:c r="A23" s="131">
        <x:v>11</x:v>
      </x:c>
      <x:c r="B23" s="133" t="str">
        <x:f>IF('Долг по актам'!B15="","",'Долг по актам'!B15)</x:f>
        <x:v/>
      </x:c>
      <x:c r="C23" s="133" t="str">
        <x:f>IF('Долг по актам'!B15="","",'Долг по актам'!C15&amp;"")</x:f>
        <x:v/>
      </x:c>
      <x:c r="D23" s="134" t="str">
        <x:f>IF('Долг по актам'!B15="","",N('Долг по актам'!F15))</x:f>
        <x:v/>
      </x:c>
      <x:c r="E23" s="134" t="str">
        <x:f>IF('Долг по актам'!B15="","",IF(ISNUMBER('Долг по актам'!G15),'Долг по актам'!G15,0)+N('Долг по актам'!K15))</x:f>
        <x:v/>
      </x:c>
      <x:c r="F23" s="134" t="str">
        <x:f>IF(ISNUMBER('Долг по актам'!L15),'Долг по актам'!L15,"")</x:f>
        <x:v/>
      </x:c>
      <x:c r="G23" s="134" t="str">
        <x:f>IF('Долг по актам'!B15="","",N('Долг по актам'!I15))</x:f>
        <x:v/>
      </x:c>
      <x:c r="H23" s="134" t="str">
        <x:f>IF(ISNUMBER('Долг по актам'!M15),'Долг по актам'!M15,"")</x:f>
        <x:v/>
      </x:c>
      <x:c r="I23" s="337"/>
      <x:c r="J23" s="338"/>
    </x:row>
    <x:row r="24" ht="20" customHeight="1">
      <x:c r="A24" s="131">
        <x:v>12</x:v>
      </x:c>
      <x:c r="B24" s="133" t="str">
        <x:f>IF('Долг по актам'!B16="","",'Долг по актам'!B16)</x:f>
        <x:v/>
      </x:c>
      <x:c r="C24" s="133" t="str">
        <x:f>IF('Долг по актам'!B16="","",'Долг по актам'!C16&amp;"")</x:f>
        <x:v/>
      </x:c>
      <x:c r="D24" s="134" t="str">
        <x:f>IF('Долг по актам'!B16="","",N('Долг по актам'!F16))</x:f>
        <x:v/>
      </x:c>
      <x:c r="E24" s="134" t="str">
        <x:f>IF('Долг по актам'!B16="","",IF(ISNUMBER('Долг по актам'!G16),'Долг по актам'!G16,0)+N('Долг по актам'!K16))</x:f>
        <x:v/>
      </x:c>
      <x:c r="F24" s="134" t="str">
        <x:f>IF(ISNUMBER('Долг по актам'!L16),'Долг по актам'!L16,"")</x:f>
        <x:v/>
      </x:c>
      <x:c r="G24" s="134" t="str">
        <x:f>IF('Долг по актам'!B16="","",N('Долг по актам'!I16))</x:f>
        <x:v/>
      </x:c>
      <x:c r="H24" s="134" t="str">
        <x:f>IF(ISNUMBER('Долг по актам'!M16),'Долг по актам'!M16,"")</x:f>
        <x:v/>
      </x:c>
      <x:c r="I24" s="337"/>
      <x:c r="J24" s="338"/>
    </x:row>
    <x:row r="25" ht="20" customHeight="1">
      <x:c r="A25" s="131">
        <x:v>13</x:v>
      </x:c>
      <x:c r="B25" s="133" t="str">
        <x:f>IF('Долг по актам'!B17="","",'Долг по актам'!B17)</x:f>
        <x:v/>
      </x:c>
      <x:c r="C25" s="133" t="str">
        <x:f>IF('Долг по актам'!B17="","",'Долг по актам'!C17&amp;"")</x:f>
        <x:v/>
      </x:c>
      <x:c r="D25" s="134" t="str">
        <x:f>IF('Долг по актам'!B17="","",N('Долг по актам'!F17))</x:f>
        <x:v/>
      </x:c>
      <x:c r="E25" s="134" t="str">
        <x:f>IF('Долг по актам'!B17="","",IF(ISNUMBER('Долг по актам'!G17),'Долг по актам'!G17,0)+N('Долг по актам'!K17))</x:f>
        <x:v/>
      </x:c>
      <x:c r="F25" s="134" t="str">
        <x:f>IF(ISNUMBER('Долг по актам'!L17),'Долг по актам'!L17,"")</x:f>
        <x:v/>
      </x:c>
      <x:c r="G25" s="134" t="str">
        <x:f>IF('Долг по актам'!B17="","",N('Долг по актам'!I17))</x:f>
        <x:v/>
      </x:c>
      <x:c r="H25" s="134" t="str">
        <x:f>IF(ISNUMBER('Долг по актам'!M17),'Долг по актам'!M17,"")</x:f>
        <x:v/>
      </x:c>
      <x:c r="I25" s="337"/>
      <x:c r="J25" s="338"/>
    </x:row>
    <x:row r="26" ht="20" customHeight="1">
      <x:c r="A26" s="131">
        <x:v>14</x:v>
      </x:c>
      <x:c r="B26" s="133" t="str">
        <x:f>IF('Долг по актам'!B18="","",'Долг по актам'!B18)</x:f>
        <x:v/>
      </x:c>
      <x:c r="C26" s="133" t="str">
        <x:f>IF('Долг по актам'!B18="","",'Долг по актам'!C18&amp;"")</x:f>
        <x:v/>
      </x:c>
      <x:c r="D26" s="134" t="str">
        <x:f>IF('Долг по актам'!B18="","",N('Долг по актам'!F18))</x:f>
        <x:v/>
      </x:c>
      <x:c r="E26" s="134" t="str">
        <x:f>IF('Долг по актам'!B18="","",IF(ISNUMBER('Долг по актам'!G18),'Долг по актам'!G18,0)+N('Долг по актам'!K18))</x:f>
        <x:v/>
      </x:c>
      <x:c r="F26" s="134" t="str">
        <x:f>IF(ISNUMBER('Долг по актам'!L18),'Долг по актам'!L18,"")</x:f>
        <x:v/>
      </x:c>
      <x:c r="G26" s="134" t="str">
        <x:f>IF('Долг по актам'!B18="","",N('Долг по актам'!I18))</x:f>
        <x:v/>
      </x:c>
      <x:c r="H26" s="134" t="str">
        <x:f>IF(ISNUMBER('Долг по актам'!M18),'Долг по актам'!M18,"")</x:f>
        <x:v/>
      </x:c>
      <x:c r="I26" s="337"/>
      <x:c r="J26" s="338"/>
    </x:row>
    <x:row r="27" ht="20" customHeight="1">
      <x:c r="A27" s="131">
        <x:v>15</x:v>
      </x:c>
      <x:c r="B27" s="133" t="str">
        <x:f>IF('Долг по актам'!B19="","",'Долг по актам'!B19)</x:f>
        <x:v/>
      </x:c>
      <x:c r="C27" s="133" t="str">
        <x:f>IF('Долг по актам'!B19="","",'Долг по актам'!C19&amp;"")</x:f>
        <x:v/>
      </x:c>
      <x:c r="D27" s="134" t="str">
        <x:f>IF('Долг по актам'!B19="","",N('Долг по актам'!F19))</x:f>
        <x:v/>
      </x:c>
      <x:c r="E27" s="134" t="str">
        <x:f>IF('Долг по актам'!B19="","",IF(ISNUMBER('Долг по актам'!G19),'Долг по актам'!G19,0)+N('Долг по актам'!K19))</x:f>
        <x:v/>
      </x:c>
      <x:c r="F27" s="134" t="str">
        <x:f>IF(ISNUMBER('Долг по актам'!L19),'Долг по актам'!L19,"")</x:f>
        <x:v/>
      </x:c>
      <x:c r="G27" s="134" t="str">
        <x:f>IF('Долг по актам'!B19="","",N('Долг по актам'!I19))</x:f>
        <x:v/>
      </x:c>
      <x:c r="H27" s="134" t="str">
        <x:f>IF(ISNUMBER('Долг по актам'!M19),'Долг по актам'!M19,"")</x:f>
        <x:v/>
      </x:c>
      <x:c r="I27" s="337"/>
      <x:c r="J27" s="338"/>
    </x:row>
    <x:row r="28" ht="20" customHeight="1">
      <x:c r="A28" s="131">
        <x:v>16</x:v>
      </x:c>
      <x:c r="B28" s="133" t="str">
        <x:f>IF('Долг по актам'!B20="","",'Долг по актам'!B20)</x:f>
        <x:v/>
      </x:c>
      <x:c r="C28" s="133" t="str">
        <x:f>IF('Долг по актам'!B20="","",'Долг по актам'!C20&amp;"")</x:f>
        <x:v/>
      </x:c>
      <x:c r="D28" s="134" t="str">
        <x:f>IF('Долг по актам'!B20="","",N('Долг по актам'!F20))</x:f>
        <x:v/>
      </x:c>
      <x:c r="E28" s="134" t="str">
        <x:f>IF('Долг по актам'!B20="","",IF(ISNUMBER('Долг по актам'!G20),'Долг по актам'!G20,0)+N('Долг по актам'!K20))</x:f>
        <x:v/>
      </x:c>
      <x:c r="F28" s="134" t="str">
        <x:f>IF(ISNUMBER('Долг по актам'!L20),'Долг по актам'!L20,"")</x:f>
        <x:v/>
      </x:c>
      <x:c r="G28" s="134" t="str">
        <x:f>IF('Долг по актам'!B20="","",N('Долг по актам'!I20))</x:f>
        <x:v/>
      </x:c>
      <x:c r="H28" s="134" t="str">
        <x:f>IF(ISNUMBER('Долг по актам'!M20),'Долг по актам'!M20,"")</x:f>
        <x:v/>
      </x:c>
      <x:c r="I28" s="337"/>
      <x:c r="J28" s="338"/>
    </x:row>
    <x:row r="29" ht="20" customHeight="1">
      <x:c r="A29" s="131">
        <x:v>17</x:v>
      </x:c>
      <x:c r="B29" s="133" t="str">
        <x:f>IF('Долг по актам'!B21="","",'Долг по актам'!B21)</x:f>
        <x:v/>
      </x:c>
      <x:c r="C29" s="133" t="str">
        <x:f>IF('Долг по актам'!B21="","",'Долг по актам'!C21&amp;"")</x:f>
        <x:v/>
      </x:c>
      <x:c r="D29" s="134" t="str">
        <x:f>IF('Долг по актам'!B21="","",N('Долг по актам'!F21))</x:f>
        <x:v/>
      </x:c>
      <x:c r="E29" s="134" t="str">
        <x:f>IF('Долг по актам'!B21="","",IF(ISNUMBER('Долг по актам'!G21),'Долг по актам'!G21,0)+N('Долг по актам'!K21))</x:f>
        <x:v/>
      </x:c>
      <x:c r="F29" s="134" t="str">
        <x:f>IF(ISNUMBER('Долг по актам'!L21),'Долг по актам'!L21,"")</x:f>
        <x:v/>
      </x:c>
      <x:c r="G29" s="134" t="str">
        <x:f>IF('Долг по актам'!B21="","",N('Долг по актам'!I21))</x:f>
        <x:v/>
      </x:c>
      <x:c r="H29" s="134" t="str">
        <x:f>IF(ISNUMBER('Долг по актам'!M21),'Долг по актам'!M21,"")</x:f>
        <x:v/>
      </x:c>
      <x:c r="I29" s="337"/>
      <x:c r="J29" s="338"/>
    </x:row>
    <x:row r="30" ht="20" customHeight="1">
      <x:c r="A30" s="131">
        <x:v>18</x:v>
      </x:c>
      <x:c r="B30" s="133" t="str">
        <x:f>IF('Долг по актам'!B22="","",'Долг по актам'!B22)</x:f>
        <x:v/>
      </x:c>
      <x:c r="C30" s="133" t="str">
        <x:f>IF('Долг по актам'!B22="","",'Долг по актам'!C22&amp;"")</x:f>
        <x:v/>
      </x:c>
      <x:c r="D30" s="134" t="str">
        <x:f>IF('Долг по актам'!B22="","",N('Долг по актам'!F22))</x:f>
        <x:v/>
      </x:c>
      <x:c r="E30" s="134" t="str">
        <x:f>IF('Долг по актам'!B22="","",IF(ISNUMBER('Долг по актам'!G22),'Долг по актам'!G22,0)+N('Долг по актам'!K22))</x:f>
        <x:v/>
      </x:c>
      <x:c r="F30" s="134" t="str">
        <x:f>IF(ISNUMBER('Долг по актам'!L22),'Долг по актам'!L22,"")</x:f>
        <x:v/>
      </x:c>
      <x:c r="G30" s="134" t="str">
        <x:f>IF('Долг по актам'!B22="","",N('Долг по актам'!I22))</x:f>
        <x:v/>
      </x:c>
      <x:c r="H30" s="134" t="str">
        <x:f>IF(ISNUMBER('Долг по актам'!M22),'Долг по актам'!M22,"")</x:f>
        <x:v/>
      </x:c>
      <x:c r="I30" s="337"/>
      <x:c r="J30" s="338"/>
    </x:row>
    <x:row r="31" ht="20" customHeight="1">
      <x:c r="A31" s="131">
        <x:v>19</x:v>
      </x:c>
      <x:c r="B31" s="133" t="str">
        <x:f>IF('Долг по актам'!B23="","",'Долг по актам'!B23)</x:f>
        <x:v/>
      </x:c>
      <x:c r="C31" s="133" t="str">
        <x:f>IF('Долг по актам'!B23="","",'Долг по актам'!C23&amp;"")</x:f>
        <x:v/>
      </x:c>
      <x:c r="D31" s="134" t="str">
        <x:f>IF('Долг по актам'!B23="","",N('Долг по актам'!F23))</x:f>
        <x:v/>
      </x:c>
      <x:c r="E31" s="134" t="str">
        <x:f>IF('Долг по актам'!B23="","",IF(ISNUMBER('Долг по актам'!G23),'Долг по актам'!G23,0)+N('Долг по актам'!K23))</x:f>
        <x:v/>
      </x:c>
      <x:c r="F31" s="134" t="str">
        <x:f>IF(ISNUMBER('Долг по актам'!L23),'Долг по актам'!L23,"")</x:f>
        <x:v/>
      </x:c>
      <x:c r="G31" s="134" t="str">
        <x:f>IF('Долг по актам'!B23="","",N('Долг по актам'!I23))</x:f>
        <x:v/>
      </x:c>
      <x:c r="H31" s="134" t="str">
        <x:f>IF(ISNUMBER('Долг по актам'!M23),'Долг по актам'!M23,"")</x:f>
        <x:v/>
      </x:c>
      <x:c r="I31" s="337"/>
      <x:c r="J31" s="338"/>
    </x:row>
    <x:row r="32" ht="20" customHeight="1">
      <x:c r="A32" s="131">
        <x:v>20</x:v>
      </x:c>
      <x:c r="B32" s="133" t="str">
        <x:f>IF('Долг по актам'!B24="","",'Долг по актам'!B24)</x:f>
        <x:v/>
      </x:c>
      <x:c r="C32" s="133" t="str">
        <x:f>IF('Долг по актам'!B24="","",'Долг по актам'!C24&amp;"")</x:f>
        <x:v/>
      </x:c>
      <x:c r="D32" s="134" t="str">
        <x:f>IF('Долг по актам'!B24="","",N('Долг по актам'!F24))</x:f>
        <x:v/>
      </x:c>
      <x:c r="E32" s="134" t="str">
        <x:f>IF('Долг по актам'!B24="","",IF(ISNUMBER('Долг по актам'!G24),'Долг по актам'!G24,0)+N('Долг по актам'!K24))</x:f>
        <x:v/>
      </x:c>
      <x:c r="F32" s="134" t="str">
        <x:f>IF(ISNUMBER('Долг по актам'!L24),'Долг по актам'!L24,"")</x:f>
        <x:v/>
      </x:c>
      <x:c r="G32" s="134" t="str">
        <x:f>IF('Долг по актам'!B24="","",N('Долг по актам'!I24))</x:f>
        <x:v/>
      </x:c>
      <x:c r="H32" s="134" t="str">
        <x:f>IF(ISNUMBER('Долг по актам'!M24),'Долг по актам'!M24,"")</x:f>
        <x:v/>
      </x:c>
      <x:c r="I32" s="337"/>
      <x:c r="J32" s="338"/>
    </x:row>
    <x:row r="33" ht="20" customHeight="1">
      <x:c r="A33" s="131">
        <x:v>21</x:v>
      </x:c>
      <x:c r="B33" s="133" t="str">
        <x:f>IF('Долг по актам'!B25="","",'Долг по актам'!B25)</x:f>
        <x:v/>
      </x:c>
      <x:c r="C33" s="133" t="str">
        <x:f>IF('Долг по актам'!B25="","",'Долг по актам'!C25&amp;"")</x:f>
        <x:v/>
      </x:c>
      <x:c r="D33" s="134" t="str">
        <x:f>IF('Долг по актам'!B25="","",N('Долг по актам'!F25))</x:f>
        <x:v/>
      </x:c>
      <x:c r="E33" s="134" t="str">
        <x:f>IF('Долг по актам'!B25="","",IF(ISNUMBER('Долг по актам'!G25),'Долг по актам'!G25,0)+N('Долг по актам'!K25))</x:f>
        <x:v/>
      </x:c>
      <x:c r="F33" s="134" t="str">
        <x:f>IF(ISNUMBER('Долг по актам'!L25),'Долг по актам'!L25,"")</x:f>
        <x:v/>
      </x:c>
      <x:c r="G33" s="134" t="str">
        <x:f>IF('Долг по актам'!B25="","",N('Долг по актам'!I25))</x:f>
        <x:v/>
      </x:c>
      <x:c r="H33" s="134" t="str">
        <x:f>IF(ISNUMBER('Долг по актам'!M25),'Долг по актам'!M25,"")</x:f>
        <x:v/>
      </x:c>
      <x:c r="I33" s="337"/>
      <x:c r="J33" s="338"/>
    </x:row>
    <x:row r="34" ht="20" customHeight="1">
      <x:c r="A34" s="131">
        <x:v>22</x:v>
      </x:c>
      <x:c r="B34" s="133" t="str">
        <x:f>IF('Долг по актам'!B26="","",'Долг по актам'!B26)</x:f>
        <x:v/>
      </x:c>
      <x:c r="C34" s="133" t="str">
        <x:f>IF('Долг по актам'!B26="","",'Долг по актам'!C26&amp;"")</x:f>
        <x:v/>
      </x:c>
      <x:c r="D34" s="134" t="str">
        <x:f>IF('Долг по актам'!B26="","",N('Долг по актам'!F26))</x:f>
        <x:v/>
      </x:c>
      <x:c r="E34" s="134" t="str">
        <x:f>IF('Долг по актам'!B26="","",IF(ISNUMBER('Долг по актам'!G26),'Долг по актам'!G26,0)+N('Долг по актам'!K26))</x:f>
        <x:v/>
      </x:c>
      <x:c r="F34" s="134" t="str">
        <x:f>IF(ISNUMBER('Долг по актам'!L26),'Долг по актам'!L26,"")</x:f>
        <x:v/>
      </x:c>
      <x:c r="G34" s="134" t="str">
        <x:f>IF('Долг по актам'!B26="","",N('Долг по актам'!I26))</x:f>
        <x:v/>
      </x:c>
      <x:c r="H34" s="134" t="str">
        <x:f>IF(ISNUMBER('Долг по актам'!M26),'Долг по актам'!M26,"")</x:f>
        <x:v/>
      </x:c>
      <x:c r="I34" s="337"/>
      <x:c r="J34" s="338"/>
    </x:row>
    <x:row r="35" ht="20" customHeight="1">
      <x:c r="A35" s="131">
        <x:v>23</x:v>
      </x:c>
      <x:c r="B35" s="133" t="str">
        <x:f>IF('Долг по актам'!B27="","",'Долг по актам'!B27)</x:f>
        <x:v/>
      </x:c>
      <x:c r="C35" s="133" t="str">
        <x:f>IF('Долг по актам'!B27="","",'Долг по актам'!C27&amp;"")</x:f>
        <x:v/>
      </x:c>
      <x:c r="D35" s="134" t="str">
        <x:f>IF('Долг по актам'!B27="","",N('Долг по актам'!F27))</x:f>
        <x:v/>
      </x:c>
      <x:c r="E35" s="134" t="str">
        <x:f>IF('Долг по актам'!B27="","",IF(ISNUMBER('Долг по актам'!G27),'Долг по актам'!G27,0)+N('Долг по актам'!K27))</x:f>
        <x:v/>
      </x:c>
      <x:c r="F35" s="134" t="str">
        <x:f>IF(ISNUMBER('Долг по актам'!L27),'Долг по актам'!L27,"")</x:f>
        <x:v/>
      </x:c>
      <x:c r="G35" s="134" t="str">
        <x:f>IF('Долг по актам'!B27="","",N('Долг по актам'!I27))</x:f>
        <x:v/>
      </x:c>
      <x:c r="H35" s="134" t="str">
        <x:f>IF(ISNUMBER('Долг по актам'!M27),'Долг по актам'!M27,"")</x:f>
        <x:v/>
      </x:c>
      <x:c r="I35" s="337"/>
      <x:c r="J35" s="338"/>
    </x:row>
    <x:row r="36" ht="20" customHeight="1">
      <x:c r="A36" s="131">
        <x:v>24</x:v>
      </x:c>
      <x:c r="B36" s="133" t="str">
        <x:f>IF('Долг по актам'!B28="","",'Долг по актам'!B28)</x:f>
        <x:v/>
      </x:c>
      <x:c r="C36" s="133" t="str">
        <x:f>IF('Долг по актам'!B28="","",'Долг по актам'!C28&amp;"")</x:f>
        <x:v/>
      </x:c>
      <x:c r="D36" s="134" t="str">
        <x:f>IF('Долг по актам'!B28="","",N('Долг по актам'!F28))</x:f>
        <x:v/>
      </x:c>
      <x:c r="E36" s="134" t="str">
        <x:f>IF('Долг по актам'!B28="","",IF(ISNUMBER('Долг по актам'!G28),'Долг по актам'!G28,0)+N('Долг по актам'!K28))</x:f>
        <x:v/>
      </x:c>
      <x:c r="F36" s="134" t="str">
        <x:f>IF(ISNUMBER('Долг по актам'!L28),'Долг по актам'!L28,"")</x:f>
        <x:v/>
      </x:c>
      <x:c r="G36" s="134" t="str">
        <x:f>IF('Долг по актам'!B28="","",N('Долг по актам'!I28))</x:f>
        <x:v/>
      </x:c>
      <x:c r="H36" s="134" t="str">
        <x:f>IF(ISNUMBER('Долг по актам'!M28),'Долг по актам'!M28,"")</x:f>
        <x:v/>
      </x:c>
      <x:c r="I36" s="337"/>
      <x:c r="J36" s="338"/>
    </x:row>
    <x:row r="37" ht="20" customHeight="1">
      <x:c r="A37" s="131">
        <x:v>25</x:v>
      </x:c>
      <x:c r="B37" s="133" t="str">
        <x:f>IF('Долг по актам'!B29="","",'Долг по актам'!B29)</x:f>
        <x:v/>
      </x:c>
      <x:c r="C37" s="133" t="str">
        <x:f>IF('Долг по актам'!B29="","",'Долг по актам'!C29&amp;"")</x:f>
        <x:v/>
      </x:c>
      <x:c r="D37" s="134" t="str">
        <x:f>IF('Долг по актам'!B29="","",N('Долг по актам'!F29))</x:f>
        <x:v/>
      </x:c>
      <x:c r="E37" s="134" t="str">
        <x:f>IF('Долг по актам'!B29="","",IF(ISNUMBER('Долг по актам'!G29),'Долг по актам'!G29,0)+N('Долг по актам'!K29))</x:f>
        <x:v/>
      </x:c>
      <x:c r="F37" s="134" t="str">
        <x:f>IF(ISNUMBER('Долг по актам'!L29),'Долг по актам'!L29,"")</x:f>
        <x:v/>
      </x:c>
      <x:c r="G37" s="134" t="str">
        <x:f>IF('Долг по актам'!B29="","",N('Долг по актам'!I29))</x:f>
        <x:v/>
      </x:c>
      <x:c r="H37" s="134" t="str">
        <x:f>IF(ISNUMBER('Долг по актам'!M29),'Долг по актам'!M29,"")</x:f>
        <x:v/>
      </x:c>
      <x:c r="I37" s="337"/>
      <x:c r="J37" s="338"/>
    </x:row>
    <x:row r="38" ht="20" customHeight="1">
      <x:c r="A38" s="131">
        <x:v>26</x:v>
      </x:c>
      <x:c r="B38" s="133" t="str">
        <x:f>IF('Долг по актам'!B30="","",'Долг по актам'!B30)</x:f>
        <x:v/>
      </x:c>
      <x:c r="C38" s="133" t="str">
        <x:f>IF('Долг по актам'!B30="","",'Долг по актам'!C30&amp;"")</x:f>
        <x:v/>
      </x:c>
      <x:c r="D38" s="134" t="str">
        <x:f>IF('Долг по актам'!B30="","",N('Долг по актам'!F30))</x:f>
        <x:v/>
      </x:c>
      <x:c r="E38" s="134" t="str">
        <x:f>IF('Долг по актам'!B30="","",IF(ISNUMBER('Долг по актам'!G30),'Долг по актам'!G30,0)+N('Долг по актам'!K30))</x:f>
        <x:v/>
      </x:c>
      <x:c r="F38" s="134" t="str">
        <x:f>IF(ISNUMBER('Долг по актам'!L30),'Долг по актам'!L30,"")</x:f>
        <x:v/>
      </x:c>
      <x:c r="G38" s="134" t="str">
        <x:f>IF('Долг по актам'!B30="","",N('Долг по актам'!I30))</x:f>
        <x:v/>
      </x:c>
      <x:c r="H38" s="134" t="str">
        <x:f>IF(ISNUMBER('Долг по актам'!M30),'Долг по актам'!M30,"")</x:f>
        <x:v/>
      </x:c>
      <x:c r="I38" s="337"/>
      <x:c r="J38" s="338"/>
    </x:row>
    <x:row r="39" ht="20" customHeight="1">
      <x:c r="A39" s="131">
        <x:v>27</x:v>
      </x:c>
      <x:c r="B39" s="133" t="str">
        <x:f>IF('Долг по актам'!B31="","",'Долг по актам'!B31)</x:f>
        <x:v/>
      </x:c>
      <x:c r="C39" s="133" t="str">
        <x:f>IF('Долг по актам'!B31="","",'Долг по актам'!C31&amp;"")</x:f>
        <x:v/>
      </x:c>
      <x:c r="D39" s="134" t="str">
        <x:f>IF('Долг по актам'!B31="","",N('Долг по актам'!F31))</x:f>
        <x:v/>
      </x:c>
      <x:c r="E39" s="134" t="str">
        <x:f>IF('Долг по актам'!B31="","",IF(ISNUMBER('Долг по актам'!G31),'Долг по актам'!G31,0)+N('Долг по актам'!K31))</x:f>
        <x:v/>
      </x:c>
      <x:c r="F39" s="134" t="str">
        <x:f>IF(ISNUMBER('Долг по актам'!L31),'Долг по актам'!L31,"")</x:f>
        <x:v/>
      </x:c>
      <x:c r="G39" s="134" t="str">
        <x:f>IF('Долг по актам'!B31="","",N('Долг по актам'!I31))</x:f>
        <x:v/>
      </x:c>
      <x:c r="H39" s="134" t="str">
        <x:f>IF(ISNUMBER('Долг по актам'!M31),'Долг по актам'!M31,"")</x:f>
        <x:v/>
      </x:c>
      <x:c r="I39" s="337"/>
      <x:c r="J39" s="338"/>
    </x:row>
    <x:row r="40" ht="20" customHeight="1">
      <x:c r="A40" s="131">
        <x:v>28</x:v>
      </x:c>
      <x:c r="B40" s="133" t="str">
        <x:f>IF('Долг по актам'!B32="","",'Долг по актам'!B32)</x:f>
        <x:v/>
      </x:c>
      <x:c r="C40" s="133" t="str">
        <x:f>IF('Долг по актам'!B32="","",'Долг по актам'!C32&amp;"")</x:f>
        <x:v/>
      </x:c>
      <x:c r="D40" s="134" t="str">
        <x:f>IF('Долг по актам'!B32="","",N('Долг по актам'!F32))</x:f>
        <x:v/>
      </x:c>
      <x:c r="E40" s="134" t="str">
        <x:f>IF('Долг по актам'!B32="","",IF(ISNUMBER('Долг по актам'!G32),'Долг по актам'!G32,0)+N('Долг по актам'!K32))</x:f>
        <x:v/>
      </x:c>
      <x:c r="F40" s="134" t="str">
        <x:f>IF(ISNUMBER('Долг по актам'!L32),'Долг по актам'!L32,"")</x:f>
        <x:v/>
      </x:c>
      <x:c r="G40" s="134" t="str">
        <x:f>IF('Долг по актам'!B32="","",N('Долг по актам'!I32))</x:f>
        <x:v/>
      </x:c>
      <x:c r="H40" s="134" t="str">
        <x:f>IF(ISNUMBER('Долг по актам'!M32),'Долг по актам'!M32,"")</x:f>
        <x:v/>
      </x:c>
      <x:c r="I40" s="337"/>
      <x:c r="J40" s="338"/>
    </x:row>
    <x:row r="41" ht="20" customHeight="1">
      <x:c r="A41" s="131">
        <x:v>29</x:v>
      </x:c>
      <x:c r="B41" s="133" t="str">
        <x:f>IF('Долг по актам'!B33="","",'Долг по актам'!B33)</x:f>
        <x:v/>
      </x:c>
      <x:c r="C41" s="133" t="str">
        <x:f>IF('Долг по актам'!B33="","",'Долг по актам'!C33&amp;"")</x:f>
        <x:v/>
      </x:c>
      <x:c r="D41" s="134" t="str">
        <x:f>IF('Долг по актам'!B33="","",N('Долг по актам'!F33))</x:f>
        <x:v/>
      </x:c>
      <x:c r="E41" s="134" t="str">
        <x:f>IF('Долг по актам'!B33="","",IF(ISNUMBER('Долг по актам'!G33),'Долг по актам'!G33,0)+N('Долг по актам'!K33))</x:f>
        <x:v/>
      </x:c>
      <x:c r="F41" s="134" t="str">
        <x:f>IF(ISNUMBER('Долг по актам'!L33),'Долг по актам'!L33,"")</x:f>
        <x:v/>
      </x:c>
      <x:c r="G41" s="134" t="str">
        <x:f>IF('Долг по актам'!B33="","",N('Долг по актам'!I33))</x:f>
        <x:v/>
      </x:c>
      <x:c r="H41" s="134" t="str">
        <x:f>IF(ISNUMBER('Долг по актам'!M33),'Долг по актам'!M33,"")</x:f>
        <x:v/>
      </x:c>
      <x:c r="I41" s="337"/>
      <x:c r="J41" s="338"/>
    </x:row>
    <x:row r="42" ht="20" customHeight="1">
      <x:c r="A42" s="136">
        <x:v>30</x:v>
      </x:c>
      <x:c r="B42" s="138" t="str">
        <x:f>IF('Долг по актам'!B34="","",'Долг по актам'!B34)</x:f>
        <x:v/>
      </x:c>
      <x:c r="C42" s="138" t="str">
        <x:f>IF('Долг по актам'!B34="","",'Долг по актам'!C34&amp;"")</x:f>
        <x:v/>
      </x:c>
      <x:c r="D42" s="139" t="str">
        <x:f>IF('Долг по актам'!B34="","",N('Долг по актам'!F34))</x:f>
        <x:v/>
      </x:c>
      <x:c r="E42" s="139" t="str">
        <x:f>IF('Долг по актам'!B34="","",IF(ISNUMBER('Долг по актам'!G34),'Долг по актам'!G34,0)+N('Долг по актам'!K34))</x:f>
        <x:v/>
      </x:c>
      <x:c r="F42" s="139" t="str">
        <x:f>IF(ISNUMBER('Долг по актам'!L34),'Долг по актам'!L34,"")</x:f>
        <x:v/>
      </x:c>
      <x:c r="G42" s="139" t="str">
        <x:f>IF('Долг по актам'!B34="","",N('Долг по актам'!I34))</x:f>
        <x:v/>
      </x:c>
      <x:c r="H42" s="139" t="str">
        <x:f>IF(ISNUMBER('Долг по актам'!M34),'Долг по актам'!M34,"")</x:f>
        <x:v/>
      </x:c>
      <x:c r="I42" s="339"/>
      <x:c r="J42" s="340"/>
    </x:row>
    <x:row r="43" ht="28" customHeight="1">
      <x:c r="A43" s="350"/>
      <x:c r="B43" s="350" t="inlineStr">
        <x:is>
          <x:t>ИТОГО</x:t>
        </x:is>
      </x:c>
      <x:c r="C43" s="350"/>
      <x:c r="D43" s="350"/>
      <x:c r="E43" s="350"/>
      <x:c r="F43" s="351" t="str">
        <x:f>IF($C$3="ГОТОВ",SUM(F13:F42),"НЕ ГОТОВ")</x:f>
        <x:v>НЕ ГОТОВ</x:v>
      </x:c>
      <x:c r="G43" s="351" t="str">
        <x:f>IF($C$3="ГОТОВ",SUM(G13:G42),"НЕ ГОТОВ")</x:f>
        <x:v>НЕ ГОТОВ</x:v>
      </x:c>
      <x:c r="H43" s="351" t="str">
        <x:f>IF($C$3="ГОТОВ",SUM(H13:H42),"НЕ ГОТОВ")</x:f>
        <x:v>НЕ ГОТОВ</x:v>
      </x:c>
      <x:c r="I43" s="351" t="str">
        <x:f>IF(COUNT(I13:I42)=0,"",SUM(I13:I42))</x:f>
        <x:v/>
      </x:c>
      <x:c r="J43" s="350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</x:row>
    <x:row r="45" ht="36" customHeight="1">
      <x:c r="A45" s="45" t="str">
        <x:f>IF($C$3&lt;&gt;"ГОТОВ",$C$3,"По данным Субподрядчика задолженность Заказчика составляет "&amp;FIXED(F43,2)&amp;" руб., в том числе оспаривается Заказчиком "&amp;FIXED(G43,2)&amp;" руб.; бесспорная часть — "&amp;FIXED(H43,2)&amp;" руб.")</x:f>
        <x:v>НЕ ГОТОВ: на листе «Долг по актам» нет ни одного акта</x:v>
      </x:c>
      <x:c r="B45" s="47"/>
      <x:c r="C45" s="47"/>
      <x:c r="D45" s="47"/>
      <x:c r="E45" s="47"/>
      <x:c r="F45" s="47"/>
      <x:c r="G45" s="47"/>
      <x:c r="H45" s="47"/>
      <x:c r="I45" s="47"/>
      <x:c r="J45" s="47"/>
    </x:row>
    <x:row r="46" ht="36" customHeight="1">
      <x:c r="A46" s="47" t="inlineStr">
        <x:is>
          <x:t>По данным Заказчика задолженность составляет: ____________________ руб.</x:t>
        </x:is>
      </x:c>
      <x:c r="B46" s="47"/>
      <x:c r="C46" s="47"/>
      <x:c r="D46" s="47"/>
      <x:c r="E46" s="47"/>
      <x:c r="F46" s="47"/>
      <x:c r="G46" s="47"/>
      <x:c r="H46" s="47"/>
      <x:c r="I46" s="47"/>
      <x:c r="J46" s="47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</x:row>
    <x:row r="48">
      <x:c r="A48" s="46"/>
      <x:c r="B48" s="111" t="inlineStr">
        <x:is>
          <x:t>От Субподрядчика</x:t>
        </x:is>
      </x:c>
      <x:c r="C48" s="46"/>
      <x:c r="D48" s="46"/>
      <x:c r="E48" s="46"/>
      <x:c r="F48" s="46"/>
      <x:c r="G48" s="111" t="inlineStr">
        <x:is>
          <x:t>От Заказчика</x:t>
        </x:is>
      </x:c>
      <x:c r="H48" s="46"/>
      <x:c r="I48" s="46"/>
      <x:c r="J48" s="46"/>
    </x:row>
    <x:row r="49">
      <x:c r="A49" s="46"/>
      <x:c r="B49" s="46" t="inlineStr">
        <x:is>
          <x:t>Должность, ФИО: ______________________</x:t>
        </x:is>
      </x:c>
      <x:c r="C49" s="46"/>
      <x:c r="D49" s="46"/>
      <x:c r="E49" s="46"/>
      <x:c r="F49" s="46"/>
      <x:c r="G49" s="46" t="inlineStr">
        <x:is>
          <x:t>Должность, ФИО: ______________________</x:t>
        </x:is>
      </x:c>
      <x:c r="H49" s="46"/>
      <x:c r="I49" s="46"/>
      <x:c r="J49" s="46"/>
    </x:row>
    <x:row r="50">
      <x:c r="A50" s="46"/>
      <x:c r="B50" s="46" t="inlineStr">
        <x:is>
          <x:t>Подпись: ______________   М. П.</x:t>
        </x:is>
      </x:c>
      <x:c r="C50" s="46"/>
      <x:c r="D50" s="46"/>
      <x:c r="E50" s="46"/>
      <x:c r="F50" s="46"/>
      <x:c r="G50" s="46" t="inlineStr">
        <x:is>
          <x:t>Подпись: ______________   М. П.</x:t>
        </x:is>
      </x:c>
      <x:c r="H50" s="46"/>
      <x:c r="I50" s="46"/>
      <x:c r="J50" s="46"/>
    </x:row>
    <x:row r="51">
      <x:c r="A51" s="46"/>
      <x:c r="B51" s="46" t="inlineStr">
        <x:is>
          <x:t>Дата: ____________</x:t>
        </x:is>
      </x:c>
      <x:c r="C51" s="46"/>
      <x:c r="D51" s="46"/>
      <x:c r="E51" s="46"/>
      <x:c r="F51" s="46"/>
      <x:c r="G51" s="46" t="inlineStr">
        <x:is>
          <x:t>Дата: ____________</x:t>
        </x:is>
      </x:c>
      <x:c r="H51" s="46"/>
      <x:c r="I51" s="46"/>
      <x:c r="J51" s="46"/>
    </x:row>
  </x:sheetData>
  <x:mergeCells>
    <x:mergeCell ref="C3:J3"/>
    <x:mergeCell ref="A45:J45"/>
    <x:mergeCell ref="A46:J46"/>
    <x:mergeCell ref="A1:J1"/>
    <x:mergeCell ref="C8:I8"/>
    <x:mergeCell ref="C6:I6"/>
    <x:mergeCell ref="C7:I7"/>
    <x:mergeCell ref="A2:J2"/>
    <x:mergeCell ref="A10:J10"/>
    <x:mergeCell ref="C5:I5"/>
  </x:mergeCells>
  <x:pageMargins left="0.75" right="0.75" top="1" bottom="1" header="0.5" footer="0.5"/>
  <x:pageSetup paperSize="9" fitToHeight="0" orientation="landscape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 tabSelected="0"/>
  </x:sheetViews>
  <x:sheetFormatPr defaultRowHeight="14.399999618530273"/>
  <x:cols>
    <x:col min="1" max="1" width="5" customWidth="1"/>
    <x:col min="2" max="2" width="32" customWidth="1"/>
    <x:col min="3" max="3" width="18" customWidth="1"/>
    <x:col min="4" max="4" width="8" customWidth="1"/>
    <x:col min="5" max="5" width="32" customWidth="1"/>
    <x:col min="6" max="6" width="30" customWidth="1"/>
    <x:col min="7" max="7" width="12" customWidth="1"/>
    <x:col min="8" max="8" width="24" customWidth="1"/>
    <x:col min="9" max="9" width="12" customWidth="1"/>
    <x:col min="10" max="10" width="30" customWidth="1"/>
    <x:col min="11" max="11" width="32" hidden="0" customWidth="1"/>
  </x:cols>
  <x:sheetData>
    <x:row r="1" ht="38" customHeight="1">
      <x:c r="A1" s="75" t="inlineStr">
        <x:is>
          <x:t>Реестр передачи документов и доказательств передачи</x:t>
        </x:is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</x:row>
    <x:row r="2" ht="56" customHeight="1">
      <x:c r="A2" s="89" t="inlineStr">
        <x:is>
          <x:t>Одна строка — одно ваше отправление: уведомление, претензия, копия иска. Без доказательства направления документ для спора считается ненаправленным. Порядок — файл 07. Входящие документы заказчика (гарантийное письмо, ответ, возражения, акт сверки) сюда не вносятся: их отметка — в файле 02, «Контроль ответа», и строкой в «Реестре приложений».</x:t>
        </x:is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 ht="64" customHeight="1">
      <x:c r="A4" s="83" t="inlineStr">
        <x:is>
          <x:t>№</x:t>
        </x:is>
      </x:c>
      <x:c r="B4" s="83" t="inlineStr">
        <x:is>
          <x:t>Документ</x:t>
        </x:is>
      </x:c>
      <x:c r="C4" s="83" t="inlineStr">
        <x:is>
          <x:t>№ и дата документа</x:t>
        </x:is>
      </x:c>
      <x:c r="D4" s="83" t="inlineStr">
        <x:is>
          <x:t>Листов</x:t>
        </x:is>
      </x:c>
      <x:c r="E4" s="83" t="inlineStr">
        <x:is>
          <x:t>Адресат и адрес (ЕГРЮЛ / договор)</x:t>
        </x:is>
      </x:c>
      <x:c r="F4" s="83" t="inlineStr">
        <x:is>
          <x:t>Способ</x:t>
        </x:is>
      </x:c>
      <x:c r="G4" s="83" t="inlineStr">
        <x:is>
          <x:t>Дата отправки</x:t>
        </x:is>
      </x:c>
      <x:c r="H4" s="83" t="inlineStr">
        <x:is>
          <x:t>Идентификатор (трек, № ЭДО, вх. №)</x:t>
        </x:is>
      </x:c>
      <x:c r="I4" s="83" t="inlineStr">
        <x:is>
          <x:t>Дата получения</x:t>
        </x:is>
      </x:c>
      <x:c r="J4" s="83" t="inlineStr">
        <x:is>
          <x:t>Доказательство (где хранится)</x:t>
        </x:is>
      </x:c>
      <x:c r="K4" s="83" t="inlineStr">
        <x:is>
          <x:t>Статус</x:t>
        </x:is>
      </x:c>
    </x:row>
    <x:row r="5" ht="30" customHeight="1">
      <x:c r="A5" s="126">
        <x:v>1</x:v>
      </x:c>
      <x:c r="B5" s="160"/>
      <x:c r="C5" s="160"/>
      <x:c r="D5" s="160"/>
      <x:c r="E5" s="160"/>
      <x:c r="F5" s="160"/>
      <x:c r="G5" s="159"/>
      <x:c r="H5" s="160"/>
      <x:c r="I5" s="159"/>
      <x:c r="J5" s="160"/>
      <x:c r="K5" s="258" t="str">
        <x:f t="shared" ref="K5:K68" si="0">IF(B5="","",IF(OR(F5="",G5=""),"НЕ ОТПРАВЛЕНО",IF(J5="","НЕТ ДОКАЗАТЕЛЬСТВА",IF(I5="","ОТПРАВЛЕНО, ЖДЁМ ПОЛУЧЕНИЯ","ПЕРЕДАНО"))))</x:f>
        <x:v/>
      </x:c>
    </x:row>
    <x:row r="6" ht="30" customHeight="1">
      <x:c r="A6" s="131">
        <x:v>2</x:v>
      </x:c>
      <x:c r="B6" s="163"/>
      <x:c r="C6" s="163"/>
      <x:c r="D6" s="163"/>
      <x:c r="E6" s="163"/>
      <x:c r="F6" s="163"/>
      <x:c r="G6" s="162"/>
      <x:c r="H6" s="163"/>
      <x:c r="I6" s="162"/>
      <x:c r="J6" s="163"/>
      <x:c r="K6" s="261" t="str">
        <x:f t="shared" si="0"/>
        <x:v/>
      </x:c>
    </x:row>
    <x:row r="7" ht="30" customHeight="1">
      <x:c r="A7" s="131">
        <x:v>3</x:v>
      </x:c>
      <x:c r="B7" s="163"/>
      <x:c r="C7" s="163"/>
      <x:c r="D7" s="163"/>
      <x:c r="E7" s="163"/>
      <x:c r="F7" s="163"/>
      <x:c r="G7" s="162"/>
      <x:c r="H7" s="163"/>
      <x:c r="I7" s="162"/>
      <x:c r="J7" s="163"/>
      <x:c r="K7" s="261" t="str">
        <x:f t="shared" si="0"/>
        <x:v/>
      </x:c>
    </x:row>
    <x:row r="8" ht="30" customHeight="1">
      <x:c r="A8" s="131">
        <x:v>4</x:v>
      </x:c>
      <x:c r="B8" s="163"/>
      <x:c r="C8" s="163"/>
      <x:c r="D8" s="163"/>
      <x:c r="E8" s="163"/>
      <x:c r="F8" s="163"/>
      <x:c r="G8" s="162"/>
      <x:c r="H8" s="163"/>
      <x:c r="I8" s="162"/>
      <x:c r="J8" s="163"/>
      <x:c r="K8" s="261" t="str">
        <x:f t="shared" si="0"/>
        <x:v/>
      </x:c>
    </x:row>
    <x:row r="9" ht="30" customHeight="1">
      <x:c r="A9" s="131">
        <x:v>5</x:v>
      </x:c>
      <x:c r="B9" s="163"/>
      <x:c r="C9" s="163"/>
      <x:c r="D9" s="163"/>
      <x:c r="E9" s="163"/>
      <x:c r="F9" s="163"/>
      <x:c r="G9" s="162"/>
      <x:c r="H9" s="163"/>
      <x:c r="I9" s="162"/>
      <x:c r="J9" s="163"/>
      <x:c r="K9" s="261" t="str">
        <x:f t="shared" si="0"/>
        <x:v/>
      </x:c>
    </x:row>
    <x:row r="10" ht="30" customHeight="1">
      <x:c r="A10" s="131">
        <x:v>6</x:v>
      </x:c>
      <x:c r="B10" s="163"/>
      <x:c r="C10" s="163"/>
      <x:c r="D10" s="163"/>
      <x:c r="E10" s="163"/>
      <x:c r="F10" s="163"/>
      <x:c r="G10" s="162"/>
      <x:c r="H10" s="163"/>
      <x:c r="I10" s="162"/>
      <x:c r="J10" s="163"/>
      <x:c r="K10" s="261" t="str">
        <x:f t="shared" si="0"/>
        <x:v/>
      </x:c>
    </x:row>
    <x:row r="11" ht="30" customHeight="1">
      <x:c r="A11" s="131">
        <x:v>7</x:v>
      </x:c>
      <x:c r="B11" s="163"/>
      <x:c r="C11" s="163"/>
      <x:c r="D11" s="163"/>
      <x:c r="E11" s="163"/>
      <x:c r="F11" s="163"/>
      <x:c r="G11" s="162"/>
      <x:c r="H11" s="163"/>
      <x:c r="I11" s="162"/>
      <x:c r="J11" s="163"/>
      <x:c r="K11" s="261" t="str">
        <x:f t="shared" si="0"/>
        <x:v/>
      </x:c>
    </x:row>
    <x:row r="12" ht="30" customHeight="1">
      <x:c r="A12" s="131">
        <x:v>8</x:v>
      </x:c>
      <x:c r="B12" s="163"/>
      <x:c r="C12" s="163"/>
      <x:c r="D12" s="163"/>
      <x:c r="E12" s="163"/>
      <x:c r="F12" s="163"/>
      <x:c r="G12" s="162"/>
      <x:c r="H12" s="163"/>
      <x:c r="I12" s="162"/>
      <x:c r="J12" s="163"/>
      <x:c r="K12" s="261" t="str">
        <x:f t="shared" si="0"/>
        <x:v/>
      </x:c>
    </x:row>
    <x:row r="13" ht="30" customHeight="1">
      <x:c r="A13" s="131">
        <x:v>9</x:v>
      </x:c>
      <x:c r="B13" s="163"/>
      <x:c r="C13" s="163"/>
      <x:c r="D13" s="163"/>
      <x:c r="E13" s="163"/>
      <x:c r="F13" s="163"/>
      <x:c r="G13" s="162"/>
      <x:c r="H13" s="163"/>
      <x:c r="I13" s="162"/>
      <x:c r="J13" s="163"/>
      <x:c r="K13" s="261" t="str">
        <x:f t="shared" si="0"/>
        <x:v/>
      </x:c>
    </x:row>
    <x:row r="14" ht="30" customHeight="1">
      <x:c r="A14" s="131">
        <x:v>10</x:v>
      </x:c>
      <x:c r="B14" s="163"/>
      <x:c r="C14" s="163"/>
      <x:c r="D14" s="163"/>
      <x:c r="E14" s="163"/>
      <x:c r="F14" s="163"/>
      <x:c r="G14" s="162"/>
      <x:c r="H14" s="163"/>
      <x:c r="I14" s="162"/>
      <x:c r="J14" s="163"/>
      <x:c r="K14" s="261" t="str">
        <x:f t="shared" si="0"/>
        <x:v/>
      </x:c>
    </x:row>
    <x:row r="15" ht="30" customHeight="1">
      <x:c r="A15" s="131">
        <x:v>11</x:v>
      </x:c>
      <x:c r="B15" s="163"/>
      <x:c r="C15" s="163"/>
      <x:c r="D15" s="163"/>
      <x:c r="E15" s="163"/>
      <x:c r="F15" s="163"/>
      <x:c r="G15" s="162"/>
      <x:c r="H15" s="163"/>
      <x:c r="I15" s="162"/>
      <x:c r="J15" s="163"/>
      <x:c r="K15" s="261" t="str">
        <x:f t="shared" si="0"/>
        <x:v/>
      </x:c>
    </x:row>
    <x:row r="16" ht="30" customHeight="1">
      <x:c r="A16" s="131">
        <x:v>12</x:v>
      </x:c>
      <x:c r="B16" s="163"/>
      <x:c r="C16" s="163"/>
      <x:c r="D16" s="163"/>
      <x:c r="E16" s="163"/>
      <x:c r="F16" s="163"/>
      <x:c r="G16" s="162"/>
      <x:c r="H16" s="163"/>
      <x:c r="I16" s="162"/>
      <x:c r="J16" s="163"/>
      <x:c r="K16" s="261" t="str">
        <x:f t="shared" si="0"/>
        <x:v/>
      </x:c>
    </x:row>
    <x:row r="17" ht="30" customHeight="1">
      <x:c r="A17" s="131">
        <x:v>13</x:v>
      </x:c>
      <x:c r="B17" s="163"/>
      <x:c r="C17" s="163"/>
      <x:c r="D17" s="163"/>
      <x:c r="E17" s="163"/>
      <x:c r="F17" s="163"/>
      <x:c r="G17" s="162"/>
      <x:c r="H17" s="163"/>
      <x:c r="I17" s="162"/>
      <x:c r="J17" s="163"/>
      <x:c r="K17" s="261" t="str">
        <x:f t="shared" si="0"/>
        <x:v/>
      </x:c>
    </x:row>
    <x:row r="18" ht="30" customHeight="1">
      <x:c r="A18" s="131">
        <x:v>14</x:v>
      </x:c>
      <x:c r="B18" s="163"/>
      <x:c r="C18" s="163"/>
      <x:c r="D18" s="163"/>
      <x:c r="E18" s="163"/>
      <x:c r="F18" s="163"/>
      <x:c r="G18" s="162"/>
      <x:c r="H18" s="163"/>
      <x:c r="I18" s="162"/>
      <x:c r="J18" s="163"/>
      <x:c r="K18" s="261" t="str">
        <x:f t="shared" si="0"/>
        <x:v/>
      </x:c>
    </x:row>
    <x:row r="19" ht="30" customHeight="1">
      <x:c r="A19" s="131">
        <x:v>15</x:v>
      </x:c>
      <x:c r="B19" s="163"/>
      <x:c r="C19" s="163"/>
      <x:c r="D19" s="163"/>
      <x:c r="E19" s="163"/>
      <x:c r="F19" s="163"/>
      <x:c r="G19" s="162"/>
      <x:c r="H19" s="163"/>
      <x:c r="I19" s="162"/>
      <x:c r="J19" s="163"/>
      <x:c r="K19" s="261" t="str">
        <x:f t="shared" si="0"/>
        <x:v/>
      </x:c>
    </x:row>
    <x:row r="20" ht="30" customHeight="1">
      <x:c r="A20" s="131">
        <x:v>16</x:v>
      </x:c>
      <x:c r="B20" s="163"/>
      <x:c r="C20" s="163"/>
      <x:c r="D20" s="163"/>
      <x:c r="E20" s="163"/>
      <x:c r="F20" s="163"/>
      <x:c r="G20" s="162"/>
      <x:c r="H20" s="163"/>
      <x:c r="I20" s="162"/>
      <x:c r="J20" s="163"/>
      <x:c r="K20" s="261" t="str">
        <x:f t="shared" si="0"/>
        <x:v/>
      </x:c>
    </x:row>
    <x:row r="21" ht="30" customHeight="1">
      <x:c r="A21" s="131">
        <x:v>17</x:v>
      </x:c>
      <x:c r="B21" s="163"/>
      <x:c r="C21" s="163"/>
      <x:c r="D21" s="163"/>
      <x:c r="E21" s="163"/>
      <x:c r="F21" s="163"/>
      <x:c r="G21" s="162"/>
      <x:c r="H21" s="163"/>
      <x:c r="I21" s="162"/>
      <x:c r="J21" s="163"/>
      <x:c r="K21" s="261" t="str">
        <x:f t="shared" si="0"/>
        <x:v/>
      </x:c>
    </x:row>
    <x:row r="22" ht="30" customHeight="1">
      <x:c r="A22" s="131">
        <x:v>18</x:v>
      </x:c>
      <x:c r="B22" s="163"/>
      <x:c r="C22" s="163"/>
      <x:c r="D22" s="163"/>
      <x:c r="E22" s="163"/>
      <x:c r="F22" s="163"/>
      <x:c r="G22" s="162"/>
      <x:c r="H22" s="163"/>
      <x:c r="I22" s="162"/>
      <x:c r="J22" s="163"/>
      <x:c r="K22" s="261" t="str">
        <x:f t="shared" si="0"/>
        <x:v/>
      </x:c>
    </x:row>
    <x:row r="23" ht="30" customHeight="1">
      <x:c r="A23" s="131">
        <x:v>19</x:v>
      </x:c>
      <x:c r="B23" s="163"/>
      <x:c r="C23" s="163"/>
      <x:c r="D23" s="163"/>
      <x:c r="E23" s="163"/>
      <x:c r="F23" s="163"/>
      <x:c r="G23" s="162"/>
      <x:c r="H23" s="163"/>
      <x:c r="I23" s="162"/>
      <x:c r="J23" s="163"/>
      <x:c r="K23" s="261" t="str">
        <x:f t="shared" si="0"/>
        <x:v/>
      </x:c>
    </x:row>
    <x:row r="24" ht="30" customHeight="1">
      <x:c r="A24" s="131">
        <x:v>20</x:v>
      </x:c>
      <x:c r="B24" s="163"/>
      <x:c r="C24" s="163"/>
      <x:c r="D24" s="163"/>
      <x:c r="E24" s="163"/>
      <x:c r="F24" s="163"/>
      <x:c r="G24" s="162"/>
      <x:c r="H24" s="163"/>
      <x:c r="I24" s="162"/>
      <x:c r="J24" s="163"/>
      <x:c r="K24" s="261" t="str">
        <x:f t="shared" si="0"/>
        <x:v/>
      </x:c>
    </x:row>
    <x:row r="25" ht="30" customHeight="1">
      <x:c r="A25" s="131">
        <x:v>21</x:v>
      </x:c>
      <x:c r="B25" s="163"/>
      <x:c r="C25" s="163"/>
      <x:c r="D25" s="163"/>
      <x:c r="E25" s="163"/>
      <x:c r="F25" s="163"/>
      <x:c r="G25" s="162"/>
      <x:c r="H25" s="163"/>
      <x:c r="I25" s="162"/>
      <x:c r="J25" s="163"/>
      <x:c r="K25" s="261" t="str">
        <x:f t="shared" si="0"/>
        <x:v/>
      </x:c>
    </x:row>
    <x:row r="26" ht="30" customHeight="1">
      <x:c r="A26" s="131">
        <x:v>22</x:v>
      </x:c>
      <x:c r="B26" s="163"/>
      <x:c r="C26" s="163"/>
      <x:c r="D26" s="163"/>
      <x:c r="E26" s="163"/>
      <x:c r="F26" s="163"/>
      <x:c r="G26" s="162"/>
      <x:c r="H26" s="163"/>
      <x:c r="I26" s="162"/>
      <x:c r="J26" s="163"/>
      <x:c r="K26" s="261" t="str">
        <x:f t="shared" si="0"/>
        <x:v/>
      </x:c>
    </x:row>
    <x:row r="27" ht="30" customHeight="1">
      <x:c r="A27" s="131">
        <x:v>23</x:v>
      </x:c>
      <x:c r="B27" s="163"/>
      <x:c r="C27" s="163"/>
      <x:c r="D27" s="163"/>
      <x:c r="E27" s="163"/>
      <x:c r="F27" s="163"/>
      <x:c r="G27" s="162"/>
      <x:c r="H27" s="163"/>
      <x:c r="I27" s="162"/>
      <x:c r="J27" s="163"/>
      <x:c r="K27" s="261" t="str">
        <x:f t="shared" si="0"/>
        <x:v/>
      </x:c>
    </x:row>
    <x:row r="28" ht="30" customHeight="1">
      <x:c r="A28" s="131">
        <x:v>24</x:v>
      </x:c>
      <x:c r="B28" s="163"/>
      <x:c r="C28" s="163"/>
      <x:c r="D28" s="163"/>
      <x:c r="E28" s="163"/>
      <x:c r="F28" s="163"/>
      <x:c r="G28" s="162"/>
      <x:c r="H28" s="163"/>
      <x:c r="I28" s="162"/>
      <x:c r="J28" s="163"/>
      <x:c r="K28" s="261" t="str">
        <x:f t="shared" si="0"/>
        <x:v/>
      </x:c>
    </x:row>
    <x:row r="29" ht="30" customHeight="1">
      <x:c r="A29" s="131">
        <x:v>25</x:v>
      </x:c>
      <x:c r="B29" s="163"/>
      <x:c r="C29" s="163"/>
      <x:c r="D29" s="163"/>
      <x:c r="E29" s="163"/>
      <x:c r="F29" s="163"/>
      <x:c r="G29" s="162"/>
      <x:c r="H29" s="163"/>
      <x:c r="I29" s="162"/>
      <x:c r="J29" s="163"/>
      <x:c r="K29" s="261" t="str">
        <x:f t="shared" si="0"/>
        <x:v/>
      </x:c>
    </x:row>
    <x:row r="30" ht="30" customHeight="1">
      <x:c r="A30" s="131">
        <x:v>26</x:v>
      </x:c>
      <x:c r="B30" s="163"/>
      <x:c r="C30" s="163"/>
      <x:c r="D30" s="163"/>
      <x:c r="E30" s="163"/>
      <x:c r="F30" s="163"/>
      <x:c r="G30" s="162"/>
      <x:c r="H30" s="163"/>
      <x:c r="I30" s="162"/>
      <x:c r="J30" s="163"/>
      <x:c r="K30" s="261" t="str">
        <x:f t="shared" si="0"/>
        <x:v/>
      </x:c>
    </x:row>
    <x:row r="31" ht="30" customHeight="1">
      <x:c r="A31" s="131">
        <x:v>27</x:v>
      </x:c>
      <x:c r="B31" s="163"/>
      <x:c r="C31" s="163"/>
      <x:c r="D31" s="163"/>
      <x:c r="E31" s="163"/>
      <x:c r="F31" s="163"/>
      <x:c r="G31" s="162"/>
      <x:c r="H31" s="163"/>
      <x:c r="I31" s="162"/>
      <x:c r="J31" s="163"/>
      <x:c r="K31" s="261" t="str">
        <x:f t="shared" si="0"/>
        <x:v/>
      </x:c>
    </x:row>
    <x:row r="32" ht="30" customHeight="1">
      <x:c r="A32" s="131">
        <x:v>28</x:v>
      </x:c>
      <x:c r="B32" s="163"/>
      <x:c r="C32" s="163"/>
      <x:c r="D32" s="163"/>
      <x:c r="E32" s="163"/>
      <x:c r="F32" s="163"/>
      <x:c r="G32" s="162"/>
      <x:c r="H32" s="163"/>
      <x:c r="I32" s="162"/>
      <x:c r="J32" s="163"/>
      <x:c r="K32" s="261" t="str">
        <x:f t="shared" si="0"/>
        <x:v/>
      </x:c>
    </x:row>
    <x:row r="33" ht="30" customHeight="1">
      <x:c r="A33" s="131">
        <x:v>29</x:v>
      </x:c>
      <x:c r="B33" s="163"/>
      <x:c r="C33" s="163"/>
      <x:c r="D33" s="163"/>
      <x:c r="E33" s="163"/>
      <x:c r="F33" s="163"/>
      <x:c r="G33" s="162"/>
      <x:c r="H33" s="163"/>
      <x:c r="I33" s="162"/>
      <x:c r="J33" s="163"/>
      <x:c r="K33" s="261" t="str">
        <x:f t="shared" si="0"/>
        <x:v/>
      </x:c>
    </x:row>
    <x:row r="34" ht="30" customHeight="1">
      <x:c r="A34" s="131">
        <x:v>30</x:v>
      </x:c>
      <x:c r="B34" s="163"/>
      <x:c r="C34" s="163"/>
      <x:c r="D34" s="163"/>
      <x:c r="E34" s="163"/>
      <x:c r="F34" s="163"/>
      <x:c r="G34" s="162"/>
      <x:c r="H34" s="163"/>
      <x:c r="I34" s="162"/>
      <x:c r="J34" s="163"/>
      <x:c r="K34" s="261" t="str">
        <x:f t="shared" si="0"/>
        <x:v/>
      </x:c>
    </x:row>
    <x:row r="35" ht="30" customHeight="1">
      <x:c r="A35" s="131">
        <x:v>31</x:v>
      </x:c>
      <x:c r="B35" s="163"/>
      <x:c r="C35" s="163"/>
      <x:c r="D35" s="163"/>
      <x:c r="E35" s="163"/>
      <x:c r="F35" s="163"/>
      <x:c r="G35" s="162"/>
      <x:c r="H35" s="163"/>
      <x:c r="I35" s="162"/>
      <x:c r="J35" s="163"/>
      <x:c r="K35" s="261" t="str">
        <x:f t="shared" si="0"/>
        <x:v/>
      </x:c>
    </x:row>
    <x:row r="36" ht="30" customHeight="1">
      <x:c r="A36" s="131">
        <x:v>32</x:v>
      </x:c>
      <x:c r="B36" s="163"/>
      <x:c r="C36" s="163"/>
      <x:c r="D36" s="163"/>
      <x:c r="E36" s="163"/>
      <x:c r="F36" s="163"/>
      <x:c r="G36" s="162"/>
      <x:c r="H36" s="163"/>
      <x:c r="I36" s="162"/>
      <x:c r="J36" s="163"/>
      <x:c r="K36" s="261" t="str">
        <x:f t="shared" si="0"/>
        <x:v/>
      </x:c>
    </x:row>
    <x:row r="37" ht="30" customHeight="1">
      <x:c r="A37" s="131">
        <x:v>33</x:v>
      </x:c>
      <x:c r="B37" s="163"/>
      <x:c r="C37" s="163"/>
      <x:c r="D37" s="163"/>
      <x:c r="E37" s="163"/>
      <x:c r="F37" s="163"/>
      <x:c r="G37" s="162"/>
      <x:c r="H37" s="163"/>
      <x:c r="I37" s="162"/>
      <x:c r="J37" s="163"/>
      <x:c r="K37" s="261" t="str">
        <x:f t="shared" si="0"/>
        <x:v/>
      </x:c>
    </x:row>
    <x:row r="38" ht="30" customHeight="1">
      <x:c r="A38" s="131">
        <x:v>34</x:v>
      </x:c>
      <x:c r="B38" s="163"/>
      <x:c r="C38" s="163"/>
      <x:c r="D38" s="163"/>
      <x:c r="E38" s="163"/>
      <x:c r="F38" s="163"/>
      <x:c r="G38" s="162"/>
      <x:c r="H38" s="163"/>
      <x:c r="I38" s="162"/>
      <x:c r="J38" s="163"/>
      <x:c r="K38" s="261" t="str">
        <x:f t="shared" si="0"/>
        <x:v/>
      </x:c>
    </x:row>
    <x:row r="39" ht="30" customHeight="1">
      <x:c r="A39" s="131">
        <x:v>35</x:v>
      </x:c>
      <x:c r="B39" s="163"/>
      <x:c r="C39" s="163"/>
      <x:c r="D39" s="163"/>
      <x:c r="E39" s="163"/>
      <x:c r="F39" s="163"/>
      <x:c r="G39" s="162"/>
      <x:c r="H39" s="163"/>
      <x:c r="I39" s="162"/>
      <x:c r="J39" s="163"/>
      <x:c r="K39" s="261" t="str">
        <x:f t="shared" si="0"/>
        <x:v/>
      </x:c>
    </x:row>
    <x:row r="40" ht="30" customHeight="1">
      <x:c r="A40" s="131">
        <x:v>36</x:v>
      </x:c>
      <x:c r="B40" s="163"/>
      <x:c r="C40" s="163"/>
      <x:c r="D40" s="163"/>
      <x:c r="E40" s="163"/>
      <x:c r="F40" s="163"/>
      <x:c r="G40" s="162"/>
      <x:c r="H40" s="163"/>
      <x:c r="I40" s="162"/>
      <x:c r="J40" s="163"/>
      <x:c r="K40" s="261" t="str">
        <x:f t="shared" si="0"/>
        <x:v/>
      </x:c>
    </x:row>
    <x:row r="41" ht="30" customHeight="1">
      <x:c r="A41" s="131">
        <x:v>37</x:v>
      </x:c>
      <x:c r="B41" s="163"/>
      <x:c r="C41" s="163"/>
      <x:c r="D41" s="163"/>
      <x:c r="E41" s="163"/>
      <x:c r="F41" s="163"/>
      <x:c r="G41" s="162"/>
      <x:c r="H41" s="163"/>
      <x:c r="I41" s="162"/>
      <x:c r="J41" s="163"/>
      <x:c r="K41" s="261" t="str">
        <x:f t="shared" si="0"/>
        <x:v/>
      </x:c>
    </x:row>
    <x:row r="42" ht="30" customHeight="1">
      <x:c r="A42" s="131">
        <x:v>38</x:v>
      </x:c>
      <x:c r="B42" s="163"/>
      <x:c r="C42" s="163"/>
      <x:c r="D42" s="163"/>
      <x:c r="E42" s="163"/>
      <x:c r="F42" s="163"/>
      <x:c r="G42" s="162"/>
      <x:c r="H42" s="163"/>
      <x:c r="I42" s="162"/>
      <x:c r="J42" s="163"/>
      <x:c r="K42" s="261" t="str">
        <x:f t="shared" si="0"/>
        <x:v/>
      </x:c>
    </x:row>
    <x:row r="43" ht="30" customHeight="1">
      <x:c r="A43" s="131">
        <x:v>39</x:v>
      </x:c>
      <x:c r="B43" s="163"/>
      <x:c r="C43" s="163"/>
      <x:c r="D43" s="163"/>
      <x:c r="E43" s="163"/>
      <x:c r="F43" s="163"/>
      <x:c r="G43" s="162"/>
      <x:c r="H43" s="163"/>
      <x:c r="I43" s="162"/>
      <x:c r="J43" s="163"/>
      <x:c r="K43" s="261" t="str">
        <x:f t="shared" si="0"/>
        <x:v/>
      </x:c>
    </x:row>
    <x:row r="44" ht="30" customHeight="1">
      <x:c r="A44" s="131">
        <x:v>40</x:v>
      </x:c>
      <x:c r="B44" s="163"/>
      <x:c r="C44" s="163"/>
      <x:c r="D44" s="163"/>
      <x:c r="E44" s="163"/>
      <x:c r="F44" s="163"/>
      <x:c r="G44" s="162"/>
      <x:c r="H44" s="163"/>
      <x:c r="I44" s="162"/>
      <x:c r="J44" s="163"/>
      <x:c r="K44" s="261" t="str">
        <x:f t="shared" si="0"/>
        <x:v/>
      </x:c>
    </x:row>
    <x:row r="45" ht="30" customHeight="1">
      <x:c r="A45" s="131">
        <x:v>41</x:v>
      </x:c>
      <x:c r="B45" s="163"/>
      <x:c r="C45" s="163"/>
      <x:c r="D45" s="163"/>
      <x:c r="E45" s="163"/>
      <x:c r="F45" s="163"/>
      <x:c r="G45" s="162"/>
      <x:c r="H45" s="163"/>
      <x:c r="I45" s="162"/>
      <x:c r="J45" s="163"/>
      <x:c r="K45" s="261" t="str">
        <x:f t="shared" si="0"/>
        <x:v/>
      </x:c>
    </x:row>
    <x:row r="46" ht="30" customHeight="1">
      <x:c r="A46" s="131">
        <x:v>42</x:v>
      </x:c>
      <x:c r="B46" s="163"/>
      <x:c r="C46" s="163"/>
      <x:c r="D46" s="163"/>
      <x:c r="E46" s="163"/>
      <x:c r="F46" s="163"/>
      <x:c r="G46" s="162"/>
      <x:c r="H46" s="163"/>
      <x:c r="I46" s="162"/>
      <x:c r="J46" s="163"/>
      <x:c r="K46" s="261" t="str">
        <x:f t="shared" si="0"/>
        <x:v/>
      </x:c>
    </x:row>
    <x:row r="47" ht="30" customHeight="1">
      <x:c r="A47" s="131">
        <x:v>43</x:v>
      </x:c>
      <x:c r="B47" s="163"/>
      <x:c r="C47" s="163"/>
      <x:c r="D47" s="163"/>
      <x:c r="E47" s="163"/>
      <x:c r="F47" s="163"/>
      <x:c r="G47" s="162"/>
      <x:c r="H47" s="163"/>
      <x:c r="I47" s="162"/>
      <x:c r="J47" s="163"/>
      <x:c r="K47" s="261" t="str">
        <x:f t="shared" si="0"/>
        <x:v/>
      </x:c>
    </x:row>
    <x:row r="48" ht="30" customHeight="1">
      <x:c r="A48" s="131">
        <x:v>44</x:v>
      </x:c>
      <x:c r="B48" s="163"/>
      <x:c r="C48" s="163"/>
      <x:c r="D48" s="163"/>
      <x:c r="E48" s="163"/>
      <x:c r="F48" s="163"/>
      <x:c r="G48" s="162"/>
      <x:c r="H48" s="163"/>
      <x:c r="I48" s="162"/>
      <x:c r="J48" s="163"/>
      <x:c r="K48" s="261" t="str">
        <x:f t="shared" si="0"/>
        <x:v/>
      </x:c>
    </x:row>
    <x:row r="49" ht="30" customHeight="1">
      <x:c r="A49" s="131">
        <x:v>45</x:v>
      </x:c>
      <x:c r="B49" s="163"/>
      <x:c r="C49" s="163"/>
      <x:c r="D49" s="163"/>
      <x:c r="E49" s="163"/>
      <x:c r="F49" s="163"/>
      <x:c r="G49" s="162"/>
      <x:c r="H49" s="163"/>
      <x:c r="I49" s="162"/>
      <x:c r="J49" s="163"/>
      <x:c r="K49" s="261" t="str">
        <x:f t="shared" si="0"/>
        <x:v/>
      </x:c>
    </x:row>
    <x:row r="50" ht="30" customHeight="1">
      <x:c r="A50" s="131">
        <x:v>46</x:v>
      </x:c>
      <x:c r="B50" s="163"/>
      <x:c r="C50" s="163"/>
      <x:c r="D50" s="163"/>
      <x:c r="E50" s="163"/>
      <x:c r="F50" s="163"/>
      <x:c r="G50" s="162"/>
      <x:c r="H50" s="163"/>
      <x:c r="I50" s="162"/>
      <x:c r="J50" s="163"/>
      <x:c r="K50" s="261" t="str">
        <x:f t="shared" si="0"/>
        <x:v/>
      </x:c>
    </x:row>
    <x:row r="51" ht="30" customHeight="1">
      <x:c r="A51" s="131">
        <x:v>47</x:v>
      </x:c>
      <x:c r="B51" s="163"/>
      <x:c r="C51" s="163"/>
      <x:c r="D51" s="163"/>
      <x:c r="E51" s="163"/>
      <x:c r="F51" s="163"/>
      <x:c r="G51" s="162"/>
      <x:c r="H51" s="163"/>
      <x:c r="I51" s="162"/>
      <x:c r="J51" s="163"/>
      <x:c r="K51" s="261" t="str">
        <x:f t="shared" si="0"/>
        <x:v/>
      </x:c>
    </x:row>
    <x:row r="52" ht="30" customHeight="1">
      <x:c r="A52" s="131">
        <x:v>48</x:v>
      </x:c>
      <x:c r="B52" s="163"/>
      <x:c r="C52" s="163"/>
      <x:c r="D52" s="163"/>
      <x:c r="E52" s="163"/>
      <x:c r="F52" s="163"/>
      <x:c r="G52" s="162"/>
      <x:c r="H52" s="163"/>
      <x:c r="I52" s="162"/>
      <x:c r="J52" s="163"/>
      <x:c r="K52" s="261" t="str">
        <x:f t="shared" si="0"/>
        <x:v/>
      </x:c>
    </x:row>
    <x:row r="53" ht="30" customHeight="1">
      <x:c r="A53" s="131">
        <x:v>49</x:v>
      </x:c>
      <x:c r="B53" s="163"/>
      <x:c r="C53" s="163"/>
      <x:c r="D53" s="163"/>
      <x:c r="E53" s="163"/>
      <x:c r="F53" s="163"/>
      <x:c r="G53" s="162"/>
      <x:c r="H53" s="163"/>
      <x:c r="I53" s="162"/>
      <x:c r="J53" s="163"/>
      <x:c r="K53" s="261" t="str">
        <x:f t="shared" si="0"/>
        <x:v/>
      </x:c>
    </x:row>
    <x:row r="54" ht="30" customHeight="1">
      <x:c r="A54" s="131">
        <x:v>50</x:v>
      </x:c>
      <x:c r="B54" s="163"/>
      <x:c r="C54" s="163"/>
      <x:c r="D54" s="163"/>
      <x:c r="E54" s="163"/>
      <x:c r="F54" s="163"/>
      <x:c r="G54" s="162"/>
      <x:c r="H54" s="163"/>
      <x:c r="I54" s="162"/>
      <x:c r="J54" s="163"/>
      <x:c r="K54" s="261" t="str">
        <x:f t="shared" si="0"/>
        <x:v/>
      </x:c>
    </x:row>
    <x:row r="55" ht="30" customHeight="1">
      <x:c r="A55" s="131">
        <x:v>51</x:v>
      </x:c>
      <x:c r="B55" s="163"/>
      <x:c r="C55" s="163"/>
      <x:c r="D55" s="163"/>
      <x:c r="E55" s="163"/>
      <x:c r="F55" s="163"/>
      <x:c r="G55" s="162"/>
      <x:c r="H55" s="163"/>
      <x:c r="I55" s="162"/>
      <x:c r="J55" s="163"/>
      <x:c r="K55" s="261" t="str">
        <x:f t="shared" si="0"/>
        <x:v/>
      </x:c>
    </x:row>
    <x:row r="56" ht="30" customHeight="1">
      <x:c r="A56" s="131">
        <x:v>52</x:v>
      </x:c>
      <x:c r="B56" s="163"/>
      <x:c r="C56" s="163"/>
      <x:c r="D56" s="163"/>
      <x:c r="E56" s="163"/>
      <x:c r="F56" s="163"/>
      <x:c r="G56" s="162"/>
      <x:c r="H56" s="163"/>
      <x:c r="I56" s="162"/>
      <x:c r="J56" s="163"/>
      <x:c r="K56" s="261" t="str">
        <x:f t="shared" si="0"/>
        <x:v/>
      </x:c>
    </x:row>
    <x:row r="57" ht="30" customHeight="1">
      <x:c r="A57" s="131">
        <x:v>53</x:v>
      </x:c>
      <x:c r="B57" s="163"/>
      <x:c r="C57" s="163"/>
      <x:c r="D57" s="163"/>
      <x:c r="E57" s="163"/>
      <x:c r="F57" s="163"/>
      <x:c r="G57" s="162"/>
      <x:c r="H57" s="163"/>
      <x:c r="I57" s="162"/>
      <x:c r="J57" s="163"/>
      <x:c r="K57" s="261" t="str">
        <x:f t="shared" si="0"/>
        <x:v/>
      </x:c>
    </x:row>
    <x:row r="58" ht="30" customHeight="1">
      <x:c r="A58" s="131">
        <x:v>54</x:v>
      </x:c>
      <x:c r="B58" s="163"/>
      <x:c r="C58" s="163"/>
      <x:c r="D58" s="163"/>
      <x:c r="E58" s="163"/>
      <x:c r="F58" s="163"/>
      <x:c r="G58" s="162"/>
      <x:c r="H58" s="163"/>
      <x:c r="I58" s="162"/>
      <x:c r="J58" s="163"/>
      <x:c r="K58" s="261" t="str">
        <x:f t="shared" si="0"/>
        <x:v/>
      </x:c>
    </x:row>
    <x:row r="59" ht="30" customHeight="1">
      <x:c r="A59" s="131">
        <x:v>55</x:v>
      </x:c>
      <x:c r="B59" s="163"/>
      <x:c r="C59" s="163"/>
      <x:c r="D59" s="163"/>
      <x:c r="E59" s="163"/>
      <x:c r="F59" s="163"/>
      <x:c r="G59" s="162"/>
      <x:c r="H59" s="163"/>
      <x:c r="I59" s="162"/>
      <x:c r="J59" s="163"/>
      <x:c r="K59" s="261" t="str">
        <x:f t="shared" si="0"/>
        <x:v/>
      </x:c>
    </x:row>
    <x:row r="60" ht="30" customHeight="1">
      <x:c r="A60" s="131">
        <x:v>56</x:v>
      </x:c>
      <x:c r="B60" s="163"/>
      <x:c r="C60" s="163"/>
      <x:c r="D60" s="163"/>
      <x:c r="E60" s="163"/>
      <x:c r="F60" s="163"/>
      <x:c r="G60" s="162"/>
      <x:c r="H60" s="163"/>
      <x:c r="I60" s="162"/>
      <x:c r="J60" s="163"/>
      <x:c r="K60" s="261" t="str">
        <x:f t="shared" si="0"/>
        <x:v/>
      </x:c>
    </x:row>
    <x:row r="61" ht="30" customHeight="1">
      <x:c r="A61" s="131">
        <x:v>57</x:v>
      </x:c>
      <x:c r="B61" s="163"/>
      <x:c r="C61" s="163"/>
      <x:c r="D61" s="163"/>
      <x:c r="E61" s="163"/>
      <x:c r="F61" s="163"/>
      <x:c r="G61" s="162"/>
      <x:c r="H61" s="163"/>
      <x:c r="I61" s="162"/>
      <x:c r="J61" s="163"/>
      <x:c r="K61" s="261" t="str">
        <x:f t="shared" si="0"/>
        <x:v/>
      </x:c>
    </x:row>
    <x:row r="62" ht="30" customHeight="1">
      <x:c r="A62" s="131">
        <x:v>58</x:v>
      </x:c>
      <x:c r="B62" s="163"/>
      <x:c r="C62" s="163"/>
      <x:c r="D62" s="163"/>
      <x:c r="E62" s="163"/>
      <x:c r="F62" s="163"/>
      <x:c r="G62" s="162"/>
      <x:c r="H62" s="163"/>
      <x:c r="I62" s="162"/>
      <x:c r="J62" s="163"/>
      <x:c r="K62" s="261" t="str">
        <x:f t="shared" si="0"/>
        <x:v/>
      </x:c>
    </x:row>
    <x:row r="63" ht="30" customHeight="1">
      <x:c r="A63" s="131">
        <x:v>59</x:v>
      </x:c>
      <x:c r="B63" s="163"/>
      <x:c r="C63" s="163"/>
      <x:c r="D63" s="163"/>
      <x:c r="E63" s="163"/>
      <x:c r="F63" s="163"/>
      <x:c r="G63" s="162"/>
      <x:c r="H63" s="163"/>
      <x:c r="I63" s="162"/>
      <x:c r="J63" s="163"/>
      <x:c r="K63" s="261" t="str">
        <x:f t="shared" si="0"/>
        <x:v/>
      </x:c>
    </x:row>
    <x:row r="64" ht="30" customHeight="1">
      <x:c r="A64" s="131">
        <x:v>60</x:v>
      </x:c>
      <x:c r="B64" s="163"/>
      <x:c r="C64" s="163"/>
      <x:c r="D64" s="163"/>
      <x:c r="E64" s="163"/>
      <x:c r="F64" s="163"/>
      <x:c r="G64" s="162"/>
      <x:c r="H64" s="163"/>
      <x:c r="I64" s="162"/>
      <x:c r="J64" s="163"/>
      <x:c r="K64" s="261" t="str">
        <x:f t="shared" si="0"/>
        <x:v/>
      </x:c>
    </x:row>
    <x:row r="65" ht="30" customHeight="1">
      <x:c r="A65" s="131">
        <x:v>61</x:v>
      </x:c>
      <x:c r="B65" s="163"/>
      <x:c r="C65" s="163"/>
      <x:c r="D65" s="163"/>
      <x:c r="E65" s="163"/>
      <x:c r="F65" s="163"/>
      <x:c r="G65" s="162"/>
      <x:c r="H65" s="163"/>
      <x:c r="I65" s="162"/>
      <x:c r="J65" s="163"/>
      <x:c r="K65" s="261" t="str">
        <x:f t="shared" si="0"/>
        <x:v/>
      </x:c>
    </x:row>
    <x:row r="66" ht="30" customHeight="1">
      <x:c r="A66" s="131">
        <x:v>62</x:v>
      </x:c>
      <x:c r="B66" s="163"/>
      <x:c r="C66" s="163"/>
      <x:c r="D66" s="163"/>
      <x:c r="E66" s="163"/>
      <x:c r="F66" s="163"/>
      <x:c r="G66" s="162"/>
      <x:c r="H66" s="163"/>
      <x:c r="I66" s="162"/>
      <x:c r="J66" s="163"/>
      <x:c r="K66" s="261" t="str">
        <x:f t="shared" si="0"/>
        <x:v/>
      </x:c>
    </x:row>
    <x:row r="67" ht="30" customHeight="1">
      <x:c r="A67" s="131">
        <x:v>63</x:v>
      </x:c>
      <x:c r="B67" s="163"/>
      <x:c r="C67" s="163"/>
      <x:c r="D67" s="163"/>
      <x:c r="E67" s="163"/>
      <x:c r="F67" s="163"/>
      <x:c r="G67" s="162"/>
      <x:c r="H67" s="163"/>
      <x:c r="I67" s="162"/>
      <x:c r="J67" s="163"/>
      <x:c r="K67" s="261" t="str">
        <x:f t="shared" si="0"/>
        <x:v/>
      </x:c>
    </x:row>
    <x:row r="68" ht="30" customHeight="1">
      <x:c r="A68" s="131">
        <x:v>64</x:v>
      </x:c>
      <x:c r="B68" s="163"/>
      <x:c r="C68" s="163"/>
      <x:c r="D68" s="163"/>
      <x:c r="E68" s="163"/>
      <x:c r="F68" s="163"/>
      <x:c r="G68" s="162"/>
      <x:c r="H68" s="163"/>
      <x:c r="I68" s="162"/>
      <x:c r="J68" s="163"/>
      <x:c r="K68" s="261" t="str">
        <x:f t="shared" si="0"/>
        <x:v/>
      </x:c>
    </x:row>
    <x:row r="69" ht="30" customHeight="1">
      <x:c r="A69" s="131">
        <x:v>65</x:v>
      </x:c>
      <x:c r="B69" s="163"/>
      <x:c r="C69" s="163"/>
      <x:c r="D69" s="163"/>
      <x:c r="E69" s="163"/>
      <x:c r="F69" s="163"/>
      <x:c r="G69" s="162"/>
      <x:c r="H69" s="163"/>
      <x:c r="I69" s="162"/>
      <x:c r="J69" s="163"/>
      <x:c r="K69" s="261" t="str">
        <x:f t="shared" ref="K69:K132" si="1">IF(B69="","",IF(OR(F69="",G69=""),"НЕ ОТПРАВЛЕНО",IF(J69="","НЕТ ДОКАЗАТЕЛЬСТВА",IF(I69="","ОТПРАВЛЕНО, ЖДЁМ ПОЛУЧЕНИЯ","ПЕРЕДАНО"))))</x:f>
        <x:v/>
      </x:c>
    </x:row>
    <x:row r="70" ht="30" customHeight="1">
      <x:c r="A70" s="131">
        <x:v>66</x:v>
      </x:c>
      <x:c r="B70" s="163"/>
      <x:c r="C70" s="163"/>
      <x:c r="D70" s="163"/>
      <x:c r="E70" s="163"/>
      <x:c r="F70" s="163"/>
      <x:c r="G70" s="162"/>
      <x:c r="H70" s="163"/>
      <x:c r="I70" s="162"/>
      <x:c r="J70" s="163"/>
      <x:c r="K70" s="261" t="str">
        <x:f t="shared" si="1"/>
        <x:v/>
      </x:c>
    </x:row>
    <x:row r="71" ht="30" customHeight="1">
      <x:c r="A71" s="131">
        <x:v>67</x:v>
      </x:c>
      <x:c r="B71" s="163"/>
      <x:c r="C71" s="163"/>
      <x:c r="D71" s="163"/>
      <x:c r="E71" s="163"/>
      <x:c r="F71" s="163"/>
      <x:c r="G71" s="162"/>
      <x:c r="H71" s="163"/>
      <x:c r="I71" s="162"/>
      <x:c r="J71" s="163"/>
      <x:c r="K71" s="261" t="str">
        <x:f t="shared" si="1"/>
        <x:v/>
      </x:c>
    </x:row>
    <x:row r="72" ht="30" customHeight="1">
      <x:c r="A72" s="131">
        <x:v>68</x:v>
      </x:c>
      <x:c r="B72" s="163"/>
      <x:c r="C72" s="163"/>
      <x:c r="D72" s="163"/>
      <x:c r="E72" s="163"/>
      <x:c r="F72" s="163"/>
      <x:c r="G72" s="162"/>
      <x:c r="H72" s="163"/>
      <x:c r="I72" s="162"/>
      <x:c r="J72" s="163"/>
      <x:c r="K72" s="261" t="str">
        <x:f t="shared" si="1"/>
        <x:v/>
      </x:c>
    </x:row>
    <x:row r="73" ht="30" customHeight="1">
      <x:c r="A73" s="131">
        <x:v>69</x:v>
      </x:c>
      <x:c r="B73" s="163"/>
      <x:c r="C73" s="163"/>
      <x:c r="D73" s="163"/>
      <x:c r="E73" s="163"/>
      <x:c r="F73" s="163"/>
      <x:c r="G73" s="162"/>
      <x:c r="H73" s="163"/>
      <x:c r="I73" s="162"/>
      <x:c r="J73" s="163"/>
      <x:c r="K73" s="261" t="str">
        <x:f t="shared" si="1"/>
        <x:v/>
      </x:c>
    </x:row>
    <x:row r="74" ht="30" customHeight="1">
      <x:c r="A74" s="131">
        <x:v>70</x:v>
      </x:c>
      <x:c r="B74" s="163"/>
      <x:c r="C74" s="163"/>
      <x:c r="D74" s="163"/>
      <x:c r="E74" s="163"/>
      <x:c r="F74" s="163"/>
      <x:c r="G74" s="162"/>
      <x:c r="H74" s="163"/>
      <x:c r="I74" s="162"/>
      <x:c r="J74" s="163"/>
      <x:c r="K74" s="261" t="str">
        <x:f t="shared" si="1"/>
        <x:v/>
      </x:c>
    </x:row>
    <x:row r="75" ht="30" customHeight="1">
      <x:c r="A75" s="131">
        <x:v>71</x:v>
      </x:c>
      <x:c r="B75" s="163"/>
      <x:c r="C75" s="163"/>
      <x:c r="D75" s="163"/>
      <x:c r="E75" s="163"/>
      <x:c r="F75" s="163"/>
      <x:c r="G75" s="162"/>
      <x:c r="H75" s="163"/>
      <x:c r="I75" s="162"/>
      <x:c r="J75" s="163"/>
      <x:c r="K75" s="261" t="str">
        <x:f t="shared" si="1"/>
        <x:v/>
      </x:c>
    </x:row>
    <x:row r="76" ht="30" customHeight="1">
      <x:c r="A76" s="131">
        <x:v>72</x:v>
      </x:c>
      <x:c r="B76" s="163"/>
      <x:c r="C76" s="163"/>
      <x:c r="D76" s="163"/>
      <x:c r="E76" s="163"/>
      <x:c r="F76" s="163"/>
      <x:c r="G76" s="162"/>
      <x:c r="H76" s="163"/>
      <x:c r="I76" s="162"/>
      <x:c r="J76" s="163"/>
      <x:c r="K76" s="261" t="str">
        <x:f t="shared" si="1"/>
        <x:v/>
      </x:c>
    </x:row>
    <x:row r="77" ht="30" customHeight="1">
      <x:c r="A77" s="131">
        <x:v>73</x:v>
      </x:c>
      <x:c r="B77" s="163"/>
      <x:c r="C77" s="163"/>
      <x:c r="D77" s="163"/>
      <x:c r="E77" s="163"/>
      <x:c r="F77" s="163"/>
      <x:c r="G77" s="162"/>
      <x:c r="H77" s="163"/>
      <x:c r="I77" s="162"/>
      <x:c r="J77" s="163"/>
      <x:c r="K77" s="261" t="str">
        <x:f t="shared" si="1"/>
        <x:v/>
      </x:c>
    </x:row>
    <x:row r="78" ht="30" customHeight="1">
      <x:c r="A78" s="131">
        <x:v>74</x:v>
      </x:c>
      <x:c r="B78" s="163"/>
      <x:c r="C78" s="163"/>
      <x:c r="D78" s="163"/>
      <x:c r="E78" s="163"/>
      <x:c r="F78" s="163"/>
      <x:c r="G78" s="162"/>
      <x:c r="H78" s="163"/>
      <x:c r="I78" s="162"/>
      <x:c r="J78" s="163"/>
      <x:c r="K78" s="261" t="str">
        <x:f t="shared" si="1"/>
        <x:v/>
      </x:c>
    </x:row>
    <x:row r="79" ht="30" customHeight="1">
      <x:c r="A79" s="131">
        <x:v>75</x:v>
      </x:c>
      <x:c r="B79" s="163"/>
      <x:c r="C79" s="163"/>
      <x:c r="D79" s="163"/>
      <x:c r="E79" s="163"/>
      <x:c r="F79" s="163"/>
      <x:c r="G79" s="162"/>
      <x:c r="H79" s="163"/>
      <x:c r="I79" s="162"/>
      <x:c r="J79" s="163"/>
      <x:c r="K79" s="261" t="str">
        <x:f t="shared" si="1"/>
        <x:v/>
      </x:c>
    </x:row>
    <x:row r="80" ht="30" customHeight="1">
      <x:c r="A80" s="131">
        <x:v>76</x:v>
      </x:c>
      <x:c r="B80" s="163"/>
      <x:c r="C80" s="163"/>
      <x:c r="D80" s="163"/>
      <x:c r="E80" s="163"/>
      <x:c r="F80" s="163"/>
      <x:c r="G80" s="162"/>
      <x:c r="H80" s="163"/>
      <x:c r="I80" s="162"/>
      <x:c r="J80" s="163"/>
      <x:c r="K80" s="261" t="str">
        <x:f t="shared" si="1"/>
        <x:v/>
      </x:c>
    </x:row>
    <x:row r="81" ht="30" customHeight="1">
      <x:c r="A81" s="131">
        <x:v>77</x:v>
      </x:c>
      <x:c r="B81" s="163"/>
      <x:c r="C81" s="163"/>
      <x:c r="D81" s="163"/>
      <x:c r="E81" s="163"/>
      <x:c r="F81" s="163"/>
      <x:c r="G81" s="162"/>
      <x:c r="H81" s="163"/>
      <x:c r="I81" s="162"/>
      <x:c r="J81" s="163"/>
      <x:c r="K81" s="261" t="str">
        <x:f t="shared" si="1"/>
        <x:v/>
      </x:c>
    </x:row>
    <x:row r="82" ht="30" customHeight="1">
      <x:c r="A82" s="131">
        <x:v>78</x:v>
      </x:c>
      <x:c r="B82" s="163"/>
      <x:c r="C82" s="163"/>
      <x:c r="D82" s="163"/>
      <x:c r="E82" s="163"/>
      <x:c r="F82" s="163"/>
      <x:c r="G82" s="162"/>
      <x:c r="H82" s="163"/>
      <x:c r="I82" s="162"/>
      <x:c r="J82" s="163"/>
      <x:c r="K82" s="261" t="str">
        <x:f t="shared" si="1"/>
        <x:v/>
      </x:c>
    </x:row>
    <x:row r="83" ht="30" customHeight="1">
      <x:c r="A83" s="131">
        <x:v>79</x:v>
      </x:c>
      <x:c r="B83" s="163"/>
      <x:c r="C83" s="163"/>
      <x:c r="D83" s="163"/>
      <x:c r="E83" s="163"/>
      <x:c r="F83" s="163"/>
      <x:c r="G83" s="162"/>
      <x:c r="H83" s="163"/>
      <x:c r="I83" s="162"/>
      <x:c r="J83" s="163"/>
      <x:c r="K83" s="261" t="str">
        <x:f t="shared" si="1"/>
        <x:v/>
      </x:c>
    </x:row>
    <x:row r="84" ht="30" customHeight="1">
      <x:c r="A84" s="131">
        <x:v>80</x:v>
      </x:c>
      <x:c r="B84" s="163"/>
      <x:c r="C84" s="163"/>
      <x:c r="D84" s="163"/>
      <x:c r="E84" s="163"/>
      <x:c r="F84" s="163"/>
      <x:c r="G84" s="162"/>
      <x:c r="H84" s="163"/>
      <x:c r="I84" s="162"/>
      <x:c r="J84" s="163"/>
      <x:c r="K84" s="261" t="str">
        <x:f t="shared" si="1"/>
        <x:v/>
      </x:c>
    </x:row>
    <x:row r="85" ht="30" customHeight="1">
      <x:c r="A85" s="131">
        <x:v>81</x:v>
      </x:c>
      <x:c r="B85" s="163"/>
      <x:c r="C85" s="163"/>
      <x:c r="D85" s="163"/>
      <x:c r="E85" s="163"/>
      <x:c r="F85" s="163"/>
      <x:c r="G85" s="162"/>
      <x:c r="H85" s="163"/>
      <x:c r="I85" s="162"/>
      <x:c r="J85" s="163"/>
      <x:c r="K85" s="261" t="str">
        <x:f t="shared" si="1"/>
        <x:v/>
      </x:c>
    </x:row>
    <x:row r="86" ht="30" customHeight="1">
      <x:c r="A86" s="131">
        <x:v>82</x:v>
      </x:c>
      <x:c r="B86" s="163"/>
      <x:c r="C86" s="163"/>
      <x:c r="D86" s="163"/>
      <x:c r="E86" s="163"/>
      <x:c r="F86" s="163"/>
      <x:c r="G86" s="162"/>
      <x:c r="H86" s="163"/>
      <x:c r="I86" s="162"/>
      <x:c r="J86" s="163"/>
      <x:c r="K86" s="261" t="str">
        <x:f t="shared" si="1"/>
        <x:v/>
      </x:c>
    </x:row>
    <x:row r="87" ht="30" customHeight="1">
      <x:c r="A87" s="131">
        <x:v>83</x:v>
      </x:c>
      <x:c r="B87" s="163"/>
      <x:c r="C87" s="163"/>
      <x:c r="D87" s="163"/>
      <x:c r="E87" s="163"/>
      <x:c r="F87" s="163"/>
      <x:c r="G87" s="162"/>
      <x:c r="H87" s="163"/>
      <x:c r="I87" s="162"/>
      <x:c r="J87" s="163"/>
      <x:c r="K87" s="261" t="str">
        <x:f t="shared" si="1"/>
        <x:v/>
      </x:c>
    </x:row>
    <x:row r="88" ht="30" customHeight="1">
      <x:c r="A88" s="131">
        <x:v>84</x:v>
      </x:c>
      <x:c r="B88" s="163"/>
      <x:c r="C88" s="163"/>
      <x:c r="D88" s="163"/>
      <x:c r="E88" s="163"/>
      <x:c r="F88" s="163"/>
      <x:c r="G88" s="162"/>
      <x:c r="H88" s="163"/>
      <x:c r="I88" s="162"/>
      <x:c r="J88" s="163"/>
      <x:c r="K88" s="261" t="str">
        <x:f t="shared" si="1"/>
        <x:v/>
      </x:c>
    </x:row>
    <x:row r="89" ht="30" customHeight="1">
      <x:c r="A89" s="131">
        <x:v>85</x:v>
      </x:c>
      <x:c r="B89" s="163"/>
      <x:c r="C89" s="163"/>
      <x:c r="D89" s="163"/>
      <x:c r="E89" s="163"/>
      <x:c r="F89" s="163"/>
      <x:c r="G89" s="162"/>
      <x:c r="H89" s="163"/>
      <x:c r="I89" s="162"/>
      <x:c r="J89" s="163"/>
      <x:c r="K89" s="261" t="str">
        <x:f t="shared" si="1"/>
        <x:v/>
      </x:c>
    </x:row>
    <x:row r="90" ht="30" customHeight="1">
      <x:c r="A90" s="131">
        <x:v>86</x:v>
      </x:c>
      <x:c r="B90" s="163"/>
      <x:c r="C90" s="163"/>
      <x:c r="D90" s="163"/>
      <x:c r="E90" s="163"/>
      <x:c r="F90" s="163"/>
      <x:c r="G90" s="162"/>
      <x:c r="H90" s="163"/>
      <x:c r="I90" s="162"/>
      <x:c r="J90" s="163"/>
      <x:c r="K90" s="261" t="str">
        <x:f t="shared" si="1"/>
        <x:v/>
      </x:c>
    </x:row>
    <x:row r="91" ht="30" customHeight="1">
      <x:c r="A91" s="131">
        <x:v>87</x:v>
      </x:c>
      <x:c r="B91" s="163"/>
      <x:c r="C91" s="163"/>
      <x:c r="D91" s="163"/>
      <x:c r="E91" s="163"/>
      <x:c r="F91" s="163"/>
      <x:c r="G91" s="162"/>
      <x:c r="H91" s="163"/>
      <x:c r="I91" s="162"/>
      <x:c r="J91" s="163"/>
      <x:c r="K91" s="261" t="str">
        <x:f t="shared" si="1"/>
        <x:v/>
      </x:c>
    </x:row>
    <x:row r="92" ht="30" customHeight="1">
      <x:c r="A92" s="131">
        <x:v>88</x:v>
      </x:c>
      <x:c r="B92" s="163"/>
      <x:c r="C92" s="163"/>
      <x:c r="D92" s="163"/>
      <x:c r="E92" s="163"/>
      <x:c r="F92" s="163"/>
      <x:c r="G92" s="162"/>
      <x:c r="H92" s="163"/>
      <x:c r="I92" s="162"/>
      <x:c r="J92" s="163"/>
      <x:c r="K92" s="261" t="str">
        <x:f t="shared" si="1"/>
        <x:v/>
      </x:c>
    </x:row>
    <x:row r="93" ht="30" customHeight="1">
      <x:c r="A93" s="131">
        <x:v>89</x:v>
      </x:c>
      <x:c r="B93" s="163"/>
      <x:c r="C93" s="163"/>
      <x:c r="D93" s="163"/>
      <x:c r="E93" s="163"/>
      <x:c r="F93" s="163"/>
      <x:c r="G93" s="162"/>
      <x:c r="H93" s="163"/>
      <x:c r="I93" s="162"/>
      <x:c r="J93" s="163"/>
      <x:c r="K93" s="261" t="str">
        <x:f t="shared" si="1"/>
        <x:v/>
      </x:c>
    </x:row>
    <x:row r="94" ht="30" customHeight="1">
      <x:c r="A94" s="131">
        <x:v>90</x:v>
      </x:c>
      <x:c r="B94" s="163"/>
      <x:c r="C94" s="163"/>
      <x:c r="D94" s="163"/>
      <x:c r="E94" s="163"/>
      <x:c r="F94" s="163"/>
      <x:c r="G94" s="162"/>
      <x:c r="H94" s="163"/>
      <x:c r="I94" s="162"/>
      <x:c r="J94" s="163"/>
      <x:c r="K94" s="261" t="str">
        <x:f t="shared" si="1"/>
        <x:v/>
      </x:c>
    </x:row>
    <x:row r="95" ht="30" customHeight="1">
      <x:c r="A95" s="131">
        <x:v>91</x:v>
      </x:c>
      <x:c r="B95" s="163"/>
      <x:c r="C95" s="163"/>
      <x:c r="D95" s="163"/>
      <x:c r="E95" s="163"/>
      <x:c r="F95" s="163"/>
      <x:c r="G95" s="162"/>
      <x:c r="H95" s="163"/>
      <x:c r="I95" s="162"/>
      <x:c r="J95" s="163"/>
      <x:c r="K95" s="261" t="str">
        <x:f t="shared" si="1"/>
        <x:v/>
      </x:c>
    </x:row>
    <x:row r="96" ht="30" customHeight="1">
      <x:c r="A96" s="131">
        <x:v>92</x:v>
      </x:c>
      <x:c r="B96" s="163"/>
      <x:c r="C96" s="163"/>
      <x:c r="D96" s="163"/>
      <x:c r="E96" s="163"/>
      <x:c r="F96" s="163"/>
      <x:c r="G96" s="162"/>
      <x:c r="H96" s="163"/>
      <x:c r="I96" s="162"/>
      <x:c r="J96" s="163"/>
      <x:c r="K96" s="261" t="str">
        <x:f t="shared" si="1"/>
        <x:v/>
      </x:c>
    </x:row>
    <x:row r="97" ht="30" customHeight="1">
      <x:c r="A97" s="131">
        <x:v>93</x:v>
      </x:c>
      <x:c r="B97" s="163"/>
      <x:c r="C97" s="163"/>
      <x:c r="D97" s="163"/>
      <x:c r="E97" s="163"/>
      <x:c r="F97" s="163"/>
      <x:c r="G97" s="162"/>
      <x:c r="H97" s="163"/>
      <x:c r="I97" s="162"/>
      <x:c r="J97" s="163"/>
      <x:c r="K97" s="261" t="str">
        <x:f t="shared" si="1"/>
        <x:v/>
      </x:c>
    </x:row>
    <x:row r="98" ht="30" customHeight="1">
      <x:c r="A98" s="131">
        <x:v>94</x:v>
      </x:c>
      <x:c r="B98" s="163"/>
      <x:c r="C98" s="163"/>
      <x:c r="D98" s="163"/>
      <x:c r="E98" s="163"/>
      <x:c r="F98" s="163"/>
      <x:c r="G98" s="162"/>
      <x:c r="H98" s="163"/>
      <x:c r="I98" s="162"/>
      <x:c r="J98" s="163"/>
      <x:c r="K98" s="261" t="str">
        <x:f t="shared" si="1"/>
        <x:v/>
      </x:c>
    </x:row>
    <x:row r="99" ht="30" customHeight="1">
      <x:c r="A99" s="131">
        <x:v>95</x:v>
      </x:c>
      <x:c r="B99" s="163"/>
      <x:c r="C99" s="163"/>
      <x:c r="D99" s="163"/>
      <x:c r="E99" s="163"/>
      <x:c r="F99" s="163"/>
      <x:c r="G99" s="162"/>
      <x:c r="H99" s="163"/>
      <x:c r="I99" s="162"/>
      <x:c r="J99" s="163"/>
      <x:c r="K99" s="261" t="str">
        <x:f t="shared" si="1"/>
        <x:v/>
      </x:c>
    </x:row>
    <x:row r="100" ht="30" customHeight="1">
      <x:c r="A100" s="131">
        <x:v>96</x:v>
      </x:c>
      <x:c r="B100" s="163"/>
      <x:c r="C100" s="163"/>
      <x:c r="D100" s="163"/>
      <x:c r="E100" s="163"/>
      <x:c r="F100" s="163"/>
      <x:c r="G100" s="162"/>
      <x:c r="H100" s="163"/>
      <x:c r="I100" s="162"/>
      <x:c r="J100" s="163"/>
      <x:c r="K100" s="261" t="str">
        <x:f t="shared" si="1"/>
        <x:v/>
      </x:c>
    </x:row>
    <x:row r="101" ht="30" customHeight="1">
      <x:c r="A101" s="131">
        <x:v>97</x:v>
      </x:c>
      <x:c r="B101" s="163"/>
      <x:c r="C101" s="163"/>
      <x:c r="D101" s="163"/>
      <x:c r="E101" s="163"/>
      <x:c r="F101" s="163"/>
      <x:c r="G101" s="162"/>
      <x:c r="H101" s="163"/>
      <x:c r="I101" s="162"/>
      <x:c r="J101" s="163"/>
      <x:c r="K101" s="261" t="str">
        <x:f t="shared" si="1"/>
        <x:v/>
      </x:c>
    </x:row>
    <x:row r="102" ht="30" customHeight="1">
      <x:c r="A102" s="131">
        <x:v>98</x:v>
      </x:c>
      <x:c r="B102" s="163"/>
      <x:c r="C102" s="163"/>
      <x:c r="D102" s="163"/>
      <x:c r="E102" s="163"/>
      <x:c r="F102" s="163"/>
      <x:c r="G102" s="162"/>
      <x:c r="H102" s="163"/>
      <x:c r="I102" s="162"/>
      <x:c r="J102" s="163"/>
      <x:c r="K102" s="261" t="str">
        <x:f t="shared" si="1"/>
        <x:v/>
      </x:c>
    </x:row>
    <x:row r="103" ht="30" customHeight="1">
      <x:c r="A103" s="131">
        <x:v>99</x:v>
      </x:c>
      <x:c r="B103" s="163"/>
      <x:c r="C103" s="163"/>
      <x:c r="D103" s="163"/>
      <x:c r="E103" s="163"/>
      <x:c r="F103" s="163"/>
      <x:c r="G103" s="162"/>
      <x:c r="H103" s="163"/>
      <x:c r="I103" s="162"/>
      <x:c r="J103" s="163"/>
      <x:c r="K103" s="261" t="str">
        <x:f t="shared" si="1"/>
        <x:v/>
      </x:c>
    </x:row>
    <x:row r="104" ht="30" customHeight="1">
      <x:c r="A104" s="131">
        <x:v>100</x:v>
      </x:c>
      <x:c r="B104" s="163"/>
      <x:c r="C104" s="163"/>
      <x:c r="D104" s="163"/>
      <x:c r="E104" s="163"/>
      <x:c r="F104" s="163"/>
      <x:c r="G104" s="162"/>
      <x:c r="H104" s="163"/>
      <x:c r="I104" s="162"/>
      <x:c r="J104" s="163"/>
      <x:c r="K104" s="261" t="str">
        <x:f t="shared" si="1"/>
        <x:v/>
      </x:c>
    </x:row>
    <x:row r="105" ht="30" customHeight="1">
      <x:c r="A105" s="131">
        <x:v>101</x:v>
      </x:c>
      <x:c r="B105" s="163"/>
      <x:c r="C105" s="163"/>
      <x:c r="D105" s="163"/>
      <x:c r="E105" s="163"/>
      <x:c r="F105" s="163"/>
      <x:c r="G105" s="162"/>
      <x:c r="H105" s="163"/>
      <x:c r="I105" s="162"/>
      <x:c r="J105" s="163"/>
      <x:c r="K105" s="261" t="str">
        <x:f t="shared" si="1"/>
        <x:v/>
      </x:c>
    </x:row>
    <x:row r="106" ht="30" customHeight="1">
      <x:c r="A106" s="131">
        <x:v>102</x:v>
      </x:c>
      <x:c r="B106" s="163"/>
      <x:c r="C106" s="163"/>
      <x:c r="D106" s="163"/>
      <x:c r="E106" s="163"/>
      <x:c r="F106" s="163"/>
      <x:c r="G106" s="162"/>
      <x:c r="H106" s="163"/>
      <x:c r="I106" s="162"/>
      <x:c r="J106" s="163"/>
      <x:c r="K106" s="261" t="str">
        <x:f t="shared" si="1"/>
        <x:v/>
      </x:c>
    </x:row>
    <x:row r="107" ht="30" customHeight="1">
      <x:c r="A107" s="131">
        <x:v>103</x:v>
      </x:c>
      <x:c r="B107" s="163"/>
      <x:c r="C107" s="163"/>
      <x:c r="D107" s="163"/>
      <x:c r="E107" s="163"/>
      <x:c r="F107" s="163"/>
      <x:c r="G107" s="162"/>
      <x:c r="H107" s="163"/>
      <x:c r="I107" s="162"/>
      <x:c r="J107" s="163"/>
      <x:c r="K107" s="261" t="str">
        <x:f t="shared" si="1"/>
        <x:v/>
      </x:c>
    </x:row>
    <x:row r="108" ht="30" customHeight="1">
      <x:c r="A108" s="131">
        <x:v>104</x:v>
      </x:c>
      <x:c r="B108" s="163"/>
      <x:c r="C108" s="163"/>
      <x:c r="D108" s="163"/>
      <x:c r="E108" s="163"/>
      <x:c r="F108" s="163"/>
      <x:c r="G108" s="162"/>
      <x:c r="H108" s="163"/>
      <x:c r="I108" s="162"/>
      <x:c r="J108" s="163"/>
      <x:c r="K108" s="261" t="str">
        <x:f t="shared" si="1"/>
        <x:v/>
      </x:c>
    </x:row>
    <x:row r="109" ht="30" customHeight="1">
      <x:c r="A109" s="131">
        <x:v>105</x:v>
      </x:c>
      <x:c r="B109" s="163"/>
      <x:c r="C109" s="163"/>
      <x:c r="D109" s="163"/>
      <x:c r="E109" s="163"/>
      <x:c r="F109" s="163"/>
      <x:c r="G109" s="162"/>
      <x:c r="H109" s="163"/>
      <x:c r="I109" s="162"/>
      <x:c r="J109" s="163"/>
      <x:c r="K109" s="261" t="str">
        <x:f t="shared" si="1"/>
        <x:v/>
      </x:c>
    </x:row>
    <x:row r="110" ht="30" customHeight="1">
      <x:c r="A110" s="131">
        <x:v>106</x:v>
      </x:c>
      <x:c r="B110" s="163"/>
      <x:c r="C110" s="163"/>
      <x:c r="D110" s="163"/>
      <x:c r="E110" s="163"/>
      <x:c r="F110" s="163"/>
      <x:c r="G110" s="162"/>
      <x:c r="H110" s="163"/>
      <x:c r="I110" s="162"/>
      <x:c r="J110" s="163"/>
      <x:c r="K110" s="261" t="str">
        <x:f t="shared" si="1"/>
        <x:v/>
      </x:c>
    </x:row>
    <x:row r="111" ht="30" customHeight="1">
      <x:c r="A111" s="131">
        <x:v>107</x:v>
      </x:c>
      <x:c r="B111" s="163"/>
      <x:c r="C111" s="163"/>
      <x:c r="D111" s="163"/>
      <x:c r="E111" s="163"/>
      <x:c r="F111" s="163"/>
      <x:c r="G111" s="162"/>
      <x:c r="H111" s="163"/>
      <x:c r="I111" s="162"/>
      <x:c r="J111" s="163"/>
      <x:c r="K111" s="261" t="str">
        <x:f t="shared" si="1"/>
        <x:v/>
      </x:c>
    </x:row>
    <x:row r="112" ht="30" customHeight="1">
      <x:c r="A112" s="131">
        <x:v>108</x:v>
      </x:c>
      <x:c r="B112" s="163"/>
      <x:c r="C112" s="163"/>
      <x:c r="D112" s="163"/>
      <x:c r="E112" s="163"/>
      <x:c r="F112" s="163"/>
      <x:c r="G112" s="162"/>
      <x:c r="H112" s="163"/>
      <x:c r="I112" s="162"/>
      <x:c r="J112" s="163"/>
      <x:c r="K112" s="261" t="str">
        <x:f t="shared" si="1"/>
        <x:v/>
      </x:c>
    </x:row>
    <x:row r="113" ht="30" customHeight="1">
      <x:c r="A113" s="131">
        <x:v>109</x:v>
      </x:c>
      <x:c r="B113" s="163"/>
      <x:c r="C113" s="163"/>
      <x:c r="D113" s="163"/>
      <x:c r="E113" s="163"/>
      <x:c r="F113" s="163"/>
      <x:c r="G113" s="162"/>
      <x:c r="H113" s="163"/>
      <x:c r="I113" s="162"/>
      <x:c r="J113" s="163"/>
      <x:c r="K113" s="261" t="str">
        <x:f t="shared" si="1"/>
        <x:v/>
      </x:c>
    </x:row>
    <x:row r="114" ht="30" customHeight="1">
      <x:c r="A114" s="131">
        <x:v>110</x:v>
      </x:c>
      <x:c r="B114" s="163"/>
      <x:c r="C114" s="163"/>
      <x:c r="D114" s="163"/>
      <x:c r="E114" s="163"/>
      <x:c r="F114" s="163"/>
      <x:c r="G114" s="162"/>
      <x:c r="H114" s="163"/>
      <x:c r="I114" s="162"/>
      <x:c r="J114" s="163"/>
      <x:c r="K114" s="261" t="str">
        <x:f t="shared" si="1"/>
        <x:v/>
      </x:c>
    </x:row>
    <x:row r="115" ht="30" customHeight="1">
      <x:c r="A115" s="131">
        <x:v>111</x:v>
      </x:c>
      <x:c r="B115" s="163"/>
      <x:c r="C115" s="163"/>
      <x:c r="D115" s="163"/>
      <x:c r="E115" s="163"/>
      <x:c r="F115" s="163"/>
      <x:c r="G115" s="162"/>
      <x:c r="H115" s="163"/>
      <x:c r="I115" s="162"/>
      <x:c r="J115" s="163"/>
      <x:c r="K115" s="261" t="str">
        <x:f t="shared" si="1"/>
        <x:v/>
      </x:c>
    </x:row>
    <x:row r="116" ht="30" customHeight="1">
      <x:c r="A116" s="131">
        <x:v>112</x:v>
      </x:c>
      <x:c r="B116" s="163"/>
      <x:c r="C116" s="163"/>
      <x:c r="D116" s="163"/>
      <x:c r="E116" s="163"/>
      <x:c r="F116" s="163"/>
      <x:c r="G116" s="162"/>
      <x:c r="H116" s="163"/>
      <x:c r="I116" s="162"/>
      <x:c r="J116" s="163"/>
      <x:c r="K116" s="261" t="str">
        <x:f t="shared" si="1"/>
        <x:v/>
      </x:c>
    </x:row>
    <x:row r="117" ht="30" customHeight="1">
      <x:c r="A117" s="131">
        <x:v>113</x:v>
      </x:c>
      <x:c r="B117" s="163"/>
      <x:c r="C117" s="163"/>
      <x:c r="D117" s="163"/>
      <x:c r="E117" s="163"/>
      <x:c r="F117" s="163"/>
      <x:c r="G117" s="162"/>
      <x:c r="H117" s="163"/>
      <x:c r="I117" s="162"/>
      <x:c r="J117" s="163"/>
      <x:c r="K117" s="261" t="str">
        <x:f t="shared" si="1"/>
        <x:v/>
      </x:c>
    </x:row>
    <x:row r="118" ht="30" customHeight="1">
      <x:c r="A118" s="131">
        <x:v>114</x:v>
      </x:c>
      <x:c r="B118" s="163"/>
      <x:c r="C118" s="163"/>
      <x:c r="D118" s="163"/>
      <x:c r="E118" s="163"/>
      <x:c r="F118" s="163"/>
      <x:c r="G118" s="162"/>
      <x:c r="H118" s="163"/>
      <x:c r="I118" s="162"/>
      <x:c r="J118" s="163"/>
      <x:c r="K118" s="261" t="str">
        <x:f t="shared" si="1"/>
        <x:v/>
      </x:c>
    </x:row>
    <x:row r="119" ht="30" customHeight="1">
      <x:c r="A119" s="131">
        <x:v>115</x:v>
      </x:c>
      <x:c r="B119" s="163"/>
      <x:c r="C119" s="163"/>
      <x:c r="D119" s="163"/>
      <x:c r="E119" s="163"/>
      <x:c r="F119" s="163"/>
      <x:c r="G119" s="162"/>
      <x:c r="H119" s="163"/>
      <x:c r="I119" s="162"/>
      <x:c r="J119" s="163"/>
      <x:c r="K119" s="261" t="str">
        <x:f t="shared" si="1"/>
        <x:v/>
      </x:c>
    </x:row>
    <x:row r="120" ht="30" customHeight="1">
      <x:c r="A120" s="131">
        <x:v>116</x:v>
      </x:c>
      <x:c r="B120" s="163"/>
      <x:c r="C120" s="163"/>
      <x:c r="D120" s="163"/>
      <x:c r="E120" s="163"/>
      <x:c r="F120" s="163"/>
      <x:c r="G120" s="162"/>
      <x:c r="H120" s="163"/>
      <x:c r="I120" s="162"/>
      <x:c r="J120" s="163"/>
      <x:c r="K120" s="261" t="str">
        <x:f t="shared" si="1"/>
        <x:v/>
      </x:c>
    </x:row>
    <x:row r="121" ht="30" customHeight="1">
      <x:c r="A121" s="131">
        <x:v>117</x:v>
      </x:c>
      <x:c r="B121" s="163"/>
      <x:c r="C121" s="163"/>
      <x:c r="D121" s="163"/>
      <x:c r="E121" s="163"/>
      <x:c r="F121" s="163"/>
      <x:c r="G121" s="162"/>
      <x:c r="H121" s="163"/>
      <x:c r="I121" s="162"/>
      <x:c r="J121" s="163"/>
      <x:c r="K121" s="261" t="str">
        <x:f t="shared" si="1"/>
        <x:v/>
      </x:c>
    </x:row>
    <x:row r="122" ht="30" customHeight="1">
      <x:c r="A122" s="131">
        <x:v>118</x:v>
      </x:c>
      <x:c r="B122" s="163"/>
      <x:c r="C122" s="163"/>
      <x:c r="D122" s="163"/>
      <x:c r="E122" s="163"/>
      <x:c r="F122" s="163"/>
      <x:c r="G122" s="162"/>
      <x:c r="H122" s="163"/>
      <x:c r="I122" s="162"/>
      <x:c r="J122" s="163"/>
      <x:c r="K122" s="261" t="str">
        <x:f t="shared" si="1"/>
        <x:v/>
      </x:c>
    </x:row>
    <x:row r="123" ht="30" customHeight="1">
      <x:c r="A123" s="131">
        <x:v>119</x:v>
      </x:c>
      <x:c r="B123" s="163"/>
      <x:c r="C123" s="163"/>
      <x:c r="D123" s="163"/>
      <x:c r="E123" s="163"/>
      <x:c r="F123" s="163"/>
      <x:c r="G123" s="162"/>
      <x:c r="H123" s="163"/>
      <x:c r="I123" s="162"/>
      <x:c r="J123" s="163"/>
      <x:c r="K123" s="261" t="str">
        <x:f t="shared" si="1"/>
        <x:v/>
      </x:c>
    </x:row>
    <x:row r="124" ht="30" customHeight="1">
      <x:c r="A124" s="131">
        <x:v>120</x:v>
      </x:c>
      <x:c r="B124" s="163"/>
      <x:c r="C124" s="163"/>
      <x:c r="D124" s="163"/>
      <x:c r="E124" s="163"/>
      <x:c r="F124" s="163"/>
      <x:c r="G124" s="162"/>
      <x:c r="H124" s="163"/>
      <x:c r="I124" s="162"/>
      <x:c r="J124" s="163"/>
      <x:c r="K124" s="261" t="str">
        <x:f t="shared" si="1"/>
        <x:v/>
      </x:c>
    </x:row>
    <x:row r="125" ht="30" customHeight="1">
      <x:c r="A125" s="131">
        <x:v>121</x:v>
      </x:c>
      <x:c r="B125" s="163"/>
      <x:c r="C125" s="163"/>
      <x:c r="D125" s="163"/>
      <x:c r="E125" s="163"/>
      <x:c r="F125" s="163"/>
      <x:c r="G125" s="162"/>
      <x:c r="H125" s="163"/>
      <x:c r="I125" s="162"/>
      <x:c r="J125" s="163"/>
      <x:c r="K125" s="261" t="str">
        <x:f t="shared" si="1"/>
        <x:v/>
      </x:c>
    </x:row>
    <x:row r="126" ht="30" customHeight="1">
      <x:c r="A126" s="131">
        <x:v>122</x:v>
      </x:c>
      <x:c r="B126" s="163"/>
      <x:c r="C126" s="163"/>
      <x:c r="D126" s="163"/>
      <x:c r="E126" s="163"/>
      <x:c r="F126" s="163"/>
      <x:c r="G126" s="162"/>
      <x:c r="H126" s="163"/>
      <x:c r="I126" s="162"/>
      <x:c r="J126" s="163"/>
      <x:c r="K126" s="261" t="str">
        <x:f t="shared" si="1"/>
        <x:v/>
      </x:c>
    </x:row>
    <x:row r="127" ht="30" customHeight="1">
      <x:c r="A127" s="131">
        <x:v>123</x:v>
      </x:c>
      <x:c r="B127" s="163"/>
      <x:c r="C127" s="163"/>
      <x:c r="D127" s="163"/>
      <x:c r="E127" s="163"/>
      <x:c r="F127" s="163"/>
      <x:c r="G127" s="162"/>
      <x:c r="H127" s="163"/>
      <x:c r="I127" s="162"/>
      <x:c r="J127" s="163"/>
      <x:c r="K127" s="261" t="str">
        <x:f t="shared" si="1"/>
        <x:v/>
      </x:c>
    </x:row>
    <x:row r="128" ht="30" customHeight="1">
      <x:c r="A128" s="131">
        <x:v>124</x:v>
      </x:c>
      <x:c r="B128" s="163"/>
      <x:c r="C128" s="163"/>
      <x:c r="D128" s="163"/>
      <x:c r="E128" s="163"/>
      <x:c r="F128" s="163"/>
      <x:c r="G128" s="162"/>
      <x:c r="H128" s="163"/>
      <x:c r="I128" s="162"/>
      <x:c r="J128" s="163"/>
      <x:c r="K128" s="261" t="str">
        <x:f t="shared" si="1"/>
        <x:v/>
      </x:c>
    </x:row>
    <x:row r="129" ht="30" customHeight="1">
      <x:c r="A129" s="131">
        <x:v>125</x:v>
      </x:c>
      <x:c r="B129" s="163"/>
      <x:c r="C129" s="163"/>
      <x:c r="D129" s="163"/>
      <x:c r="E129" s="163"/>
      <x:c r="F129" s="163"/>
      <x:c r="G129" s="162"/>
      <x:c r="H129" s="163"/>
      <x:c r="I129" s="162"/>
      <x:c r="J129" s="163"/>
      <x:c r="K129" s="261" t="str">
        <x:f t="shared" si="1"/>
        <x:v/>
      </x:c>
    </x:row>
    <x:row r="130" ht="30" customHeight="1">
      <x:c r="A130" s="131">
        <x:v>126</x:v>
      </x:c>
      <x:c r="B130" s="163"/>
      <x:c r="C130" s="163"/>
      <x:c r="D130" s="163"/>
      <x:c r="E130" s="163"/>
      <x:c r="F130" s="163"/>
      <x:c r="G130" s="162"/>
      <x:c r="H130" s="163"/>
      <x:c r="I130" s="162"/>
      <x:c r="J130" s="163"/>
      <x:c r="K130" s="261" t="str">
        <x:f t="shared" si="1"/>
        <x:v/>
      </x:c>
    </x:row>
    <x:row r="131" ht="30" customHeight="1">
      <x:c r="A131" s="131">
        <x:v>127</x:v>
      </x:c>
      <x:c r="B131" s="163"/>
      <x:c r="C131" s="163"/>
      <x:c r="D131" s="163"/>
      <x:c r="E131" s="163"/>
      <x:c r="F131" s="163"/>
      <x:c r="G131" s="162"/>
      <x:c r="H131" s="163"/>
      <x:c r="I131" s="162"/>
      <x:c r="J131" s="163"/>
      <x:c r="K131" s="261" t="str">
        <x:f t="shared" si="1"/>
        <x:v/>
      </x:c>
    </x:row>
    <x:row r="132" ht="30" customHeight="1">
      <x:c r="A132" s="131">
        <x:v>128</x:v>
      </x:c>
      <x:c r="B132" s="163"/>
      <x:c r="C132" s="163"/>
      <x:c r="D132" s="163"/>
      <x:c r="E132" s="163"/>
      <x:c r="F132" s="163"/>
      <x:c r="G132" s="162"/>
      <x:c r="H132" s="163"/>
      <x:c r="I132" s="162"/>
      <x:c r="J132" s="163"/>
      <x:c r="K132" s="261" t="str">
        <x:f t="shared" si="1"/>
        <x:v/>
      </x:c>
    </x:row>
    <x:row r="133" ht="30" customHeight="1">
      <x:c r="A133" s="131">
        <x:v>129</x:v>
      </x:c>
      <x:c r="B133" s="163"/>
      <x:c r="C133" s="163"/>
      <x:c r="D133" s="163"/>
      <x:c r="E133" s="163"/>
      <x:c r="F133" s="163"/>
      <x:c r="G133" s="162"/>
      <x:c r="H133" s="163"/>
      <x:c r="I133" s="162"/>
      <x:c r="J133" s="163"/>
      <x:c r="K133" s="261" t="str">
        <x:f t="shared" ref="K133:K196" si="2">IF(B133="","",IF(OR(F133="",G133=""),"НЕ ОТПРАВЛЕНО",IF(J133="","НЕТ ДОКАЗАТЕЛЬСТВА",IF(I133="","ОТПРАВЛЕНО, ЖДЁМ ПОЛУЧЕНИЯ","ПЕРЕДАНО"))))</x:f>
        <x:v/>
      </x:c>
    </x:row>
    <x:row r="134" ht="30" customHeight="1">
      <x:c r="A134" s="131">
        <x:v>130</x:v>
      </x:c>
      <x:c r="B134" s="163"/>
      <x:c r="C134" s="163"/>
      <x:c r="D134" s="163"/>
      <x:c r="E134" s="163"/>
      <x:c r="F134" s="163"/>
      <x:c r="G134" s="162"/>
      <x:c r="H134" s="163"/>
      <x:c r="I134" s="162"/>
      <x:c r="J134" s="163"/>
      <x:c r="K134" s="261" t="str">
        <x:f t="shared" si="2"/>
        <x:v/>
      </x:c>
    </x:row>
    <x:row r="135" ht="30" customHeight="1">
      <x:c r="A135" s="131">
        <x:v>131</x:v>
      </x:c>
      <x:c r="B135" s="163"/>
      <x:c r="C135" s="163"/>
      <x:c r="D135" s="163"/>
      <x:c r="E135" s="163"/>
      <x:c r="F135" s="163"/>
      <x:c r="G135" s="162"/>
      <x:c r="H135" s="163"/>
      <x:c r="I135" s="162"/>
      <x:c r="J135" s="163"/>
      <x:c r="K135" s="261" t="str">
        <x:f t="shared" si="2"/>
        <x:v/>
      </x:c>
    </x:row>
    <x:row r="136" ht="30" customHeight="1">
      <x:c r="A136" s="131">
        <x:v>132</x:v>
      </x:c>
      <x:c r="B136" s="163"/>
      <x:c r="C136" s="163"/>
      <x:c r="D136" s="163"/>
      <x:c r="E136" s="163"/>
      <x:c r="F136" s="163"/>
      <x:c r="G136" s="162"/>
      <x:c r="H136" s="163"/>
      <x:c r="I136" s="162"/>
      <x:c r="J136" s="163"/>
      <x:c r="K136" s="261" t="str">
        <x:f t="shared" si="2"/>
        <x:v/>
      </x:c>
    </x:row>
    <x:row r="137" ht="30" customHeight="1">
      <x:c r="A137" s="131">
        <x:v>133</x:v>
      </x:c>
      <x:c r="B137" s="163"/>
      <x:c r="C137" s="163"/>
      <x:c r="D137" s="163"/>
      <x:c r="E137" s="163"/>
      <x:c r="F137" s="163"/>
      <x:c r="G137" s="162"/>
      <x:c r="H137" s="163"/>
      <x:c r="I137" s="162"/>
      <x:c r="J137" s="163"/>
      <x:c r="K137" s="261" t="str">
        <x:f t="shared" si="2"/>
        <x:v/>
      </x:c>
    </x:row>
    <x:row r="138" ht="30" customHeight="1">
      <x:c r="A138" s="131">
        <x:v>134</x:v>
      </x:c>
      <x:c r="B138" s="163"/>
      <x:c r="C138" s="163"/>
      <x:c r="D138" s="163"/>
      <x:c r="E138" s="163"/>
      <x:c r="F138" s="163"/>
      <x:c r="G138" s="162"/>
      <x:c r="H138" s="163"/>
      <x:c r="I138" s="162"/>
      <x:c r="J138" s="163"/>
      <x:c r="K138" s="261" t="str">
        <x:f t="shared" si="2"/>
        <x:v/>
      </x:c>
    </x:row>
    <x:row r="139" ht="30" customHeight="1">
      <x:c r="A139" s="131">
        <x:v>135</x:v>
      </x:c>
      <x:c r="B139" s="163"/>
      <x:c r="C139" s="163"/>
      <x:c r="D139" s="163"/>
      <x:c r="E139" s="163"/>
      <x:c r="F139" s="163"/>
      <x:c r="G139" s="162"/>
      <x:c r="H139" s="163"/>
      <x:c r="I139" s="162"/>
      <x:c r="J139" s="163"/>
      <x:c r="K139" s="261" t="str">
        <x:f t="shared" si="2"/>
        <x:v/>
      </x:c>
    </x:row>
    <x:row r="140" ht="30" customHeight="1">
      <x:c r="A140" s="131">
        <x:v>136</x:v>
      </x:c>
      <x:c r="B140" s="163"/>
      <x:c r="C140" s="163"/>
      <x:c r="D140" s="163"/>
      <x:c r="E140" s="163"/>
      <x:c r="F140" s="163"/>
      <x:c r="G140" s="162"/>
      <x:c r="H140" s="163"/>
      <x:c r="I140" s="162"/>
      <x:c r="J140" s="163"/>
      <x:c r="K140" s="261" t="str">
        <x:f t="shared" si="2"/>
        <x:v/>
      </x:c>
    </x:row>
    <x:row r="141" ht="30" customHeight="1">
      <x:c r="A141" s="131">
        <x:v>137</x:v>
      </x:c>
      <x:c r="B141" s="163"/>
      <x:c r="C141" s="163"/>
      <x:c r="D141" s="163"/>
      <x:c r="E141" s="163"/>
      <x:c r="F141" s="163"/>
      <x:c r="G141" s="162"/>
      <x:c r="H141" s="163"/>
      <x:c r="I141" s="162"/>
      <x:c r="J141" s="163"/>
      <x:c r="K141" s="261" t="str">
        <x:f t="shared" si="2"/>
        <x:v/>
      </x:c>
    </x:row>
    <x:row r="142" ht="30" customHeight="1">
      <x:c r="A142" s="131">
        <x:v>138</x:v>
      </x:c>
      <x:c r="B142" s="163"/>
      <x:c r="C142" s="163"/>
      <x:c r="D142" s="163"/>
      <x:c r="E142" s="163"/>
      <x:c r="F142" s="163"/>
      <x:c r="G142" s="162"/>
      <x:c r="H142" s="163"/>
      <x:c r="I142" s="162"/>
      <x:c r="J142" s="163"/>
      <x:c r="K142" s="261" t="str">
        <x:f t="shared" si="2"/>
        <x:v/>
      </x:c>
    </x:row>
    <x:row r="143" ht="30" customHeight="1">
      <x:c r="A143" s="131">
        <x:v>139</x:v>
      </x:c>
      <x:c r="B143" s="163"/>
      <x:c r="C143" s="163"/>
      <x:c r="D143" s="163"/>
      <x:c r="E143" s="163"/>
      <x:c r="F143" s="163"/>
      <x:c r="G143" s="162"/>
      <x:c r="H143" s="163"/>
      <x:c r="I143" s="162"/>
      <x:c r="J143" s="163"/>
      <x:c r="K143" s="261" t="str">
        <x:f t="shared" si="2"/>
        <x:v/>
      </x:c>
    </x:row>
    <x:row r="144" ht="30" customHeight="1">
      <x:c r="A144" s="131">
        <x:v>140</x:v>
      </x:c>
      <x:c r="B144" s="163"/>
      <x:c r="C144" s="163"/>
      <x:c r="D144" s="163"/>
      <x:c r="E144" s="163"/>
      <x:c r="F144" s="163"/>
      <x:c r="G144" s="162"/>
      <x:c r="H144" s="163"/>
      <x:c r="I144" s="162"/>
      <x:c r="J144" s="163"/>
      <x:c r="K144" s="261" t="str">
        <x:f t="shared" si="2"/>
        <x:v/>
      </x:c>
    </x:row>
    <x:row r="145" ht="30" customHeight="1">
      <x:c r="A145" s="131">
        <x:v>141</x:v>
      </x:c>
      <x:c r="B145" s="163"/>
      <x:c r="C145" s="163"/>
      <x:c r="D145" s="163"/>
      <x:c r="E145" s="163"/>
      <x:c r="F145" s="163"/>
      <x:c r="G145" s="162"/>
      <x:c r="H145" s="163"/>
      <x:c r="I145" s="162"/>
      <x:c r="J145" s="163"/>
      <x:c r="K145" s="261" t="str">
        <x:f t="shared" si="2"/>
        <x:v/>
      </x:c>
    </x:row>
    <x:row r="146" ht="30" customHeight="1">
      <x:c r="A146" s="131">
        <x:v>142</x:v>
      </x:c>
      <x:c r="B146" s="163"/>
      <x:c r="C146" s="163"/>
      <x:c r="D146" s="163"/>
      <x:c r="E146" s="163"/>
      <x:c r="F146" s="163"/>
      <x:c r="G146" s="162"/>
      <x:c r="H146" s="163"/>
      <x:c r="I146" s="162"/>
      <x:c r="J146" s="163"/>
      <x:c r="K146" s="261" t="str">
        <x:f t="shared" si="2"/>
        <x:v/>
      </x:c>
    </x:row>
    <x:row r="147" ht="30" customHeight="1">
      <x:c r="A147" s="131">
        <x:v>143</x:v>
      </x:c>
      <x:c r="B147" s="163"/>
      <x:c r="C147" s="163"/>
      <x:c r="D147" s="163"/>
      <x:c r="E147" s="163"/>
      <x:c r="F147" s="163"/>
      <x:c r="G147" s="162"/>
      <x:c r="H147" s="163"/>
      <x:c r="I147" s="162"/>
      <x:c r="J147" s="163"/>
      <x:c r="K147" s="261" t="str">
        <x:f t="shared" si="2"/>
        <x:v/>
      </x:c>
    </x:row>
    <x:row r="148" ht="30" customHeight="1">
      <x:c r="A148" s="131">
        <x:v>144</x:v>
      </x:c>
      <x:c r="B148" s="163"/>
      <x:c r="C148" s="163"/>
      <x:c r="D148" s="163"/>
      <x:c r="E148" s="163"/>
      <x:c r="F148" s="163"/>
      <x:c r="G148" s="162"/>
      <x:c r="H148" s="163"/>
      <x:c r="I148" s="162"/>
      <x:c r="J148" s="163"/>
      <x:c r="K148" s="261" t="str">
        <x:f t="shared" si="2"/>
        <x:v/>
      </x:c>
    </x:row>
    <x:row r="149" ht="30" customHeight="1">
      <x:c r="A149" s="131">
        <x:v>145</x:v>
      </x:c>
      <x:c r="B149" s="163"/>
      <x:c r="C149" s="163"/>
      <x:c r="D149" s="163"/>
      <x:c r="E149" s="163"/>
      <x:c r="F149" s="163"/>
      <x:c r="G149" s="162"/>
      <x:c r="H149" s="163"/>
      <x:c r="I149" s="162"/>
      <x:c r="J149" s="163"/>
      <x:c r="K149" s="261" t="str">
        <x:f t="shared" si="2"/>
        <x:v/>
      </x:c>
    </x:row>
    <x:row r="150" ht="30" customHeight="1">
      <x:c r="A150" s="131">
        <x:v>146</x:v>
      </x:c>
      <x:c r="B150" s="163"/>
      <x:c r="C150" s="163"/>
      <x:c r="D150" s="163"/>
      <x:c r="E150" s="163"/>
      <x:c r="F150" s="163"/>
      <x:c r="G150" s="162"/>
      <x:c r="H150" s="163"/>
      <x:c r="I150" s="162"/>
      <x:c r="J150" s="163"/>
      <x:c r="K150" s="261" t="str">
        <x:f t="shared" si="2"/>
        <x:v/>
      </x:c>
    </x:row>
    <x:row r="151" ht="30" customHeight="1">
      <x:c r="A151" s="131">
        <x:v>147</x:v>
      </x:c>
      <x:c r="B151" s="163"/>
      <x:c r="C151" s="163"/>
      <x:c r="D151" s="163"/>
      <x:c r="E151" s="163"/>
      <x:c r="F151" s="163"/>
      <x:c r="G151" s="162"/>
      <x:c r="H151" s="163"/>
      <x:c r="I151" s="162"/>
      <x:c r="J151" s="163"/>
      <x:c r="K151" s="261" t="str">
        <x:f t="shared" si="2"/>
        <x:v/>
      </x:c>
    </x:row>
    <x:row r="152" ht="30" customHeight="1">
      <x:c r="A152" s="131">
        <x:v>148</x:v>
      </x:c>
      <x:c r="B152" s="163"/>
      <x:c r="C152" s="163"/>
      <x:c r="D152" s="163"/>
      <x:c r="E152" s="163"/>
      <x:c r="F152" s="163"/>
      <x:c r="G152" s="162"/>
      <x:c r="H152" s="163"/>
      <x:c r="I152" s="162"/>
      <x:c r="J152" s="163"/>
      <x:c r="K152" s="261" t="str">
        <x:f t="shared" si="2"/>
        <x:v/>
      </x:c>
    </x:row>
    <x:row r="153" ht="30" customHeight="1">
      <x:c r="A153" s="131">
        <x:v>149</x:v>
      </x:c>
      <x:c r="B153" s="163"/>
      <x:c r="C153" s="163"/>
      <x:c r="D153" s="163"/>
      <x:c r="E153" s="163"/>
      <x:c r="F153" s="163"/>
      <x:c r="G153" s="162"/>
      <x:c r="H153" s="163"/>
      <x:c r="I153" s="162"/>
      <x:c r="J153" s="163"/>
      <x:c r="K153" s="261" t="str">
        <x:f t="shared" si="2"/>
        <x:v/>
      </x:c>
    </x:row>
    <x:row r="154" ht="30" customHeight="1">
      <x:c r="A154" s="131">
        <x:v>150</x:v>
      </x:c>
      <x:c r="B154" s="163"/>
      <x:c r="C154" s="163"/>
      <x:c r="D154" s="163"/>
      <x:c r="E154" s="163"/>
      <x:c r="F154" s="163"/>
      <x:c r="G154" s="162"/>
      <x:c r="H154" s="163"/>
      <x:c r="I154" s="162"/>
      <x:c r="J154" s="163"/>
      <x:c r="K154" s="261" t="str">
        <x:f t="shared" si="2"/>
        <x:v/>
      </x:c>
    </x:row>
    <x:row r="155" ht="30" customHeight="1">
      <x:c r="A155" s="131">
        <x:v>151</x:v>
      </x:c>
      <x:c r="B155" s="163"/>
      <x:c r="C155" s="163"/>
      <x:c r="D155" s="163"/>
      <x:c r="E155" s="163"/>
      <x:c r="F155" s="163"/>
      <x:c r="G155" s="162"/>
      <x:c r="H155" s="163"/>
      <x:c r="I155" s="162"/>
      <x:c r="J155" s="163"/>
      <x:c r="K155" s="261" t="str">
        <x:f t="shared" si="2"/>
        <x:v/>
      </x:c>
    </x:row>
    <x:row r="156" ht="30" customHeight="1">
      <x:c r="A156" s="131">
        <x:v>152</x:v>
      </x:c>
      <x:c r="B156" s="163"/>
      <x:c r="C156" s="163"/>
      <x:c r="D156" s="163"/>
      <x:c r="E156" s="163"/>
      <x:c r="F156" s="163"/>
      <x:c r="G156" s="162"/>
      <x:c r="H156" s="163"/>
      <x:c r="I156" s="162"/>
      <x:c r="J156" s="163"/>
      <x:c r="K156" s="261" t="str">
        <x:f t="shared" si="2"/>
        <x:v/>
      </x:c>
    </x:row>
    <x:row r="157" ht="30" customHeight="1">
      <x:c r="A157" s="131">
        <x:v>153</x:v>
      </x:c>
      <x:c r="B157" s="163"/>
      <x:c r="C157" s="163"/>
      <x:c r="D157" s="163"/>
      <x:c r="E157" s="163"/>
      <x:c r="F157" s="163"/>
      <x:c r="G157" s="162"/>
      <x:c r="H157" s="163"/>
      <x:c r="I157" s="162"/>
      <x:c r="J157" s="163"/>
      <x:c r="K157" s="261" t="str">
        <x:f t="shared" si="2"/>
        <x:v/>
      </x:c>
    </x:row>
    <x:row r="158" ht="30" customHeight="1">
      <x:c r="A158" s="131">
        <x:v>154</x:v>
      </x:c>
      <x:c r="B158" s="163"/>
      <x:c r="C158" s="163"/>
      <x:c r="D158" s="163"/>
      <x:c r="E158" s="163"/>
      <x:c r="F158" s="163"/>
      <x:c r="G158" s="162"/>
      <x:c r="H158" s="163"/>
      <x:c r="I158" s="162"/>
      <x:c r="J158" s="163"/>
      <x:c r="K158" s="261" t="str">
        <x:f t="shared" si="2"/>
        <x:v/>
      </x:c>
    </x:row>
    <x:row r="159" ht="30" customHeight="1">
      <x:c r="A159" s="131">
        <x:v>155</x:v>
      </x:c>
      <x:c r="B159" s="163"/>
      <x:c r="C159" s="163"/>
      <x:c r="D159" s="163"/>
      <x:c r="E159" s="163"/>
      <x:c r="F159" s="163"/>
      <x:c r="G159" s="162"/>
      <x:c r="H159" s="163"/>
      <x:c r="I159" s="162"/>
      <x:c r="J159" s="163"/>
      <x:c r="K159" s="261" t="str">
        <x:f t="shared" si="2"/>
        <x:v/>
      </x:c>
    </x:row>
    <x:row r="160" ht="30" customHeight="1">
      <x:c r="A160" s="131">
        <x:v>156</x:v>
      </x:c>
      <x:c r="B160" s="163"/>
      <x:c r="C160" s="163"/>
      <x:c r="D160" s="163"/>
      <x:c r="E160" s="163"/>
      <x:c r="F160" s="163"/>
      <x:c r="G160" s="162"/>
      <x:c r="H160" s="163"/>
      <x:c r="I160" s="162"/>
      <x:c r="J160" s="163"/>
      <x:c r="K160" s="261" t="str">
        <x:f t="shared" si="2"/>
        <x:v/>
      </x:c>
    </x:row>
    <x:row r="161" ht="30" customHeight="1">
      <x:c r="A161" s="131">
        <x:v>157</x:v>
      </x:c>
      <x:c r="B161" s="163"/>
      <x:c r="C161" s="163"/>
      <x:c r="D161" s="163"/>
      <x:c r="E161" s="163"/>
      <x:c r="F161" s="163"/>
      <x:c r="G161" s="162"/>
      <x:c r="H161" s="163"/>
      <x:c r="I161" s="162"/>
      <x:c r="J161" s="163"/>
      <x:c r="K161" s="261" t="str">
        <x:f t="shared" si="2"/>
        <x:v/>
      </x:c>
    </x:row>
    <x:row r="162" ht="30" customHeight="1">
      <x:c r="A162" s="131">
        <x:v>158</x:v>
      </x:c>
      <x:c r="B162" s="163"/>
      <x:c r="C162" s="163"/>
      <x:c r="D162" s="163"/>
      <x:c r="E162" s="163"/>
      <x:c r="F162" s="163"/>
      <x:c r="G162" s="162"/>
      <x:c r="H162" s="163"/>
      <x:c r="I162" s="162"/>
      <x:c r="J162" s="163"/>
      <x:c r="K162" s="261" t="str">
        <x:f t="shared" si="2"/>
        <x:v/>
      </x:c>
    </x:row>
    <x:row r="163" ht="30" customHeight="1">
      <x:c r="A163" s="131">
        <x:v>159</x:v>
      </x:c>
      <x:c r="B163" s="163"/>
      <x:c r="C163" s="163"/>
      <x:c r="D163" s="163"/>
      <x:c r="E163" s="163"/>
      <x:c r="F163" s="163"/>
      <x:c r="G163" s="162"/>
      <x:c r="H163" s="163"/>
      <x:c r="I163" s="162"/>
      <x:c r="J163" s="163"/>
      <x:c r="K163" s="261" t="str">
        <x:f t="shared" si="2"/>
        <x:v/>
      </x:c>
    </x:row>
    <x:row r="164" ht="30" customHeight="1">
      <x:c r="A164" s="131">
        <x:v>160</x:v>
      </x:c>
      <x:c r="B164" s="163"/>
      <x:c r="C164" s="163"/>
      <x:c r="D164" s="163"/>
      <x:c r="E164" s="163"/>
      <x:c r="F164" s="163"/>
      <x:c r="G164" s="162"/>
      <x:c r="H164" s="163"/>
      <x:c r="I164" s="162"/>
      <x:c r="J164" s="163"/>
      <x:c r="K164" s="261" t="str">
        <x:f t="shared" si="2"/>
        <x:v/>
      </x:c>
    </x:row>
    <x:row r="165" ht="30" customHeight="1">
      <x:c r="A165" s="131">
        <x:v>161</x:v>
      </x:c>
      <x:c r="B165" s="163"/>
      <x:c r="C165" s="163"/>
      <x:c r="D165" s="163"/>
      <x:c r="E165" s="163"/>
      <x:c r="F165" s="163"/>
      <x:c r="G165" s="162"/>
      <x:c r="H165" s="163"/>
      <x:c r="I165" s="162"/>
      <x:c r="J165" s="163"/>
      <x:c r="K165" s="261" t="str">
        <x:f t="shared" si="2"/>
        <x:v/>
      </x:c>
    </x:row>
    <x:row r="166" ht="30" customHeight="1">
      <x:c r="A166" s="131">
        <x:v>162</x:v>
      </x:c>
      <x:c r="B166" s="163"/>
      <x:c r="C166" s="163"/>
      <x:c r="D166" s="163"/>
      <x:c r="E166" s="163"/>
      <x:c r="F166" s="163"/>
      <x:c r="G166" s="162"/>
      <x:c r="H166" s="163"/>
      <x:c r="I166" s="162"/>
      <x:c r="J166" s="163"/>
      <x:c r="K166" s="261" t="str">
        <x:f t="shared" si="2"/>
        <x:v/>
      </x:c>
    </x:row>
    <x:row r="167" ht="30" customHeight="1">
      <x:c r="A167" s="131">
        <x:v>163</x:v>
      </x:c>
      <x:c r="B167" s="163"/>
      <x:c r="C167" s="163"/>
      <x:c r="D167" s="163"/>
      <x:c r="E167" s="163"/>
      <x:c r="F167" s="163"/>
      <x:c r="G167" s="162"/>
      <x:c r="H167" s="163"/>
      <x:c r="I167" s="162"/>
      <x:c r="J167" s="163"/>
      <x:c r="K167" s="261" t="str">
        <x:f t="shared" si="2"/>
        <x:v/>
      </x:c>
    </x:row>
    <x:row r="168" ht="30" customHeight="1">
      <x:c r="A168" s="131">
        <x:v>164</x:v>
      </x:c>
      <x:c r="B168" s="163"/>
      <x:c r="C168" s="163"/>
      <x:c r="D168" s="163"/>
      <x:c r="E168" s="163"/>
      <x:c r="F168" s="163"/>
      <x:c r="G168" s="162"/>
      <x:c r="H168" s="163"/>
      <x:c r="I168" s="162"/>
      <x:c r="J168" s="163"/>
      <x:c r="K168" s="261" t="str">
        <x:f t="shared" si="2"/>
        <x:v/>
      </x:c>
    </x:row>
    <x:row r="169" ht="30" customHeight="1">
      <x:c r="A169" s="131">
        <x:v>165</x:v>
      </x:c>
      <x:c r="B169" s="163"/>
      <x:c r="C169" s="163"/>
      <x:c r="D169" s="163"/>
      <x:c r="E169" s="163"/>
      <x:c r="F169" s="163"/>
      <x:c r="G169" s="162"/>
      <x:c r="H169" s="163"/>
      <x:c r="I169" s="162"/>
      <x:c r="J169" s="163"/>
      <x:c r="K169" s="261" t="str">
        <x:f t="shared" si="2"/>
        <x:v/>
      </x:c>
    </x:row>
    <x:row r="170" ht="30" customHeight="1">
      <x:c r="A170" s="131">
        <x:v>166</x:v>
      </x:c>
      <x:c r="B170" s="163"/>
      <x:c r="C170" s="163"/>
      <x:c r="D170" s="163"/>
      <x:c r="E170" s="163"/>
      <x:c r="F170" s="163"/>
      <x:c r="G170" s="162"/>
      <x:c r="H170" s="163"/>
      <x:c r="I170" s="162"/>
      <x:c r="J170" s="163"/>
      <x:c r="K170" s="261" t="str">
        <x:f t="shared" si="2"/>
        <x:v/>
      </x:c>
    </x:row>
    <x:row r="171" ht="30" customHeight="1">
      <x:c r="A171" s="131">
        <x:v>167</x:v>
      </x:c>
      <x:c r="B171" s="163"/>
      <x:c r="C171" s="163"/>
      <x:c r="D171" s="163"/>
      <x:c r="E171" s="163"/>
      <x:c r="F171" s="163"/>
      <x:c r="G171" s="162"/>
      <x:c r="H171" s="163"/>
      <x:c r="I171" s="162"/>
      <x:c r="J171" s="163"/>
      <x:c r="K171" s="261" t="str">
        <x:f t="shared" si="2"/>
        <x:v/>
      </x:c>
    </x:row>
    <x:row r="172" ht="30" customHeight="1">
      <x:c r="A172" s="131">
        <x:v>168</x:v>
      </x:c>
      <x:c r="B172" s="163"/>
      <x:c r="C172" s="163"/>
      <x:c r="D172" s="163"/>
      <x:c r="E172" s="163"/>
      <x:c r="F172" s="163"/>
      <x:c r="G172" s="162"/>
      <x:c r="H172" s="163"/>
      <x:c r="I172" s="162"/>
      <x:c r="J172" s="163"/>
      <x:c r="K172" s="261" t="str">
        <x:f t="shared" si="2"/>
        <x:v/>
      </x:c>
    </x:row>
    <x:row r="173" ht="30" customHeight="1">
      <x:c r="A173" s="131">
        <x:v>169</x:v>
      </x:c>
      <x:c r="B173" s="163"/>
      <x:c r="C173" s="163"/>
      <x:c r="D173" s="163"/>
      <x:c r="E173" s="163"/>
      <x:c r="F173" s="163"/>
      <x:c r="G173" s="162"/>
      <x:c r="H173" s="163"/>
      <x:c r="I173" s="162"/>
      <x:c r="J173" s="163"/>
      <x:c r="K173" s="261" t="str">
        <x:f t="shared" si="2"/>
        <x:v/>
      </x:c>
    </x:row>
    <x:row r="174" ht="30" customHeight="1">
      <x:c r="A174" s="131">
        <x:v>170</x:v>
      </x:c>
      <x:c r="B174" s="163"/>
      <x:c r="C174" s="163"/>
      <x:c r="D174" s="163"/>
      <x:c r="E174" s="163"/>
      <x:c r="F174" s="163"/>
      <x:c r="G174" s="162"/>
      <x:c r="H174" s="163"/>
      <x:c r="I174" s="162"/>
      <x:c r="J174" s="163"/>
      <x:c r="K174" s="261" t="str">
        <x:f t="shared" si="2"/>
        <x:v/>
      </x:c>
    </x:row>
    <x:row r="175" ht="30" customHeight="1">
      <x:c r="A175" s="131">
        <x:v>171</x:v>
      </x:c>
      <x:c r="B175" s="163"/>
      <x:c r="C175" s="163"/>
      <x:c r="D175" s="163"/>
      <x:c r="E175" s="163"/>
      <x:c r="F175" s="163"/>
      <x:c r="G175" s="162"/>
      <x:c r="H175" s="163"/>
      <x:c r="I175" s="162"/>
      <x:c r="J175" s="163"/>
      <x:c r="K175" s="261" t="str">
        <x:f t="shared" si="2"/>
        <x:v/>
      </x:c>
    </x:row>
    <x:row r="176" ht="30" customHeight="1">
      <x:c r="A176" s="131">
        <x:v>172</x:v>
      </x:c>
      <x:c r="B176" s="163"/>
      <x:c r="C176" s="163"/>
      <x:c r="D176" s="163"/>
      <x:c r="E176" s="163"/>
      <x:c r="F176" s="163"/>
      <x:c r="G176" s="162"/>
      <x:c r="H176" s="163"/>
      <x:c r="I176" s="162"/>
      <x:c r="J176" s="163"/>
      <x:c r="K176" s="261" t="str">
        <x:f t="shared" si="2"/>
        <x:v/>
      </x:c>
    </x:row>
    <x:row r="177" ht="30" customHeight="1">
      <x:c r="A177" s="131">
        <x:v>173</x:v>
      </x:c>
      <x:c r="B177" s="163"/>
      <x:c r="C177" s="163"/>
      <x:c r="D177" s="163"/>
      <x:c r="E177" s="163"/>
      <x:c r="F177" s="163"/>
      <x:c r="G177" s="162"/>
      <x:c r="H177" s="163"/>
      <x:c r="I177" s="162"/>
      <x:c r="J177" s="163"/>
      <x:c r="K177" s="261" t="str">
        <x:f t="shared" si="2"/>
        <x:v/>
      </x:c>
    </x:row>
    <x:row r="178" ht="30" customHeight="1">
      <x:c r="A178" s="131">
        <x:v>174</x:v>
      </x:c>
      <x:c r="B178" s="163"/>
      <x:c r="C178" s="163"/>
      <x:c r="D178" s="163"/>
      <x:c r="E178" s="163"/>
      <x:c r="F178" s="163"/>
      <x:c r="G178" s="162"/>
      <x:c r="H178" s="163"/>
      <x:c r="I178" s="162"/>
      <x:c r="J178" s="163"/>
      <x:c r="K178" s="261" t="str">
        <x:f t="shared" si="2"/>
        <x:v/>
      </x:c>
    </x:row>
    <x:row r="179" ht="30" customHeight="1">
      <x:c r="A179" s="131">
        <x:v>175</x:v>
      </x:c>
      <x:c r="B179" s="163"/>
      <x:c r="C179" s="163"/>
      <x:c r="D179" s="163"/>
      <x:c r="E179" s="163"/>
      <x:c r="F179" s="163"/>
      <x:c r="G179" s="162"/>
      <x:c r="H179" s="163"/>
      <x:c r="I179" s="162"/>
      <x:c r="J179" s="163"/>
      <x:c r="K179" s="261" t="str">
        <x:f t="shared" si="2"/>
        <x:v/>
      </x:c>
    </x:row>
    <x:row r="180" ht="30" customHeight="1">
      <x:c r="A180" s="131">
        <x:v>176</x:v>
      </x:c>
      <x:c r="B180" s="163"/>
      <x:c r="C180" s="163"/>
      <x:c r="D180" s="163"/>
      <x:c r="E180" s="163"/>
      <x:c r="F180" s="163"/>
      <x:c r="G180" s="162"/>
      <x:c r="H180" s="163"/>
      <x:c r="I180" s="162"/>
      <x:c r="J180" s="163"/>
      <x:c r="K180" s="261" t="str">
        <x:f t="shared" si="2"/>
        <x:v/>
      </x:c>
    </x:row>
    <x:row r="181" ht="30" customHeight="1">
      <x:c r="A181" s="131">
        <x:v>177</x:v>
      </x:c>
      <x:c r="B181" s="163"/>
      <x:c r="C181" s="163"/>
      <x:c r="D181" s="163"/>
      <x:c r="E181" s="163"/>
      <x:c r="F181" s="163"/>
      <x:c r="G181" s="162"/>
      <x:c r="H181" s="163"/>
      <x:c r="I181" s="162"/>
      <x:c r="J181" s="163"/>
      <x:c r="K181" s="261" t="str">
        <x:f t="shared" si="2"/>
        <x:v/>
      </x:c>
    </x:row>
    <x:row r="182" ht="30" customHeight="1">
      <x:c r="A182" s="131">
        <x:v>178</x:v>
      </x:c>
      <x:c r="B182" s="163"/>
      <x:c r="C182" s="163"/>
      <x:c r="D182" s="163"/>
      <x:c r="E182" s="163"/>
      <x:c r="F182" s="163"/>
      <x:c r="G182" s="162"/>
      <x:c r="H182" s="163"/>
      <x:c r="I182" s="162"/>
      <x:c r="J182" s="163"/>
      <x:c r="K182" s="261" t="str">
        <x:f t="shared" si="2"/>
        <x:v/>
      </x:c>
    </x:row>
    <x:row r="183" ht="30" customHeight="1">
      <x:c r="A183" s="131">
        <x:v>179</x:v>
      </x:c>
      <x:c r="B183" s="163"/>
      <x:c r="C183" s="163"/>
      <x:c r="D183" s="163"/>
      <x:c r="E183" s="163"/>
      <x:c r="F183" s="163"/>
      <x:c r="G183" s="162"/>
      <x:c r="H183" s="163"/>
      <x:c r="I183" s="162"/>
      <x:c r="J183" s="163"/>
      <x:c r="K183" s="261" t="str">
        <x:f t="shared" si="2"/>
        <x:v/>
      </x:c>
    </x:row>
    <x:row r="184" ht="30" customHeight="1">
      <x:c r="A184" s="131">
        <x:v>180</x:v>
      </x:c>
      <x:c r="B184" s="163"/>
      <x:c r="C184" s="163"/>
      <x:c r="D184" s="163"/>
      <x:c r="E184" s="163"/>
      <x:c r="F184" s="163"/>
      <x:c r="G184" s="162"/>
      <x:c r="H184" s="163"/>
      <x:c r="I184" s="162"/>
      <x:c r="J184" s="163"/>
      <x:c r="K184" s="261" t="str">
        <x:f t="shared" si="2"/>
        <x:v/>
      </x:c>
    </x:row>
    <x:row r="185" ht="30" customHeight="1">
      <x:c r="A185" s="131">
        <x:v>181</x:v>
      </x:c>
      <x:c r="B185" s="163"/>
      <x:c r="C185" s="163"/>
      <x:c r="D185" s="163"/>
      <x:c r="E185" s="163"/>
      <x:c r="F185" s="163"/>
      <x:c r="G185" s="162"/>
      <x:c r="H185" s="163"/>
      <x:c r="I185" s="162"/>
      <x:c r="J185" s="163"/>
      <x:c r="K185" s="261" t="str">
        <x:f t="shared" si="2"/>
        <x:v/>
      </x:c>
    </x:row>
    <x:row r="186" ht="30" customHeight="1">
      <x:c r="A186" s="131">
        <x:v>182</x:v>
      </x:c>
      <x:c r="B186" s="163"/>
      <x:c r="C186" s="163"/>
      <x:c r="D186" s="163"/>
      <x:c r="E186" s="163"/>
      <x:c r="F186" s="163"/>
      <x:c r="G186" s="162"/>
      <x:c r="H186" s="163"/>
      <x:c r="I186" s="162"/>
      <x:c r="J186" s="163"/>
      <x:c r="K186" s="261" t="str">
        <x:f t="shared" si="2"/>
        <x:v/>
      </x:c>
    </x:row>
    <x:row r="187" ht="30" customHeight="1">
      <x:c r="A187" s="131">
        <x:v>183</x:v>
      </x:c>
      <x:c r="B187" s="163"/>
      <x:c r="C187" s="163"/>
      <x:c r="D187" s="163"/>
      <x:c r="E187" s="163"/>
      <x:c r="F187" s="163"/>
      <x:c r="G187" s="162"/>
      <x:c r="H187" s="163"/>
      <x:c r="I187" s="162"/>
      <x:c r="J187" s="163"/>
      <x:c r="K187" s="261" t="str">
        <x:f t="shared" si="2"/>
        <x:v/>
      </x:c>
    </x:row>
    <x:row r="188" ht="30" customHeight="1">
      <x:c r="A188" s="131">
        <x:v>184</x:v>
      </x:c>
      <x:c r="B188" s="163"/>
      <x:c r="C188" s="163"/>
      <x:c r="D188" s="163"/>
      <x:c r="E188" s="163"/>
      <x:c r="F188" s="163"/>
      <x:c r="G188" s="162"/>
      <x:c r="H188" s="163"/>
      <x:c r="I188" s="162"/>
      <x:c r="J188" s="163"/>
      <x:c r="K188" s="261" t="str">
        <x:f t="shared" si="2"/>
        <x:v/>
      </x:c>
    </x:row>
    <x:row r="189" ht="30" customHeight="1">
      <x:c r="A189" s="131">
        <x:v>185</x:v>
      </x:c>
      <x:c r="B189" s="163"/>
      <x:c r="C189" s="163"/>
      <x:c r="D189" s="163"/>
      <x:c r="E189" s="163"/>
      <x:c r="F189" s="163"/>
      <x:c r="G189" s="162"/>
      <x:c r="H189" s="163"/>
      <x:c r="I189" s="162"/>
      <x:c r="J189" s="163"/>
      <x:c r="K189" s="261" t="str">
        <x:f t="shared" si="2"/>
        <x:v/>
      </x:c>
    </x:row>
    <x:row r="190" ht="30" customHeight="1">
      <x:c r="A190" s="131">
        <x:v>186</x:v>
      </x:c>
      <x:c r="B190" s="163"/>
      <x:c r="C190" s="163"/>
      <x:c r="D190" s="163"/>
      <x:c r="E190" s="163"/>
      <x:c r="F190" s="163"/>
      <x:c r="G190" s="162"/>
      <x:c r="H190" s="163"/>
      <x:c r="I190" s="162"/>
      <x:c r="J190" s="163"/>
      <x:c r="K190" s="261" t="str">
        <x:f t="shared" si="2"/>
        <x:v/>
      </x:c>
    </x:row>
    <x:row r="191" ht="30" customHeight="1">
      <x:c r="A191" s="131">
        <x:v>187</x:v>
      </x:c>
      <x:c r="B191" s="163"/>
      <x:c r="C191" s="163"/>
      <x:c r="D191" s="163"/>
      <x:c r="E191" s="163"/>
      <x:c r="F191" s="163"/>
      <x:c r="G191" s="162"/>
      <x:c r="H191" s="163"/>
      <x:c r="I191" s="162"/>
      <x:c r="J191" s="163"/>
      <x:c r="K191" s="261" t="str">
        <x:f t="shared" si="2"/>
        <x:v/>
      </x:c>
    </x:row>
    <x:row r="192" ht="30" customHeight="1">
      <x:c r="A192" s="131">
        <x:v>188</x:v>
      </x:c>
      <x:c r="B192" s="163"/>
      <x:c r="C192" s="163"/>
      <x:c r="D192" s="163"/>
      <x:c r="E192" s="163"/>
      <x:c r="F192" s="163"/>
      <x:c r="G192" s="162"/>
      <x:c r="H192" s="163"/>
      <x:c r="I192" s="162"/>
      <x:c r="J192" s="163"/>
      <x:c r="K192" s="261" t="str">
        <x:f t="shared" si="2"/>
        <x:v/>
      </x:c>
    </x:row>
    <x:row r="193" ht="30" customHeight="1">
      <x:c r="A193" s="131">
        <x:v>189</x:v>
      </x:c>
      <x:c r="B193" s="163"/>
      <x:c r="C193" s="163"/>
      <x:c r="D193" s="163"/>
      <x:c r="E193" s="163"/>
      <x:c r="F193" s="163"/>
      <x:c r="G193" s="162"/>
      <x:c r="H193" s="163"/>
      <x:c r="I193" s="162"/>
      <x:c r="J193" s="163"/>
      <x:c r="K193" s="261" t="str">
        <x:f t="shared" si="2"/>
        <x:v/>
      </x:c>
    </x:row>
    <x:row r="194" ht="30" customHeight="1">
      <x:c r="A194" s="131">
        <x:v>190</x:v>
      </x:c>
      <x:c r="B194" s="163"/>
      <x:c r="C194" s="163"/>
      <x:c r="D194" s="163"/>
      <x:c r="E194" s="163"/>
      <x:c r="F194" s="163"/>
      <x:c r="G194" s="162"/>
      <x:c r="H194" s="163"/>
      <x:c r="I194" s="162"/>
      <x:c r="J194" s="163"/>
      <x:c r="K194" s="261" t="str">
        <x:f t="shared" si="2"/>
        <x:v/>
      </x:c>
    </x:row>
    <x:row r="195" ht="30" customHeight="1">
      <x:c r="A195" s="131">
        <x:v>191</x:v>
      </x:c>
      <x:c r="B195" s="163"/>
      <x:c r="C195" s="163"/>
      <x:c r="D195" s="163"/>
      <x:c r="E195" s="163"/>
      <x:c r="F195" s="163"/>
      <x:c r="G195" s="162"/>
      <x:c r="H195" s="163"/>
      <x:c r="I195" s="162"/>
      <x:c r="J195" s="163"/>
      <x:c r="K195" s="261" t="str">
        <x:f t="shared" si="2"/>
        <x:v/>
      </x:c>
    </x:row>
    <x:row r="196" ht="30" customHeight="1">
      <x:c r="A196" s="131">
        <x:v>192</x:v>
      </x:c>
      <x:c r="B196" s="163"/>
      <x:c r="C196" s="163"/>
      <x:c r="D196" s="163"/>
      <x:c r="E196" s="163"/>
      <x:c r="F196" s="163"/>
      <x:c r="G196" s="162"/>
      <x:c r="H196" s="163"/>
      <x:c r="I196" s="162"/>
      <x:c r="J196" s="163"/>
      <x:c r="K196" s="261" t="str">
        <x:f t="shared" si="2"/>
        <x:v/>
      </x:c>
    </x:row>
    <x:row r="197" ht="30" customHeight="1">
      <x:c r="A197" s="131">
        <x:v>193</x:v>
      </x:c>
      <x:c r="B197" s="163"/>
      <x:c r="C197" s="163"/>
      <x:c r="D197" s="163"/>
      <x:c r="E197" s="163"/>
      <x:c r="F197" s="163"/>
      <x:c r="G197" s="162"/>
      <x:c r="H197" s="163"/>
      <x:c r="I197" s="162"/>
      <x:c r="J197" s="163"/>
      <x:c r="K197" s="261" t="str">
        <x:f t="shared" ref="K197:K260" si="3">IF(B197="","",IF(OR(F197="",G197=""),"НЕ ОТПРАВЛЕНО",IF(J197="","НЕТ ДОКАЗАТЕЛЬСТВА",IF(I197="","ОТПРАВЛЕНО, ЖДЁМ ПОЛУЧЕНИЯ","ПЕРЕДАНО"))))</x:f>
        <x:v/>
      </x:c>
    </x:row>
    <x:row r="198" ht="30" customHeight="1">
      <x:c r="A198" s="131">
        <x:v>194</x:v>
      </x:c>
      <x:c r="B198" s="163"/>
      <x:c r="C198" s="163"/>
      <x:c r="D198" s="163"/>
      <x:c r="E198" s="163"/>
      <x:c r="F198" s="163"/>
      <x:c r="G198" s="162"/>
      <x:c r="H198" s="163"/>
      <x:c r="I198" s="162"/>
      <x:c r="J198" s="163"/>
      <x:c r="K198" s="261" t="str">
        <x:f t="shared" si="3"/>
        <x:v/>
      </x:c>
    </x:row>
    <x:row r="199" ht="30" customHeight="1">
      <x:c r="A199" s="131">
        <x:v>195</x:v>
      </x:c>
      <x:c r="B199" s="163"/>
      <x:c r="C199" s="163"/>
      <x:c r="D199" s="163"/>
      <x:c r="E199" s="163"/>
      <x:c r="F199" s="163"/>
      <x:c r="G199" s="162"/>
      <x:c r="H199" s="163"/>
      <x:c r="I199" s="162"/>
      <x:c r="J199" s="163"/>
      <x:c r="K199" s="261" t="str">
        <x:f t="shared" si="3"/>
        <x:v/>
      </x:c>
    </x:row>
    <x:row r="200" ht="30" customHeight="1">
      <x:c r="A200" s="131">
        <x:v>196</x:v>
      </x:c>
      <x:c r="B200" s="163"/>
      <x:c r="C200" s="163"/>
      <x:c r="D200" s="163"/>
      <x:c r="E200" s="163"/>
      <x:c r="F200" s="163"/>
      <x:c r="G200" s="162"/>
      <x:c r="H200" s="163"/>
      <x:c r="I200" s="162"/>
      <x:c r="J200" s="163"/>
      <x:c r="K200" s="261" t="str">
        <x:f t="shared" si="3"/>
        <x:v/>
      </x:c>
    </x:row>
    <x:row r="201" ht="30" customHeight="1">
      <x:c r="A201" s="131">
        <x:v>197</x:v>
      </x:c>
      <x:c r="B201" s="163"/>
      <x:c r="C201" s="163"/>
      <x:c r="D201" s="163"/>
      <x:c r="E201" s="163"/>
      <x:c r="F201" s="163"/>
      <x:c r="G201" s="162"/>
      <x:c r="H201" s="163"/>
      <x:c r="I201" s="162"/>
      <x:c r="J201" s="163"/>
      <x:c r="K201" s="261" t="str">
        <x:f t="shared" si="3"/>
        <x:v/>
      </x:c>
    </x:row>
    <x:row r="202" ht="30" customHeight="1">
      <x:c r="A202" s="131">
        <x:v>198</x:v>
      </x:c>
      <x:c r="B202" s="163"/>
      <x:c r="C202" s="163"/>
      <x:c r="D202" s="163"/>
      <x:c r="E202" s="163"/>
      <x:c r="F202" s="163"/>
      <x:c r="G202" s="162"/>
      <x:c r="H202" s="163"/>
      <x:c r="I202" s="162"/>
      <x:c r="J202" s="163"/>
      <x:c r="K202" s="261" t="str">
        <x:f t="shared" si="3"/>
        <x:v/>
      </x:c>
    </x:row>
    <x:row r="203" ht="30" customHeight="1">
      <x:c r="A203" s="131">
        <x:v>199</x:v>
      </x:c>
      <x:c r="B203" s="163"/>
      <x:c r="C203" s="163"/>
      <x:c r="D203" s="163"/>
      <x:c r="E203" s="163"/>
      <x:c r="F203" s="163"/>
      <x:c r="G203" s="162"/>
      <x:c r="H203" s="163"/>
      <x:c r="I203" s="162"/>
      <x:c r="J203" s="163"/>
      <x:c r="K203" s="261" t="str">
        <x:f t="shared" si="3"/>
        <x:v/>
      </x:c>
    </x:row>
    <x:row r="204" ht="30" customHeight="1">
      <x:c r="A204" s="131">
        <x:v>200</x:v>
      </x:c>
      <x:c r="B204" s="163"/>
      <x:c r="C204" s="163"/>
      <x:c r="D204" s="163"/>
      <x:c r="E204" s="163"/>
      <x:c r="F204" s="163"/>
      <x:c r="G204" s="162"/>
      <x:c r="H204" s="163"/>
      <x:c r="I204" s="162"/>
      <x:c r="J204" s="163"/>
      <x:c r="K204" s="261" t="str">
        <x:f t="shared" si="3"/>
        <x:v/>
      </x:c>
    </x:row>
    <x:row r="205" ht="30" customHeight="1">
      <x:c r="A205" s="131">
        <x:v>201</x:v>
      </x:c>
      <x:c r="B205" s="163"/>
      <x:c r="C205" s="163"/>
      <x:c r="D205" s="163"/>
      <x:c r="E205" s="163"/>
      <x:c r="F205" s="163"/>
      <x:c r="G205" s="162"/>
      <x:c r="H205" s="163"/>
      <x:c r="I205" s="162"/>
      <x:c r="J205" s="163"/>
      <x:c r="K205" s="261" t="str">
        <x:f t="shared" si="3"/>
        <x:v/>
      </x:c>
    </x:row>
    <x:row r="206" ht="30" customHeight="1">
      <x:c r="A206" s="131">
        <x:v>202</x:v>
      </x:c>
      <x:c r="B206" s="163"/>
      <x:c r="C206" s="163"/>
      <x:c r="D206" s="163"/>
      <x:c r="E206" s="163"/>
      <x:c r="F206" s="163"/>
      <x:c r="G206" s="162"/>
      <x:c r="H206" s="163"/>
      <x:c r="I206" s="162"/>
      <x:c r="J206" s="163"/>
      <x:c r="K206" s="261" t="str">
        <x:f t="shared" si="3"/>
        <x:v/>
      </x:c>
    </x:row>
    <x:row r="207" ht="30" customHeight="1">
      <x:c r="A207" s="131">
        <x:v>203</x:v>
      </x:c>
      <x:c r="B207" s="163"/>
      <x:c r="C207" s="163"/>
      <x:c r="D207" s="163"/>
      <x:c r="E207" s="163"/>
      <x:c r="F207" s="163"/>
      <x:c r="G207" s="162"/>
      <x:c r="H207" s="163"/>
      <x:c r="I207" s="162"/>
      <x:c r="J207" s="163"/>
      <x:c r="K207" s="261" t="str">
        <x:f t="shared" si="3"/>
        <x:v/>
      </x:c>
    </x:row>
    <x:row r="208" ht="30" customHeight="1">
      <x:c r="A208" s="131">
        <x:v>204</x:v>
      </x:c>
      <x:c r="B208" s="163"/>
      <x:c r="C208" s="163"/>
      <x:c r="D208" s="163"/>
      <x:c r="E208" s="163"/>
      <x:c r="F208" s="163"/>
      <x:c r="G208" s="162"/>
      <x:c r="H208" s="163"/>
      <x:c r="I208" s="162"/>
      <x:c r="J208" s="163"/>
      <x:c r="K208" s="261" t="str">
        <x:f t="shared" si="3"/>
        <x:v/>
      </x:c>
    </x:row>
    <x:row r="209" ht="30" customHeight="1">
      <x:c r="A209" s="131">
        <x:v>205</x:v>
      </x:c>
      <x:c r="B209" s="163"/>
      <x:c r="C209" s="163"/>
      <x:c r="D209" s="163"/>
      <x:c r="E209" s="163"/>
      <x:c r="F209" s="163"/>
      <x:c r="G209" s="162"/>
      <x:c r="H209" s="163"/>
      <x:c r="I209" s="162"/>
      <x:c r="J209" s="163"/>
      <x:c r="K209" s="261" t="str">
        <x:f t="shared" si="3"/>
        <x:v/>
      </x:c>
    </x:row>
    <x:row r="210" ht="30" customHeight="1">
      <x:c r="A210" s="131">
        <x:v>206</x:v>
      </x:c>
      <x:c r="B210" s="163"/>
      <x:c r="C210" s="163"/>
      <x:c r="D210" s="163"/>
      <x:c r="E210" s="163"/>
      <x:c r="F210" s="163"/>
      <x:c r="G210" s="162"/>
      <x:c r="H210" s="163"/>
      <x:c r="I210" s="162"/>
      <x:c r="J210" s="163"/>
      <x:c r="K210" s="261" t="str">
        <x:f t="shared" si="3"/>
        <x:v/>
      </x:c>
    </x:row>
    <x:row r="211" ht="30" customHeight="1">
      <x:c r="A211" s="131">
        <x:v>207</x:v>
      </x:c>
      <x:c r="B211" s="163"/>
      <x:c r="C211" s="163"/>
      <x:c r="D211" s="163"/>
      <x:c r="E211" s="163"/>
      <x:c r="F211" s="163"/>
      <x:c r="G211" s="162"/>
      <x:c r="H211" s="163"/>
      <x:c r="I211" s="162"/>
      <x:c r="J211" s="163"/>
      <x:c r="K211" s="261" t="str">
        <x:f t="shared" si="3"/>
        <x:v/>
      </x:c>
    </x:row>
    <x:row r="212" ht="30" customHeight="1">
      <x:c r="A212" s="131">
        <x:v>208</x:v>
      </x:c>
      <x:c r="B212" s="163"/>
      <x:c r="C212" s="163"/>
      <x:c r="D212" s="163"/>
      <x:c r="E212" s="163"/>
      <x:c r="F212" s="163"/>
      <x:c r="G212" s="162"/>
      <x:c r="H212" s="163"/>
      <x:c r="I212" s="162"/>
      <x:c r="J212" s="163"/>
      <x:c r="K212" s="261" t="str">
        <x:f t="shared" si="3"/>
        <x:v/>
      </x:c>
    </x:row>
    <x:row r="213" ht="30" customHeight="1">
      <x:c r="A213" s="131">
        <x:v>209</x:v>
      </x:c>
      <x:c r="B213" s="163"/>
      <x:c r="C213" s="163"/>
      <x:c r="D213" s="163"/>
      <x:c r="E213" s="163"/>
      <x:c r="F213" s="163"/>
      <x:c r="G213" s="162"/>
      <x:c r="H213" s="163"/>
      <x:c r="I213" s="162"/>
      <x:c r="J213" s="163"/>
      <x:c r="K213" s="261" t="str">
        <x:f t="shared" si="3"/>
        <x:v/>
      </x:c>
    </x:row>
    <x:row r="214" ht="30" customHeight="1">
      <x:c r="A214" s="131">
        <x:v>210</x:v>
      </x:c>
      <x:c r="B214" s="163"/>
      <x:c r="C214" s="163"/>
      <x:c r="D214" s="163"/>
      <x:c r="E214" s="163"/>
      <x:c r="F214" s="163"/>
      <x:c r="G214" s="162"/>
      <x:c r="H214" s="163"/>
      <x:c r="I214" s="162"/>
      <x:c r="J214" s="163"/>
      <x:c r="K214" s="261" t="str">
        <x:f t="shared" si="3"/>
        <x:v/>
      </x:c>
    </x:row>
    <x:row r="215" ht="30" customHeight="1">
      <x:c r="A215" s="131">
        <x:v>211</x:v>
      </x:c>
      <x:c r="B215" s="163"/>
      <x:c r="C215" s="163"/>
      <x:c r="D215" s="163"/>
      <x:c r="E215" s="163"/>
      <x:c r="F215" s="163"/>
      <x:c r="G215" s="162"/>
      <x:c r="H215" s="163"/>
      <x:c r="I215" s="162"/>
      <x:c r="J215" s="163"/>
      <x:c r="K215" s="261" t="str">
        <x:f t="shared" si="3"/>
        <x:v/>
      </x:c>
    </x:row>
    <x:row r="216" ht="30" customHeight="1">
      <x:c r="A216" s="131">
        <x:v>212</x:v>
      </x:c>
      <x:c r="B216" s="163"/>
      <x:c r="C216" s="163"/>
      <x:c r="D216" s="163"/>
      <x:c r="E216" s="163"/>
      <x:c r="F216" s="163"/>
      <x:c r="G216" s="162"/>
      <x:c r="H216" s="163"/>
      <x:c r="I216" s="162"/>
      <x:c r="J216" s="163"/>
      <x:c r="K216" s="261" t="str">
        <x:f t="shared" si="3"/>
        <x:v/>
      </x:c>
    </x:row>
    <x:row r="217" ht="30" customHeight="1">
      <x:c r="A217" s="131">
        <x:v>213</x:v>
      </x:c>
      <x:c r="B217" s="163"/>
      <x:c r="C217" s="163"/>
      <x:c r="D217" s="163"/>
      <x:c r="E217" s="163"/>
      <x:c r="F217" s="163"/>
      <x:c r="G217" s="162"/>
      <x:c r="H217" s="163"/>
      <x:c r="I217" s="162"/>
      <x:c r="J217" s="163"/>
      <x:c r="K217" s="261" t="str">
        <x:f t="shared" si="3"/>
        <x:v/>
      </x:c>
    </x:row>
    <x:row r="218" ht="30" customHeight="1">
      <x:c r="A218" s="131">
        <x:v>214</x:v>
      </x:c>
      <x:c r="B218" s="163"/>
      <x:c r="C218" s="163"/>
      <x:c r="D218" s="163"/>
      <x:c r="E218" s="163"/>
      <x:c r="F218" s="163"/>
      <x:c r="G218" s="162"/>
      <x:c r="H218" s="163"/>
      <x:c r="I218" s="162"/>
      <x:c r="J218" s="163"/>
      <x:c r="K218" s="261" t="str">
        <x:f t="shared" si="3"/>
        <x:v/>
      </x:c>
    </x:row>
    <x:row r="219" ht="30" customHeight="1">
      <x:c r="A219" s="131">
        <x:v>215</x:v>
      </x:c>
      <x:c r="B219" s="163"/>
      <x:c r="C219" s="163"/>
      <x:c r="D219" s="163"/>
      <x:c r="E219" s="163"/>
      <x:c r="F219" s="163"/>
      <x:c r="G219" s="162"/>
      <x:c r="H219" s="163"/>
      <x:c r="I219" s="162"/>
      <x:c r="J219" s="163"/>
      <x:c r="K219" s="261" t="str">
        <x:f t="shared" si="3"/>
        <x:v/>
      </x:c>
    </x:row>
    <x:row r="220" ht="30" customHeight="1">
      <x:c r="A220" s="131">
        <x:v>216</x:v>
      </x:c>
      <x:c r="B220" s="163"/>
      <x:c r="C220" s="163"/>
      <x:c r="D220" s="163"/>
      <x:c r="E220" s="163"/>
      <x:c r="F220" s="163"/>
      <x:c r="G220" s="162"/>
      <x:c r="H220" s="163"/>
      <x:c r="I220" s="162"/>
      <x:c r="J220" s="163"/>
      <x:c r="K220" s="261" t="str">
        <x:f t="shared" si="3"/>
        <x:v/>
      </x:c>
    </x:row>
    <x:row r="221" ht="30" customHeight="1">
      <x:c r="A221" s="131">
        <x:v>217</x:v>
      </x:c>
      <x:c r="B221" s="163"/>
      <x:c r="C221" s="163"/>
      <x:c r="D221" s="163"/>
      <x:c r="E221" s="163"/>
      <x:c r="F221" s="163"/>
      <x:c r="G221" s="162"/>
      <x:c r="H221" s="163"/>
      <x:c r="I221" s="162"/>
      <x:c r="J221" s="163"/>
      <x:c r="K221" s="261" t="str">
        <x:f t="shared" si="3"/>
        <x:v/>
      </x:c>
    </x:row>
    <x:row r="222" ht="30" customHeight="1">
      <x:c r="A222" s="131">
        <x:v>218</x:v>
      </x:c>
      <x:c r="B222" s="163"/>
      <x:c r="C222" s="163"/>
      <x:c r="D222" s="163"/>
      <x:c r="E222" s="163"/>
      <x:c r="F222" s="163"/>
      <x:c r="G222" s="162"/>
      <x:c r="H222" s="163"/>
      <x:c r="I222" s="162"/>
      <x:c r="J222" s="163"/>
      <x:c r="K222" s="261" t="str">
        <x:f t="shared" si="3"/>
        <x:v/>
      </x:c>
    </x:row>
    <x:row r="223" ht="30" customHeight="1">
      <x:c r="A223" s="131">
        <x:v>219</x:v>
      </x:c>
      <x:c r="B223" s="163"/>
      <x:c r="C223" s="163"/>
      <x:c r="D223" s="163"/>
      <x:c r="E223" s="163"/>
      <x:c r="F223" s="163"/>
      <x:c r="G223" s="162"/>
      <x:c r="H223" s="163"/>
      <x:c r="I223" s="162"/>
      <x:c r="J223" s="163"/>
      <x:c r="K223" s="261" t="str">
        <x:f t="shared" si="3"/>
        <x:v/>
      </x:c>
    </x:row>
    <x:row r="224" ht="30" customHeight="1">
      <x:c r="A224" s="131">
        <x:v>220</x:v>
      </x:c>
      <x:c r="B224" s="163"/>
      <x:c r="C224" s="163"/>
      <x:c r="D224" s="163"/>
      <x:c r="E224" s="163"/>
      <x:c r="F224" s="163"/>
      <x:c r="G224" s="162"/>
      <x:c r="H224" s="163"/>
      <x:c r="I224" s="162"/>
      <x:c r="J224" s="163"/>
      <x:c r="K224" s="261" t="str">
        <x:f t="shared" si="3"/>
        <x:v/>
      </x:c>
    </x:row>
    <x:row r="225" ht="30" customHeight="1">
      <x:c r="A225" s="131">
        <x:v>221</x:v>
      </x:c>
      <x:c r="B225" s="163"/>
      <x:c r="C225" s="163"/>
      <x:c r="D225" s="163"/>
      <x:c r="E225" s="163"/>
      <x:c r="F225" s="163"/>
      <x:c r="G225" s="162"/>
      <x:c r="H225" s="163"/>
      <x:c r="I225" s="162"/>
      <x:c r="J225" s="163"/>
      <x:c r="K225" s="261" t="str">
        <x:f t="shared" si="3"/>
        <x:v/>
      </x:c>
    </x:row>
    <x:row r="226" ht="30" customHeight="1">
      <x:c r="A226" s="131">
        <x:v>222</x:v>
      </x:c>
      <x:c r="B226" s="163"/>
      <x:c r="C226" s="163"/>
      <x:c r="D226" s="163"/>
      <x:c r="E226" s="163"/>
      <x:c r="F226" s="163"/>
      <x:c r="G226" s="162"/>
      <x:c r="H226" s="163"/>
      <x:c r="I226" s="162"/>
      <x:c r="J226" s="163"/>
      <x:c r="K226" s="261" t="str">
        <x:f t="shared" si="3"/>
        <x:v/>
      </x:c>
    </x:row>
    <x:row r="227" ht="30" customHeight="1">
      <x:c r="A227" s="131">
        <x:v>223</x:v>
      </x:c>
      <x:c r="B227" s="163"/>
      <x:c r="C227" s="163"/>
      <x:c r="D227" s="163"/>
      <x:c r="E227" s="163"/>
      <x:c r="F227" s="163"/>
      <x:c r="G227" s="162"/>
      <x:c r="H227" s="163"/>
      <x:c r="I227" s="162"/>
      <x:c r="J227" s="163"/>
      <x:c r="K227" s="261" t="str">
        <x:f t="shared" si="3"/>
        <x:v/>
      </x:c>
    </x:row>
    <x:row r="228" ht="30" customHeight="1">
      <x:c r="A228" s="131">
        <x:v>224</x:v>
      </x:c>
      <x:c r="B228" s="163"/>
      <x:c r="C228" s="163"/>
      <x:c r="D228" s="163"/>
      <x:c r="E228" s="163"/>
      <x:c r="F228" s="163"/>
      <x:c r="G228" s="162"/>
      <x:c r="H228" s="163"/>
      <x:c r="I228" s="162"/>
      <x:c r="J228" s="163"/>
      <x:c r="K228" s="261" t="str">
        <x:f t="shared" si="3"/>
        <x:v/>
      </x:c>
    </x:row>
    <x:row r="229" ht="30" customHeight="1">
      <x:c r="A229" s="131">
        <x:v>225</x:v>
      </x:c>
      <x:c r="B229" s="163"/>
      <x:c r="C229" s="163"/>
      <x:c r="D229" s="163"/>
      <x:c r="E229" s="163"/>
      <x:c r="F229" s="163"/>
      <x:c r="G229" s="162"/>
      <x:c r="H229" s="163"/>
      <x:c r="I229" s="162"/>
      <x:c r="J229" s="163"/>
      <x:c r="K229" s="261" t="str">
        <x:f t="shared" si="3"/>
        <x:v/>
      </x:c>
    </x:row>
    <x:row r="230" ht="30" customHeight="1">
      <x:c r="A230" s="131">
        <x:v>226</x:v>
      </x:c>
      <x:c r="B230" s="163"/>
      <x:c r="C230" s="163"/>
      <x:c r="D230" s="163"/>
      <x:c r="E230" s="163"/>
      <x:c r="F230" s="163"/>
      <x:c r="G230" s="162"/>
      <x:c r="H230" s="163"/>
      <x:c r="I230" s="162"/>
      <x:c r="J230" s="163"/>
      <x:c r="K230" s="261" t="str">
        <x:f t="shared" si="3"/>
        <x:v/>
      </x:c>
    </x:row>
    <x:row r="231" ht="30" customHeight="1">
      <x:c r="A231" s="131">
        <x:v>227</x:v>
      </x:c>
      <x:c r="B231" s="163"/>
      <x:c r="C231" s="163"/>
      <x:c r="D231" s="163"/>
      <x:c r="E231" s="163"/>
      <x:c r="F231" s="163"/>
      <x:c r="G231" s="162"/>
      <x:c r="H231" s="163"/>
      <x:c r="I231" s="162"/>
      <x:c r="J231" s="163"/>
      <x:c r="K231" s="261" t="str">
        <x:f t="shared" si="3"/>
        <x:v/>
      </x:c>
    </x:row>
    <x:row r="232" ht="30" customHeight="1">
      <x:c r="A232" s="131">
        <x:v>228</x:v>
      </x:c>
      <x:c r="B232" s="163"/>
      <x:c r="C232" s="163"/>
      <x:c r="D232" s="163"/>
      <x:c r="E232" s="163"/>
      <x:c r="F232" s="163"/>
      <x:c r="G232" s="162"/>
      <x:c r="H232" s="163"/>
      <x:c r="I232" s="162"/>
      <x:c r="J232" s="163"/>
      <x:c r="K232" s="261" t="str">
        <x:f t="shared" si="3"/>
        <x:v/>
      </x:c>
    </x:row>
    <x:row r="233" ht="30" customHeight="1">
      <x:c r="A233" s="131">
        <x:v>229</x:v>
      </x:c>
      <x:c r="B233" s="163"/>
      <x:c r="C233" s="163"/>
      <x:c r="D233" s="163"/>
      <x:c r="E233" s="163"/>
      <x:c r="F233" s="163"/>
      <x:c r="G233" s="162"/>
      <x:c r="H233" s="163"/>
      <x:c r="I233" s="162"/>
      <x:c r="J233" s="163"/>
      <x:c r="K233" s="261" t="str">
        <x:f t="shared" si="3"/>
        <x:v/>
      </x:c>
    </x:row>
    <x:row r="234" ht="30" customHeight="1">
      <x:c r="A234" s="131">
        <x:v>230</x:v>
      </x:c>
      <x:c r="B234" s="163"/>
      <x:c r="C234" s="163"/>
      <x:c r="D234" s="163"/>
      <x:c r="E234" s="163"/>
      <x:c r="F234" s="163"/>
      <x:c r="G234" s="162"/>
      <x:c r="H234" s="163"/>
      <x:c r="I234" s="162"/>
      <x:c r="J234" s="163"/>
      <x:c r="K234" s="261" t="str">
        <x:f t="shared" si="3"/>
        <x:v/>
      </x:c>
    </x:row>
    <x:row r="235" ht="30" customHeight="1">
      <x:c r="A235" s="131">
        <x:v>231</x:v>
      </x:c>
      <x:c r="B235" s="163"/>
      <x:c r="C235" s="163"/>
      <x:c r="D235" s="163"/>
      <x:c r="E235" s="163"/>
      <x:c r="F235" s="163"/>
      <x:c r="G235" s="162"/>
      <x:c r="H235" s="163"/>
      <x:c r="I235" s="162"/>
      <x:c r="J235" s="163"/>
      <x:c r="K235" s="261" t="str">
        <x:f t="shared" si="3"/>
        <x:v/>
      </x:c>
    </x:row>
    <x:row r="236" ht="30" customHeight="1">
      <x:c r="A236" s="131">
        <x:v>232</x:v>
      </x:c>
      <x:c r="B236" s="163"/>
      <x:c r="C236" s="163"/>
      <x:c r="D236" s="163"/>
      <x:c r="E236" s="163"/>
      <x:c r="F236" s="163"/>
      <x:c r="G236" s="162"/>
      <x:c r="H236" s="163"/>
      <x:c r="I236" s="162"/>
      <x:c r="J236" s="163"/>
      <x:c r="K236" s="261" t="str">
        <x:f t="shared" si="3"/>
        <x:v/>
      </x:c>
    </x:row>
    <x:row r="237" ht="30" customHeight="1">
      <x:c r="A237" s="131">
        <x:v>233</x:v>
      </x:c>
      <x:c r="B237" s="163"/>
      <x:c r="C237" s="163"/>
      <x:c r="D237" s="163"/>
      <x:c r="E237" s="163"/>
      <x:c r="F237" s="163"/>
      <x:c r="G237" s="162"/>
      <x:c r="H237" s="163"/>
      <x:c r="I237" s="162"/>
      <x:c r="J237" s="163"/>
      <x:c r="K237" s="261" t="str">
        <x:f t="shared" si="3"/>
        <x:v/>
      </x:c>
    </x:row>
    <x:row r="238" ht="30" customHeight="1">
      <x:c r="A238" s="131">
        <x:v>234</x:v>
      </x:c>
      <x:c r="B238" s="163"/>
      <x:c r="C238" s="163"/>
      <x:c r="D238" s="163"/>
      <x:c r="E238" s="163"/>
      <x:c r="F238" s="163"/>
      <x:c r="G238" s="162"/>
      <x:c r="H238" s="163"/>
      <x:c r="I238" s="162"/>
      <x:c r="J238" s="163"/>
      <x:c r="K238" s="261" t="str">
        <x:f t="shared" si="3"/>
        <x:v/>
      </x:c>
    </x:row>
    <x:row r="239" ht="30" customHeight="1">
      <x:c r="A239" s="131">
        <x:v>235</x:v>
      </x:c>
      <x:c r="B239" s="163"/>
      <x:c r="C239" s="163"/>
      <x:c r="D239" s="163"/>
      <x:c r="E239" s="163"/>
      <x:c r="F239" s="163"/>
      <x:c r="G239" s="162"/>
      <x:c r="H239" s="163"/>
      <x:c r="I239" s="162"/>
      <x:c r="J239" s="163"/>
      <x:c r="K239" s="261" t="str">
        <x:f t="shared" si="3"/>
        <x:v/>
      </x:c>
    </x:row>
    <x:row r="240" ht="30" customHeight="1">
      <x:c r="A240" s="131">
        <x:v>236</x:v>
      </x:c>
      <x:c r="B240" s="163"/>
      <x:c r="C240" s="163"/>
      <x:c r="D240" s="163"/>
      <x:c r="E240" s="163"/>
      <x:c r="F240" s="163"/>
      <x:c r="G240" s="162"/>
      <x:c r="H240" s="163"/>
      <x:c r="I240" s="162"/>
      <x:c r="J240" s="163"/>
      <x:c r="K240" s="261" t="str">
        <x:f t="shared" si="3"/>
        <x:v/>
      </x:c>
    </x:row>
    <x:row r="241" ht="30" customHeight="1">
      <x:c r="A241" s="131">
        <x:v>237</x:v>
      </x:c>
      <x:c r="B241" s="163"/>
      <x:c r="C241" s="163"/>
      <x:c r="D241" s="163"/>
      <x:c r="E241" s="163"/>
      <x:c r="F241" s="163"/>
      <x:c r="G241" s="162"/>
      <x:c r="H241" s="163"/>
      <x:c r="I241" s="162"/>
      <x:c r="J241" s="163"/>
      <x:c r="K241" s="261" t="str">
        <x:f t="shared" si="3"/>
        <x:v/>
      </x:c>
    </x:row>
    <x:row r="242" ht="30" customHeight="1">
      <x:c r="A242" s="131">
        <x:v>238</x:v>
      </x:c>
      <x:c r="B242" s="163"/>
      <x:c r="C242" s="163"/>
      <x:c r="D242" s="163"/>
      <x:c r="E242" s="163"/>
      <x:c r="F242" s="163"/>
      <x:c r="G242" s="162"/>
      <x:c r="H242" s="163"/>
      <x:c r="I242" s="162"/>
      <x:c r="J242" s="163"/>
      <x:c r="K242" s="261" t="str">
        <x:f t="shared" si="3"/>
        <x:v/>
      </x:c>
    </x:row>
    <x:row r="243" ht="30" customHeight="1">
      <x:c r="A243" s="131">
        <x:v>239</x:v>
      </x:c>
      <x:c r="B243" s="163"/>
      <x:c r="C243" s="163"/>
      <x:c r="D243" s="163"/>
      <x:c r="E243" s="163"/>
      <x:c r="F243" s="163"/>
      <x:c r="G243" s="162"/>
      <x:c r="H243" s="163"/>
      <x:c r="I243" s="162"/>
      <x:c r="J243" s="163"/>
      <x:c r="K243" s="261" t="str">
        <x:f t="shared" si="3"/>
        <x:v/>
      </x:c>
    </x:row>
    <x:row r="244" ht="30" customHeight="1">
      <x:c r="A244" s="131">
        <x:v>240</x:v>
      </x:c>
      <x:c r="B244" s="163"/>
      <x:c r="C244" s="163"/>
      <x:c r="D244" s="163"/>
      <x:c r="E244" s="163"/>
      <x:c r="F244" s="163"/>
      <x:c r="G244" s="162"/>
      <x:c r="H244" s="163"/>
      <x:c r="I244" s="162"/>
      <x:c r="J244" s="163"/>
      <x:c r="K244" s="261" t="str">
        <x:f t="shared" si="3"/>
        <x:v/>
      </x:c>
    </x:row>
    <x:row r="245" ht="30" customHeight="1">
      <x:c r="A245" s="131">
        <x:v>241</x:v>
      </x:c>
      <x:c r="B245" s="163"/>
      <x:c r="C245" s="163"/>
      <x:c r="D245" s="163"/>
      <x:c r="E245" s="163"/>
      <x:c r="F245" s="163"/>
      <x:c r="G245" s="162"/>
      <x:c r="H245" s="163"/>
      <x:c r="I245" s="162"/>
      <x:c r="J245" s="163"/>
      <x:c r="K245" s="261" t="str">
        <x:f t="shared" si="3"/>
        <x:v/>
      </x:c>
    </x:row>
    <x:row r="246" ht="30" customHeight="1">
      <x:c r="A246" s="131">
        <x:v>242</x:v>
      </x:c>
      <x:c r="B246" s="163"/>
      <x:c r="C246" s="163"/>
      <x:c r="D246" s="163"/>
      <x:c r="E246" s="163"/>
      <x:c r="F246" s="163"/>
      <x:c r="G246" s="162"/>
      <x:c r="H246" s="163"/>
      <x:c r="I246" s="162"/>
      <x:c r="J246" s="163"/>
      <x:c r="K246" s="261" t="str">
        <x:f t="shared" si="3"/>
        <x:v/>
      </x:c>
    </x:row>
    <x:row r="247" ht="30" customHeight="1">
      <x:c r="A247" s="131">
        <x:v>243</x:v>
      </x:c>
      <x:c r="B247" s="163"/>
      <x:c r="C247" s="163"/>
      <x:c r="D247" s="163"/>
      <x:c r="E247" s="163"/>
      <x:c r="F247" s="163"/>
      <x:c r="G247" s="162"/>
      <x:c r="H247" s="163"/>
      <x:c r="I247" s="162"/>
      <x:c r="J247" s="163"/>
      <x:c r="K247" s="261" t="str">
        <x:f t="shared" si="3"/>
        <x:v/>
      </x:c>
    </x:row>
    <x:row r="248" ht="30" customHeight="1">
      <x:c r="A248" s="131">
        <x:v>244</x:v>
      </x:c>
      <x:c r="B248" s="163"/>
      <x:c r="C248" s="163"/>
      <x:c r="D248" s="163"/>
      <x:c r="E248" s="163"/>
      <x:c r="F248" s="163"/>
      <x:c r="G248" s="162"/>
      <x:c r="H248" s="163"/>
      <x:c r="I248" s="162"/>
      <x:c r="J248" s="163"/>
      <x:c r="K248" s="261" t="str">
        <x:f t="shared" si="3"/>
        <x:v/>
      </x:c>
    </x:row>
    <x:row r="249" ht="30" customHeight="1">
      <x:c r="A249" s="131">
        <x:v>245</x:v>
      </x:c>
      <x:c r="B249" s="163"/>
      <x:c r="C249" s="163"/>
      <x:c r="D249" s="163"/>
      <x:c r="E249" s="163"/>
      <x:c r="F249" s="163"/>
      <x:c r="G249" s="162"/>
      <x:c r="H249" s="163"/>
      <x:c r="I249" s="162"/>
      <x:c r="J249" s="163"/>
      <x:c r="K249" s="261" t="str">
        <x:f t="shared" si="3"/>
        <x:v/>
      </x:c>
    </x:row>
    <x:row r="250" ht="30" customHeight="1">
      <x:c r="A250" s="131">
        <x:v>246</x:v>
      </x:c>
      <x:c r="B250" s="163"/>
      <x:c r="C250" s="163"/>
      <x:c r="D250" s="163"/>
      <x:c r="E250" s="163"/>
      <x:c r="F250" s="163"/>
      <x:c r="G250" s="162"/>
      <x:c r="H250" s="163"/>
      <x:c r="I250" s="162"/>
      <x:c r="J250" s="163"/>
      <x:c r="K250" s="261" t="str">
        <x:f t="shared" si="3"/>
        <x:v/>
      </x:c>
    </x:row>
    <x:row r="251" ht="30" customHeight="1">
      <x:c r="A251" s="131">
        <x:v>247</x:v>
      </x:c>
      <x:c r="B251" s="163"/>
      <x:c r="C251" s="163"/>
      <x:c r="D251" s="163"/>
      <x:c r="E251" s="163"/>
      <x:c r="F251" s="163"/>
      <x:c r="G251" s="162"/>
      <x:c r="H251" s="163"/>
      <x:c r="I251" s="162"/>
      <x:c r="J251" s="163"/>
      <x:c r="K251" s="261" t="str">
        <x:f t="shared" si="3"/>
        <x:v/>
      </x:c>
    </x:row>
    <x:row r="252" ht="30" customHeight="1">
      <x:c r="A252" s="131">
        <x:v>248</x:v>
      </x:c>
      <x:c r="B252" s="163"/>
      <x:c r="C252" s="163"/>
      <x:c r="D252" s="163"/>
      <x:c r="E252" s="163"/>
      <x:c r="F252" s="163"/>
      <x:c r="G252" s="162"/>
      <x:c r="H252" s="163"/>
      <x:c r="I252" s="162"/>
      <x:c r="J252" s="163"/>
      <x:c r="K252" s="261" t="str">
        <x:f t="shared" si="3"/>
        <x:v/>
      </x:c>
    </x:row>
    <x:row r="253" ht="30" customHeight="1">
      <x:c r="A253" s="131">
        <x:v>249</x:v>
      </x:c>
      <x:c r="B253" s="163"/>
      <x:c r="C253" s="163"/>
      <x:c r="D253" s="163"/>
      <x:c r="E253" s="163"/>
      <x:c r="F253" s="163"/>
      <x:c r="G253" s="162"/>
      <x:c r="H253" s="163"/>
      <x:c r="I253" s="162"/>
      <x:c r="J253" s="163"/>
      <x:c r="K253" s="261" t="str">
        <x:f t="shared" si="3"/>
        <x:v/>
      </x:c>
    </x:row>
    <x:row r="254" ht="30" customHeight="1">
      <x:c r="A254" s="131">
        <x:v>250</x:v>
      </x:c>
      <x:c r="B254" s="163"/>
      <x:c r="C254" s="163"/>
      <x:c r="D254" s="163"/>
      <x:c r="E254" s="163"/>
      <x:c r="F254" s="163"/>
      <x:c r="G254" s="162"/>
      <x:c r="H254" s="163"/>
      <x:c r="I254" s="162"/>
      <x:c r="J254" s="163"/>
      <x:c r="K254" s="261" t="str">
        <x:f t="shared" si="3"/>
        <x:v/>
      </x:c>
    </x:row>
    <x:row r="255" ht="30" customHeight="1">
      <x:c r="A255" s="131">
        <x:v>251</x:v>
      </x:c>
      <x:c r="B255" s="163"/>
      <x:c r="C255" s="163"/>
      <x:c r="D255" s="163"/>
      <x:c r="E255" s="163"/>
      <x:c r="F255" s="163"/>
      <x:c r="G255" s="162"/>
      <x:c r="H255" s="163"/>
      <x:c r="I255" s="162"/>
      <x:c r="J255" s="163"/>
      <x:c r="K255" s="261" t="str">
        <x:f t="shared" si="3"/>
        <x:v/>
      </x:c>
    </x:row>
    <x:row r="256" ht="30" customHeight="1">
      <x:c r="A256" s="131">
        <x:v>252</x:v>
      </x:c>
      <x:c r="B256" s="163"/>
      <x:c r="C256" s="163"/>
      <x:c r="D256" s="163"/>
      <x:c r="E256" s="163"/>
      <x:c r="F256" s="163"/>
      <x:c r="G256" s="162"/>
      <x:c r="H256" s="163"/>
      <x:c r="I256" s="162"/>
      <x:c r="J256" s="163"/>
      <x:c r="K256" s="261" t="str">
        <x:f t="shared" si="3"/>
        <x:v/>
      </x:c>
    </x:row>
    <x:row r="257" ht="30" customHeight="1">
      <x:c r="A257" s="131">
        <x:v>253</x:v>
      </x:c>
      <x:c r="B257" s="163"/>
      <x:c r="C257" s="163"/>
      <x:c r="D257" s="163"/>
      <x:c r="E257" s="163"/>
      <x:c r="F257" s="163"/>
      <x:c r="G257" s="162"/>
      <x:c r="H257" s="163"/>
      <x:c r="I257" s="162"/>
      <x:c r="J257" s="163"/>
      <x:c r="K257" s="261" t="str">
        <x:f t="shared" si="3"/>
        <x:v/>
      </x:c>
    </x:row>
    <x:row r="258" ht="30" customHeight="1">
      <x:c r="A258" s="131">
        <x:v>254</x:v>
      </x:c>
      <x:c r="B258" s="163"/>
      <x:c r="C258" s="163"/>
      <x:c r="D258" s="163"/>
      <x:c r="E258" s="163"/>
      <x:c r="F258" s="163"/>
      <x:c r="G258" s="162"/>
      <x:c r="H258" s="163"/>
      <x:c r="I258" s="162"/>
      <x:c r="J258" s="163"/>
      <x:c r="K258" s="261" t="str">
        <x:f t="shared" si="3"/>
        <x:v/>
      </x:c>
    </x:row>
    <x:row r="259" ht="30" customHeight="1">
      <x:c r="A259" s="131">
        <x:v>255</x:v>
      </x:c>
      <x:c r="B259" s="163"/>
      <x:c r="C259" s="163"/>
      <x:c r="D259" s="163"/>
      <x:c r="E259" s="163"/>
      <x:c r="F259" s="163"/>
      <x:c r="G259" s="162"/>
      <x:c r="H259" s="163"/>
      <x:c r="I259" s="162"/>
      <x:c r="J259" s="163"/>
      <x:c r="K259" s="261" t="str">
        <x:f t="shared" si="3"/>
        <x:v/>
      </x:c>
    </x:row>
    <x:row r="260" ht="30" customHeight="1">
      <x:c r="A260" s="131">
        <x:v>256</x:v>
      </x:c>
      <x:c r="B260" s="163"/>
      <x:c r="C260" s="163"/>
      <x:c r="D260" s="163"/>
      <x:c r="E260" s="163"/>
      <x:c r="F260" s="163"/>
      <x:c r="G260" s="162"/>
      <x:c r="H260" s="163"/>
      <x:c r="I260" s="162"/>
      <x:c r="J260" s="163"/>
      <x:c r="K260" s="261" t="str">
        <x:f t="shared" si="3"/>
        <x:v/>
      </x:c>
    </x:row>
    <x:row r="261" ht="30" customHeight="1">
      <x:c r="A261" s="131">
        <x:v>257</x:v>
      </x:c>
      <x:c r="B261" s="163"/>
      <x:c r="C261" s="163"/>
      <x:c r="D261" s="163"/>
      <x:c r="E261" s="163"/>
      <x:c r="F261" s="163"/>
      <x:c r="G261" s="162"/>
      <x:c r="H261" s="163"/>
      <x:c r="I261" s="162"/>
      <x:c r="J261" s="163"/>
      <x:c r="K261" s="261" t="str">
        <x:f t="shared" ref="K261:K324" si="4">IF(B261="","",IF(OR(F261="",G261=""),"НЕ ОТПРАВЛЕНО",IF(J261="","НЕТ ДОКАЗАТЕЛЬСТВА",IF(I261="","ОТПРАВЛЕНО, ЖДЁМ ПОЛУЧЕНИЯ","ПЕРЕДАНО"))))</x:f>
        <x:v/>
      </x:c>
    </x:row>
    <x:row r="262" ht="30" customHeight="1">
      <x:c r="A262" s="131">
        <x:v>258</x:v>
      </x:c>
      <x:c r="B262" s="163"/>
      <x:c r="C262" s="163"/>
      <x:c r="D262" s="163"/>
      <x:c r="E262" s="163"/>
      <x:c r="F262" s="163"/>
      <x:c r="G262" s="162"/>
      <x:c r="H262" s="163"/>
      <x:c r="I262" s="162"/>
      <x:c r="J262" s="163"/>
      <x:c r="K262" s="261" t="str">
        <x:f t="shared" si="4"/>
        <x:v/>
      </x:c>
    </x:row>
    <x:row r="263" ht="30" customHeight="1">
      <x:c r="A263" s="131">
        <x:v>259</x:v>
      </x:c>
      <x:c r="B263" s="163"/>
      <x:c r="C263" s="163"/>
      <x:c r="D263" s="163"/>
      <x:c r="E263" s="163"/>
      <x:c r="F263" s="163"/>
      <x:c r="G263" s="162"/>
      <x:c r="H263" s="163"/>
      <x:c r="I263" s="162"/>
      <x:c r="J263" s="163"/>
      <x:c r="K263" s="261" t="str">
        <x:f t="shared" si="4"/>
        <x:v/>
      </x:c>
    </x:row>
    <x:row r="264" ht="30" customHeight="1">
      <x:c r="A264" s="131">
        <x:v>260</x:v>
      </x:c>
      <x:c r="B264" s="163"/>
      <x:c r="C264" s="163"/>
      <x:c r="D264" s="163"/>
      <x:c r="E264" s="163"/>
      <x:c r="F264" s="163"/>
      <x:c r="G264" s="162"/>
      <x:c r="H264" s="163"/>
      <x:c r="I264" s="162"/>
      <x:c r="J264" s="163"/>
      <x:c r="K264" s="261" t="str">
        <x:f t="shared" si="4"/>
        <x:v/>
      </x:c>
    </x:row>
    <x:row r="265" ht="30" customHeight="1">
      <x:c r="A265" s="131">
        <x:v>261</x:v>
      </x:c>
      <x:c r="B265" s="163"/>
      <x:c r="C265" s="163"/>
      <x:c r="D265" s="163"/>
      <x:c r="E265" s="163"/>
      <x:c r="F265" s="163"/>
      <x:c r="G265" s="162"/>
      <x:c r="H265" s="163"/>
      <x:c r="I265" s="162"/>
      <x:c r="J265" s="163"/>
      <x:c r="K265" s="261" t="str">
        <x:f t="shared" si="4"/>
        <x:v/>
      </x:c>
    </x:row>
    <x:row r="266" ht="30" customHeight="1">
      <x:c r="A266" s="131">
        <x:v>262</x:v>
      </x:c>
      <x:c r="B266" s="163"/>
      <x:c r="C266" s="163"/>
      <x:c r="D266" s="163"/>
      <x:c r="E266" s="163"/>
      <x:c r="F266" s="163"/>
      <x:c r="G266" s="162"/>
      <x:c r="H266" s="163"/>
      <x:c r="I266" s="162"/>
      <x:c r="J266" s="163"/>
      <x:c r="K266" s="261" t="str">
        <x:f t="shared" si="4"/>
        <x:v/>
      </x:c>
    </x:row>
    <x:row r="267" ht="30" customHeight="1">
      <x:c r="A267" s="131">
        <x:v>263</x:v>
      </x:c>
      <x:c r="B267" s="163"/>
      <x:c r="C267" s="163"/>
      <x:c r="D267" s="163"/>
      <x:c r="E267" s="163"/>
      <x:c r="F267" s="163"/>
      <x:c r="G267" s="162"/>
      <x:c r="H267" s="163"/>
      <x:c r="I267" s="162"/>
      <x:c r="J267" s="163"/>
      <x:c r="K267" s="261" t="str">
        <x:f t="shared" si="4"/>
        <x:v/>
      </x:c>
    </x:row>
    <x:row r="268" ht="30" customHeight="1">
      <x:c r="A268" s="131">
        <x:v>264</x:v>
      </x:c>
      <x:c r="B268" s="163"/>
      <x:c r="C268" s="163"/>
      <x:c r="D268" s="163"/>
      <x:c r="E268" s="163"/>
      <x:c r="F268" s="163"/>
      <x:c r="G268" s="162"/>
      <x:c r="H268" s="163"/>
      <x:c r="I268" s="162"/>
      <x:c r="J268" s="163"/>
      <x:c r="K268" s="261" t="str">
        <x:f t="shared" si="4"/>
        <x:v/>
      </x:c>
    </x:row>
    <x:row r="269" ht="30" customHeight="1">
      <x:c r="A269" s="131">
        <x:v>265</x:v>
      </x:c>
      <x:c r="B269" s="163"/>
      <x:c r="C269" s="163"/>
      <x:c r="D269" s="163"/>
      <x:c r="E269" s="163"/>
      <x:c r="F269" s="163"/>
      <x:c r="G269" s="162"/>
      <x:c r="H269" s="163"/>
      <x:c r="I269" s="162"/>
      <x:c r="J269" s="163"/>
      <x:c r="K269" s="261" t="str">
        <x:f t="shared" si="4"/>
        <x:v/>
      </x:c>
    </x:row>
    <x:row r="270" ht="30" customHeight="1">
      <x:c r="A270" s="131">
        <x:v>266</x:v>
      </x:c>
      <x:c r="B270" s="163"/>
      <x:c r="C270" s="163"/>
      <x:c r="D270" s="163"/>
      <x:c r="E270" s="163"/>
      <x:c r="F270" s="163"/>
      <x:c r="G270" s="162"/>
      <x:c r="H270" s="163"/>
      <x:c r="I270" s="162"/>
      <x:c r="J270" s="163"/>
      <x:c r="K270" s="261" t="str">
        <x:f t="shared" si="4"/>
        <x:v/>
      </x:c>
    </x:row>
    <x:row r="271" ht="30" customHeight="1">
      <x:c r="A271" s="131">
        <x:v>267</x:v>
      </x:c>
      <x:c r="B271" s="163"/>
      <x:c r="C271" s="163"/>
      <x:c r="D271" s="163"/>
      <x:c r="E271" s="163"/>
      <x:c r="F271" s="163"/>
      <x:c r="G271" s="162"/>
      <x:c r="H271" s="163"/>
      <x:c r="I271" s="162"/>
      <x:c r="J271" s="163"/>
      <x:c r="K271" s="261" t="str">
        <x:f t="shared" si="4"/>
        <x:v/>
      </x:c>
    </x:row>
    <x:row r="272" ht="30" customHeight="1">
      <x:c r="A272" s="131">
        <x:v>268</x:v>
      </x:c>
      <x:c r="B272" s="163"/>
      <x:c r="C272" s="163"/>
      <x:c r="D272" s="163"/>
      <x:c r="E272" s="163"/>
      <x:c r="F272" s="163"/>
      <x:c r="G272" s="162"/>
      <x:c r="H272" s="163"/>
      <x:c r="I272" s="162"/>
      <x:c r="J272" s="163"/>
      <x:c r="K272" s="261" t="str">
        <x:f t="shared" si="4"/>
        <x:v/>
      </x:c>
    </x:row>
    <x:row r="273" ht="30" customHeight="1">
      <x:c r="A273" s="131">
        <x:v>269</x:v>
      </x:c>
      <x:c r="B273" s="163"/>
      <x:c r="C273" s="163"/>
      <x:c r="D273" s="163"/>
      <x:c r="E273" s="163"/>
      <x:c r="F273" s="163"/>
      <x:c r="G273" s="162"/>
      <x:c r="H273" s="163"/>
      <x:c r="I273" s="162"/>
      <x:c r="J273" s="163"/>
      <x:c r="K273" s="261" t="str">
        <x:f t="shared" si="4"/>
        <x:v/>
      </x:c>
    </x:row>
    <x:row r="274" ht="30" customHeight="1">
      <x:c r="A274" s="131">
        <x:v>270</x:v>
      </x:c>
      <x:c r="B274" s="163"/>
      <x:c r="C274" s="163"/>
      <x:c r="D274" s="163"/>
      <x:c r="E274" s="163"/>
      <x:c r="F274" s="163"/>
      <x:c r="G274" s="162"/>
      <x:c r="H274" s="163"/>
      <x:c r="I274" s="162"/>
      <x:c r="J274" s="163"/>
      <x:c r="K274" s="261" t="str">
        <x:f t="shared" si="4"/>
        <x:v/>
      </x:c>
    </x:row>
    <x:row r="275" ht="30" customHeight="1">
      <x:c r="A275" s="131">
        <x:v>271</x:v>
      </x:c>
      <x:c r="B275" s="163"/>
      <x:c r="C275" s="163"/>
      <x:c r="D275" s="163"/>
      <x:c r="E275" s="163"/>
      <x:c r="F275" s="163"/>
      <x:c r="G275" s="162"/>
      <x:c r="H275" s="163"/>
      <x:c r="I275" s="162"/>
      <x:c r="J275" s="163"/>
      <x:c r="K275" s="261" t="str">
        <x:f t="shared" si="4"/>
        <x:v/>
      </x:c>
    </x:row>
    <x:row r="276" ht="30" customHeight="1">
      <x:c r="A276" s="131">
        <x:v>272</x:v>
      </x:c>
      <x:c r="B276" s="163"/>
      <x:c r="C276" s="163"/>
      <x:c r="D276" s="163"/>
      <x:c r="E276" s="163"/>
      <x:c r="F276" s="163"/>
      <x:c r="G276" s="162"/>
      <x:c r="H276" s="163"/>
      <x:c r="I276" s="162"/>
      <x:c r="J276" s="163"/>
      <x:c r="K276" s="261" t="str">
        <x:f t="shared" si="4"/>
        <x:v/>
      </x:c>
    </x:row>
    <x:row r="277" ht="30" customHeight="1">
      <x:c r="A277" s="131">
        <x:v>273</x:v>
      </x:c>
      <x:c r="B277" s="163"/>
      <x:c r="C277" s="163"/>
      <x:c r="D277" s="163"/>
      <x:c r="E277" s="163"/>
      <x:c r="F277" s="163"/>
      <x:c r="G277" s="162"/>
      <x:c r="H277" s="163"/>
      <x:c r="I277" s="162"/>
      <x:c r="J277" s="163"/>
      <x:c r="K277" s="261" t="str">
        <x:f t="shared" si="4"/>
        <x:v/>
      </x:c>
    </x:row>
    <x:row r="278" ht="30" customHeight="1">
      <x:c r="A278" s="131">
        <x:v>274</x:v>
      </x:c>
      <x:c r="B278" s="163"/>
      <x:c r="C278" s="163"/>
      <x:c r="D278" s="163"/>
      <x:c r="E278" s="163"/>
      <x:c r="F278" s="163"/>
      <x:c r="G278" s="162"/>
      <x:c r="H278" s="163"/>
      <x:c r="I278" s="162"/>
      <x:c r="J278" s="163"/>
      <x:c r="K278" s="261" t="str">
        <x:f t="shared" si="4"/>
        <x:v/>
      </x:c>
    </x:row>
    <x:row r="279" ht="30" customHeight="1">
      <x:c r="A279" s="131">
        <x:v>275</x:v>
      </x:c>
      <x:c r="B279" s="163"/>
      <x:c r="C279" s="163"/>
      <x:c r="D279" s="163"/>
      <x:c r="E279" s="163"/>
      <x:c r="F279" s="163"/>
      <x:c r="G279" s="162"/>
      <x:c r="H279" s="163"/>
      <x:c r="I279" s="162"/>
      <x:c r="J279" s="163"/>
      <x:c r="K279" s="261" t="str">
        <x:f t="shared" si="4"/>
        <x:v/>
      </x:c>
    </x:row>
    <x:row r="280" ht="30" customHeight="1">
      <x:c r="A280" s="131">
        <x:v>276</x:v>
      </x:c>
      <x:c r="B280" s="163"/>
      <x:c r="C280" s="163"/>
      <x:c r="D280" s="163"/>
      <x:c r="E280" s="163"/>
      <x:c r="F280" s="163"/>
      <x:c r="G280" s="162"/>
      <x:c r="H280" s="163"/>
      <x:c r="I280" s="162"/>
      <x:c r="J280" s="163"/>
      <x:c r="K280" s="261" t="str">
        <x:f t="shared" si="4"/>
        <x:v/>
      </x:c>
    </x:row>
    <x:row r="281" ht="30" customHeight="1">
      <x:c r="A281" s="131">
        <x:v>277</x:v>
      </x:c>
      <x:c r="B281" s="163"/>
      <x:c r="C281" s="163"/>
      <x:c r="D281" s="163"/>
      <x:c r="E281" s="163"/>
      <x:c r="F281" s="163"/>
      <x:c r="G281" s="162"/>
      <x:c r="H281" s="163"/>
      <x:c r="I281" s="162"/>
      <x:c r="J281" s="163"/>
      <x:c r="K281" s="261" t="str">
        <x:f t="shared" si="4"/>
        <x:v/>
      </x:c>
    </x:row>
    <x:row r="282" ht="30" customHeight="1">
      <x:c r="A282" s="131">
        <x:v>278</x:v>
      </x:c>
      <x:c r="B282" s="163"/>
      <x:c r="C282" s="163"/>
      <x:c r="D282" s="163"/>
      <x:c r="E282" s="163"/>
      <x:c r="F282" s="163"/>
      <x:c r="G282" s="162"/>
      <x:c r="H282" s="163"/>
      <x:c r="I282" s="162"/>
      <x:c r="J282" s="163"/>
      <x:c r="K282" s="261" t="str">
        <x:f t="shared" si="4"/>
        <x:v/>
      </x:c>
    </x:row>
    <x:row r="283" ht="30" customHeight="1">
      <x:c r="A283" s="131">
        <x:v>279</x:v>
      </x:c>
      <x:c r="B283" s="163"/>
      <x:c r="C283" s="163"/>
      <x:c r="D283" s="163"/>
      <x:c r="E283" s="163"/>
      <x:c r="F283" s="163"/>
      <x:c r="G283" s="162"/>
      <x:c r="H283" s="163"/>
      <x:c r="I283" s="162"/>
      <x:c r="J283" s="163"/>
      <x:c r="K283" s="261" t="str">
        <x:f t="shared" si="4"/>
        <x:v/>
      </x:c>
    </x:row>
    <x:row r="284" ht="30" customHeight="1">
      <x:c r="A284" s="131">
        <x:v>280</x:v>
      </x:c>
      <x:c r="B284" s="163"/>
      <x:c r="C284" s="163"/>
      <x:c r="D284" s="163"/>
      <x:c r="E284" s="163"/>
      <x:c r="F284" s="163"/>
      <x:c r="G284" s="162"/>
      <x:c r="H284" s="163"/>
      <x:c r="I284" s="162"/>
      <x:c r="J284" s="163"/>
      <x:c r="K284" s="261" t="str">
        <x:f t="shared" si="4"/>
        <x:v/>
      </x:c>
    </x:row>
    <x:row r="285" ht="30" customHeight="1">
      <x:c r="A285" s="131">
        <x:v>281</x:v>
      </x:c>
      <x:c r="B285" s="163"/>
      <x:c r="C285" s="163"/>
      <x:c r="D285" s="163"/>
      <x:c r="E285" s="163"/>
      <x:c r="F285" s="163"/>
      <x:c r="G285" s="162"/>
      <x:c r="H285" s="163"/>
      <x:c r="I285" s="162"/>
      <x:c r="J285" s="163"/>
      <x:c r="K285" s="261" t="str">
        <x:f t="shared" si="4"/>
        <x:v/>
      </x:c>
    </x:row>
    <x:row r="286" ht="30" customHeight="1">
      <x:c r="A286" s="131">
        <x:v>282</x:v>
      </x:c>
      <x:c r="B286" s="163"/>
      <x:c r="C286" s="163"/>
      <x:c r="D286" s="163"/>
      <x:c r="E286" s="163"/>
      <x:c r="F286" s="163"/>
      <x:c r="G286" s="162"/>
      <x:c r="H286" s="163"/>
      <x:c r="I286" s="162"/>
      <x:c r="J286" s="163"/>
      <x:c r="K286" s="261" t="str">
        <x:f t="shared" si="4"/>
        <x:v/>
      </x:c>
    </x:row>
    <x:row r="287" ht="30" customHeight="1">
      <x:c r="A287" s="131">
        <x:v>283</x:v>
      </x:c>
      <x:c r="B287" s="163"/>
      <x:c r="C287" s="163"/>
      <x:c r="D287" s="163"/>
      <x:c r="E287" s="163"/>
      <x:c r="F287" s="163"/>
      <x:c r="G287" s="162"/>
      <x:c r="H287" s="163"/>
      <x:c r="I287" s="162"/>
      <x:c r="J287" s="163"/>
      <x:c r="K287" s="261" t="str">
        <x:f t="shared" si="4"/>
        <x:v/>
      </x:c>
    </x:row>
    <x:row r="288" ht="30" customHeight="1">
      <x:c r="A288" s="131">
        <x:v>284</x:v>
      </x:c>
      <x:c r="B288" s="163"/>
      <x:c r="C288" s="163"/>
      <x:c r="D288" s="163"/>
      <x:c r="E288" s="163"/>
      <x:c r="F288" s="163"/>
      <x:c r="G288" s="162"/>
      <x:c r="H288" s="163"/>
      <x:c r="I288" s="162"/>
      <x:c r="J288" s="163"/>
      <x:c r="K288" s="261" t="str">
        <x:f t="shared" si="4"/>
        <x:v/>
      </x:c>
    </x:row>
    <x:row r="289" ht="30" customHeight="1">
      <x:c r="A289" s="131">
        <x:v>285</x:v>
      </x:c>
      <x:c r="B289" s="163"/>
      <x:c r="C289" s="163"/>
      <x:c r="D289" s="163"/>
      <x:c r="E289" s="163"/>
      <x:c r="F289" s="163"/>
      <x:c r="G289" s="162"/>
      <x:c r="H289" s="163"/>
      <x:c r="I289" s="162"/>
      <x:c r="J289" s="163"/>
      <x:c r="K289" s="261" t="str">
        <x:f t="shared" si="4"/>
        <x:v/>
      </x:c>
    </x:row>
    <x:row r="290" ht="30" customHeight="1">
      <x:c r="A290" s="131">
        <x:v>286</x:v>
      </x:c>
      <x:c r="B290" s="163"/>
      <x:c r="C290" s="163"/>
      <x:c r="D290" s="163"/>
      <x:c r="E290" s="163"/>
      <x:c r="F290" s="163"/>
      <x:c r="G290" s="162"/>
      <x:c r="H290" s="163"/>
      <x:c r="I290" s="162"/>
      <x:c r="J290" s="163"/>
      <x:c r="K290" s="261" t="str">
        <x:f t="shared" si="4"/>
        <x:v/>
      </x:c>
    </x:row>
    <x:row r="291" ht="30" customHeight="1">
      <x:c r="A291" s="131">
        <x:v>287</x:v>
      </x:c>
      <x:c r="B291" s="163"/>
      <x:c r="C291" s="163"/>
      <x:c r="D291" s="163"/>
      <x:c r="E291" s="163"/>
      <x:c r="F291" s="163"/>
      <x:c r="G291" s="162"/>
      <x:c r="H291" s="163"/>
      <x:c r="I291" s="162"/>
      <x:c r="J291" s="163"/>
      <x:c r="K291" s="261" t="str">
        <x:f t="shared" si="4"/>
        <x:v/>
      </x:c>
    </x:row>
    <x:row r="292" ht="30" customHeight="1">
      <x:c r="A292" s="131">
        <x:v>288</x:v>
      </x:c>
      <x:c r="B292" s="163"/>
      <x:c r="C292" s="163"/>
      <x:c r="D292" s="163"/>
      <x:c r="E292" s="163"/>
      <x:c r="F292" s="163"/>
      <x:c r="G292" s="162"/>
      <x:c r="H292" s="163"/>
      <x:c r="I292" s="162"/>
      <x:c r="J292" s="163"/>
      <x:c r="K292" s="261" t="str">
        <x:f t="shared" si="4"/>
        <x:v/>
      </x:c>
    </x:row>
    <x:row r="293" ht="30" customHeight="1">
      <x:c r="A293" s="131">
        <x:v>289</x:v>
      </x:c>
      <x:c r="B293" s="163"/>
      <x:c r="C293" s="163"/>
      <x:c r="D293" s="163"/>
      <x:c r="E293" s="163"/>
      <x:c r="F293" s="163"/>
      <x:c r="G293" s="162"/>
      <x:c r="H293" s="163"/>
      <x:c r="I293" s="162"/>
      <x:c r="J293" s="163"/>
      <x:c r="K293" s="261" t="str">
        <x:f t="shared" si="4"/>
        <x:v/>
      </x:c>
    </x:row>
    <x:row r="294" ht="30" customHeight="1">
      <x:c r="A294" s="131">
        <x:v>290</x:v>
      </x:c>
      <x:c r="B294" s="163"/>
      <x:c r="C294" s="163"/>
      <x:c r="D294" s="163"/>
      <x:c r="E294" s="163"/>
      <x:c r="F294" s="163"/>
      <x:c r="G294" s="162"/>
      <x:c r="H294" s="163"/>
      <x:c r="I294" s="162"/>
      <x:c r="J294" s="163"/>
      <x:c r="K294" s="261" t="str">
        <x:f t="shared" si="4"/>
        <x:v/>
      </x:c>
    </x:row>
    <x:row r="295" ht="30" customHeight="1">
      <x:c r="A295" s="131">
        <x:v>291</x:v>
      </x:c>
      <x:c r="B295" s="163"/>
      <x:c r="C295" s="163"/>
      <x:c r="D295" s="163"/>
      <x:c r="E295" s="163"/>
      <x:c r="F295" s="163"/>
      <x:c r="G295" s="162"/>
      <x:c r="H295" s="163"/>
      <x:c r="I295" s="162"/>
      <x:c r="J295" s="163"/>
      <x:c r="K295" s="261" t="str">
        <x:f t="shared" si="4"/>
        <x:v/>
      </x:c>
    </x:row>
    <x:row r="296" ht="30" customHeight="1">
      <x:c r="A296" s="131">
        <x:v>292</x:v>
      </x:c>
      <x:c r="B296" s="163"/>
      <x:c r="C296" s="163"/>
      <x:c r="D296" s="163"/>
      <x:c r="E296" s="163"/>
      <x:c r="F296" s="163"/>
      <x:c r="G296" s="162"/>
      <x:c r="H296" s="163"/>
      <x:c r="I296" s="162"/>
      <x:c r="J296" s="163"/>
      <x:c r="K296" s="261" t="str">
        <x:f t="shared" si="4"/>
        <x:v/>
      </x:c>
    </x:row>
    <x:row r="297" ht="30" customHeight="1">
      <x:c r="A297" s="131">
        <x:v>293</x:v>
      </x:c>
      <x:c r="B297" s="163"/>
      <x:c r="C297" s="163"/>
      <x:c r="D297" s="163"/>
      <x:c r="E297" s="163"/>
      <x:c r="F297" s="163"/>
      <x:c r="G297" s="162"/>
      <x:c r="H297" s="163"/>
      <x:c r="I297" s="162"/>
      <x:c r="J297" s="163"/>
      <x:c r="K297" s="261" t="str">
        <x:f t="shared" si="4"/>
        <x:v/>
      </x:c>
    </x:row>
    <x:row r="298" ht="30" customHeight="1">
      <x:c r="A298" s="131">
        <x:v>294</x:v>
      </x:c>
      <x:c r="B298" s="163"/>
      <x:c r="C298" s="163"/>
      <x:c r="D298" s="163"/>
      <x:c r="E298" s="163"/>
      <x:c r="F298" s="163"/>
      <x:c r="G298" s="162"/>
      <x:c r="H298" s="163"/>
      <x:c r="I298" s="162"/>
      <x:c r="J298" s="163"/>
      <x:c r="K298" s="261" t="str">
        <x:f t="shared" si="4"/>
        <x:v/>
      </x:c>
    </x:row>
    <x:row r="299" ht="30" customHeight="1">
      <x:c r="A299" s="131">
        <x:v>295</x:v>
      </x:c>
      <x:c r="B299" s="163"/>
      <x:c r="C299" s="163"/>
      <x:c r="D299" s="163"/>
      <x:c r="E299" s="163"/>
      <x:c r="F299" s="163"/>
      <x:c r="G299" s="162"/>
      <x:c r="H299" s="163"/>
      <x:c r="I299" s="162"/>
      <x:c r="J299" s="163"/>
      <x:c r="K299" s="261" t="str">
        <x:f t="shared" si="4"/>
        <x:v/>
      </x:c>
    </x:row>
    <x:row r="300" ht="30" customHeight="1">
      <x:c r="A300" s="131">
        <x:v>296</x:v>
      </x:c>
      <x:c r="B300" s="163"/>
      <x:c r="C300" s="163"/>
      <x:c r="D300" s="163"/>
      <x:c r="E300" s="163"/>
      <x:c r="F300" s="163"/>
      <x:c r="G300" s="162"/>
      <x:c r="H300" s="163"/>
      <x:c r="I300" s="162"/>
      <x:c r="J300" s="163"/>
      <x:c r="K300" s="261" t="str">
        <x:f t="shared" si="4"/>
        <x:v/>
      </x:c>
    </x:row>
    <x:row r="301" ht="30" customHeight="1">
      <x:c r="A301" s="131">
        <x:v>297</x:v>
      </x:c>
      <x:c r="B301" s="163"/>
      <x:c r="C301" s="163"/>
      <x:c r="D301" s="163"/>
      <x:c r="E301" s="163"/>
      <x:c r="F301" s="163"/>
      <x:c r="G301" s="162"/>
      <x:c r="H301" s="163"/>
      <x:c r="I301" s="162"/>
      <x:c r="J301" s="163"/>
      <x:c r="K301" s="261" t="str">
        <x:f t="shared" si="4"/>
        <x:v/>
      </x:c>
    </x:row>
    <x:row r="302" ht="30" customHeight="1">
      <x:c r="A302" s="131">
        <x:v>298</x:v>
      </x:c>
      <x:c r="B302" s="163"/>
      <x:c r="C302" s="163"/>
      <x:c r="D302" s="163"/>
      <x:c r="E302" s="163"/>
      <x:c r="F302" s="163"/>
      <x:c r="G302" s="162"/>
      <x:c r="H302" s="163"/>
      <x:c r="I302" s="162"/>
      <x:c r="J302" s="163"/>
      <x:c r="K302" s="261" t="str">
        <x:f t="shared" si="4"/>
        <x:v/>
      </x:c>
    </x:row>
    <x:row r="303" ht="30" customHeight="1">
      <x:c r="A303" s="131">
        <x:v>299</x:v>
      </x:c>
      <x:c r="B303" s="163"/>
      <x:c r="C303" s="163"/>
      <x:c r="D303" s="163"/>
      <x:c r="E303" s="163"/>
      <x:c r="F303" s="163"/>
      <x:c r="G303" s="162"/>
      <x:c r="H303" s="163"/>
      <x:c r="I303" s="162"/>
      <x:c r="J303" s="163"/>
      <x:c r="K303" s="261" t="str">
        <x:f t="shared" si="4"/>
        <x:v/>
      </x:c>
    </x:row>
    <x:row r="304" ht="30" customHeight="1">
      <x:c r="A304" s="136">
        <x:v>300</x:v>
      </x:c>
      <x:c r="B304" s="166"/>
      <x:c r="C304" s="166"/>
      <x:c r="D304" s="166"/>
      <x:c r="E304" s="166"/>
      <x:c r="F304" s="166"/>
      <x:c r="G304" s="165"/>
      <x:c r="H304" s="166"/>
      <x:c r="I304" s="165"/>
      <x:c r="J304" s="166"/>
      <x:c r="K304" s="264" t="str">
        <x:f t="shared" si="4"/>
        <x:v/>
      </x:c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46"/>
      <x:c r="K305" s="46"/>
    </x:row>
    <x:row r="306">
      <x:c r="A306" s="46"/>
      <x:c r="B306" s="46" t="inlineStr">
        <x:is>
          <x:t>Отправлений без доказательства</x:t>
        </x:is>
      </x:c>
      <x:c r="C306" s="46"/>
      <x:c r="D306" s="46"/>
      <x:c r="E306" s="46"/>
      <x:c r="F306" s="46"/>
      <x:c r="G306" s="46"/>
      <x:c r="H306" s="46"/>
      <x:c r="I306" s="46"/>
      <x:c r="J306" s="46"/>
      <x:c r="K306" s="46">
        <x:f>COUNTIF(K5:K304,"НЕТ ДОКАЗАТЕЛЬСТВА")</x:f>
        <x:v>0</x:v>
      </x:c>
    </x:row>
  </x:sheetData>
  <x:mergeCells>
    <x:mergeCell ref="A2:K2"/>
    <x:mergeCell ref="A1:K1"/>
  </x:mergeCells>
  <x:conditionalFormatting sqref="K5:K304">
    <x:cfRule type="expression" dxfId="2" priority="1">
      <x:formula>$K5="ПЕРЕДАНО"</x:formula>
    </x:cfRule>
    <x:cfRule type="expression" dxfId="3" priority="2">
      <x:formula>OR($K5="НЕ ОТПРАВЛЕНО",$K5="НЕТ ДОКАЗАТЕЛЬСТВА")</x:formula>
    </x:cfRule>
  </x:conditionalFormatting>
  <x:dataValidations xmlns:xr="http://schemas.microsoft.com/office/spreadsheetml/2014/revision" count="1">
    <x:dataValidation type="list" allowBlank="1" errorTitle="Недопустимое значение" error="Выберите значение из списка" sqref="F5:F304" xr:uid="{00000000-0002-0000-0300-000000000000}">
      <x:formula1>"Нарочно с отметкой о получении,Почта: ценное письмо с описью и уведомлением,ЭДО,Электронная почта по договору,Курьерская служба с описью"</x:formula1>
    </x:dataValidation>
  </x:dataValidations>
  <x:pageMargins left="0.75" right="0.75" top="1" bottom="1" header="0.5" footer="0.5"/>
  <x:pageSetup paperSize="9" fitToHeight="0" orientation="landscape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 tabSelected="0"/>
  </x:sheetViews>
  <x:sheetFormatPr defaultRowHeight="14.399999618530273"/>
  <x:cols>
    <x:col min="1" max="1" width="5" customWidth="1"/>
    <x:col min="2" max="2" width="42" hidden="0" customWidth="1"/>
    <x:col min="3" max="3" width="18" customWidth="1"/>
    <x:col min="4" max="4" width="8" customWidth="1"/>
    <x:col min="5" max="5" width="14" customWidth="1"/>
    <x:col min="6" max="7" width="12" customWidth="1"/>
    <x:col min="8" max="8" width="30" customWidth="1"/>
    <x:col min="9" max="9" width="12" hidden="0" customWidth="1"/>
    <x:col min="6" max="6" width="14" hidden="0" customWidth="1"/>
    <x:col min="7" max="7" width="14" hidden="0" customWidth="1"/>
  </x:cols>
  <x:sheetData>
    <x:row r="1" ht="38" customHeight="1">
      <x:c r="A1" s="75" t="inlineStr">
        <x:is>
          <x:t>Реестр приложений к претензии и иску</x:t>
        </x:is>
      </x:c>
      <x:c r="B1" s="76"/>
      <x:c r="C1" s="76"/>
      <x:c r="D1" s="76"/>
      <x:c r="E1" s="76"/>
      <x:c r="F1" s="76"/>
      <x:c r="G1" s="76"/>
      <x:c r="H1" s="76"/>
      <x:c r="I1" s="76"/>
    </x:row>
    <x:row r="2" ht="66" customHeight="1">
      <x:c r="A2" s="89" t="inlineStr">
        <x:is>
          <x:t>Что прикладывается, в каком виде и где лежит. Из этого реестра собирается список приложений претензии (файл 09) и иска (файл 10). Входящие документы заказчика — гарантийное письмо, протокол или соглашение, подписанный им акт сверки, возражения — вносятся сюда же: отдельного реестра входящих нет.</x:t>
        </x:is>
      </x:c>
      <x:c r="B2" s="89"/>
      <x:c r="C2" s="89"/>
      <x:c r="D2" s="89"/>
      <x:c r="E2" s="89"/>
      <x:c r="F2" s="89"/>
      <x:c r="G2" s="89"/>
      <x:c r="H2" s="89"/>
      <x:c r="I2" s="89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</x:row>
    <x:row r="4" ht="48" customHeight="1">
      <x:c r="A4" s="83" t="inlineStr">
        <x:is>
          <x:t>№</x:t>
        </x:is>
      </x:c>
      <x:c r="B4" s="83" t="inlineStr">
        <x:is>
          <x:t>Документ</x:t>
        </x:is>
      </x:c>
      <x:c r="C4" s="83" t="inlineStr">
        <x:is>
          <x:t>№ и дата</x:t>
        </x:is>
      </x:c>
      <x:c r="D4" s="83" t="inlineStr">
        <x:is>
          <x:t>Листов</x:t>
        </x:is>
      </x:c>
      <x:c r="E4" s="83" t="inlineStr">
        <x:is>
          <x:t>Копия / оригинал</x:t>
        </x:is>
      </x:c>
      <x:c r="F4" s="83" t="inlineStr">
        <x:is>
          <x:t>К претензии</x:t>
        </x:is>
      </x:c>
      <x:c r="G4" s="83" t="inlineStr">
        <x:is>
          <x:t>К иску</x:t>
        </x:is>
      </x:c>
      <x:c r="H4" s="83" t="inlineStr">
        <x:is>
          <x:t>Где лежит (папка, файл)</x:t>
        </x:is>
      </x:c>
      <x:c r="I4" s="83" t="inlineStr">
        <x:is>
          <x:t>Есть</x:t>
        </x:is>
      </x:c>
    </x:row>
    <x:row r="5" ht="30" customHeight="1">
      <x:c r="A5" s="126">
        <x:v>1</x:v>
      </x:c>
      <x:c r="B5" s="160" t="inlineStr">
        <x:is>
          <x:t>Договор и дополнительные соглашения</x:t>
        </x:is>
      </x:c>
      <x:c r="C5" s="160"/>
      <x:c r="D5" s="160"/>
      <x:c r="E5" s="160"/>
      <x:c r="F5" s="160"/>
      <x:c r="G5" s="160"/>
      <x:c r="H5" s="160"/>
      <x:c r="I5" s="177"/>
    </x:row>
    <x:row r="6" ht="30" customHeight="1">
      <x:c r="A6" s="131">
        <x:v>2</x:v>
      </x:c>
      <x:c r="B6" s="163" t="inlineStr">
        <x:is>
          <x:t>Акты КС-2 / акты выполненных работ</x:t>
        </x:is>
      </x:c>
      <x:c r="C6" s="163"/>
      <x:c r="D6" s="163"/>
      <x:c r="E6" s="163"/>
      <x:c r="F6" s="163"/>
      <x:c r="G6" s="163"/>
      <x:c r="H6" s="163"/>
      <x:c r="I6" s="178"/>
    </x:row>
    <x:row r="7" ht="30" customHeight="1">
      <x:c r="A7" s="131">
        <x:v>3</x:v>
      </x:c>
      <x:c r="B7" s="163" t="inlineStr">
        <x:is>
          <x:t>Справки КС-3</x:t>
        </x:is>
      </x:c>
      <x:c r="C7" s="163"/>
      <x:c r="D7" s="163"/>
      <x:c r="E7" s="163"/>
      <x:c r="F7" s="163"/>
      <x:c r="G7" s="163"/>
      <x:c r="H7" s="163"/>
      <x:c r="I7" s="178"/>
    </x:row>
    <x:row r="8" ht="30" customHeight="1">
      <x:c r="A8" s="131">
        <x:v>4</x:v>
      </x:c>
      <x:c r="B8" s="163" t="inlineStr">
        <x:is>
          <x:t>Доказательства передачи актов</x:t>
        </x:is>
      </x:c>
      <x:c r="C8" s="163"/>
      <x:c r="D8" s="163"/>
      <x:c r="E8" s="163"/>
      <x:c r="F8" s="163"/>
      <x:c r="G8" s="163"/>
      <x:c r="H8" s="163"/>
      <x:c r="I8" s="178"/>
    </x:row>
    <x:row r="9" ht="30" customHeight="1">
      <x:c r="A9" s="131">
        <x:v>5</x:v>
      </x:c>
      <x:c r="B9" s="163" t="inlineStr">
        <x:is>
          <x:t>Переписка с заказчиком об оплате</x:t>
        </x:is>
      </x:c>
      <x:c r="C9" s="163"/>
      <x:c r="D9" s="163"/>
      <x:c r="E9" s="163"/>
      <x:c r="F9" s="163"/>
      <x:c r="G9" s="163"/>
      <x:c r="H9" s="163"/>
      <x:c r="I9" s="178"/>
    </x:row>
    <x:row r="10" ht="30" customHeight="1">
      <x:c r="A10" s="131">
        <x:v>6</x:v>
      </x:c>
      <x:c r="B10" s="163" t="inlineStr">
        <x:is>
          <x:t>Реестр взаиморасчётов / акт сверки</x:t>
        </x:is>
      </x:c>
      <x:c r="C10" s="163"/>
      <x:c r="D10" s="163"/>
      <x:c r="E10" s="163"/>
      <x:c r="F10" s="163"/>
      <x:c r="G10" s="163"/>
      <x:c r="H10" s="163"/>
      <x:c r="I10" s="178"/>
    </x:row>
    <x:row r="11" ht="30" customHeight="1">
      <x:c r="A11" s="131">
        <x:v>7</x:v>
      </x:c>
      <x:c r="B11" s="163" t="inlineStr">
        <x:is>
          <x:t>Платёжные поручения</x:t>
        </x:is>
      </x:c>
      <x:c r="C11" s="163"/>
      <x:c r="D11" s="163"/>
      <x:c r="E11" s="163"/>
      <x:c r="F11" s="163"/>
      <x:c r="G11" s="163"/>
      <x:c r="H11" s="163"/>
      <x:c r="I11" s="178"/>
    </x:row>
    <x:row r="12" ht="30" customHeight="1">
      <x:c r="A12" s="131">
        <x:v>8</x:v>
      </x:c>
      <x:c r="B12" s="163" t="inlineStr">
        <x:is>
          <x:t>Расчёт процентов по ст. 395 ГК РФ</x:t>
        </x:is>
      </x:c>
      <x:c r="C12" s="163"/>
      <x:c r="D12" s="163"/>
      <x:c r="E12" s="163"/>
      <x:c r="F12" s="163"/>
      <x:c r="G12" s="163"/>
      <x:c r="H12" s="163"/>
      <x:c r="I12" s="178"/>
    </x:row>
    <x:row r="13" ht="30" customHeight="1">
      <x:c r="A13" s="131">
        <x:v>9</x:v>
      </x:c>
      <x:c r="B13" s="163" t="inlineStr">
        <x:is>
          <x:t>Претензия и доказательство её направления</x:t>
        </x:is>
      </x:c>
      <x:c r="C13" s="163"/>
      <x:c r="D13" s="163"/>
      <x:c r="E13" s="163"/>
      <x:c r="F13" s="163"/>
      <x:c r="G13" s="163"/>
      <x:c r="H13" s="163"/>
      <x:c r="I13" s="178"/>
    </x:row>
    <x:row r="14" ht="30" customHeight="1">
      <x:c r="A14" s="131">
        <x:v>10</x:v>
      </x:c>
      <x:c r="B14" s="163" t="inlineStr">
        <x:is>
          <x:t>Выписка ЕГРЮЛ на истца</x:t>
        </x:is>
      </x:c>
      <x:c r="C14" s="163"/>
      <x:c r="D14" s="163"/>
      <x:c r="E14" s="163"/>
      <x:c r="F14" s="163"/>
      <x:c r="G14" s="163"/>
      <x:c r="H14" s="163"/>
      <x:c r="I14" s="178"/>
    </x:row>
    <x:row r="15" ht="30" customHeight="1">
      <x:c r="A15" s="131">
        <x:v>11</x:v>
      </x:c>
      <x:c r="B15" s="163" t="inlineStr">
        <x:is>
          <x:t>Выписка ЕГРЮЛ на ответчика</x:t>
        </x:is>
      </x:c>
      <x:c r="C15" s="163"/>
      <x:c r="D15" s="163"/>
      <x:c r="E15" s="163"/>
      <x:c r="F15" s="163"/>
      <x:c r="G15" s="163"/>
      <x:c r="H15" s="163"/>
      <x:c r="I15" s="178"/>
    </x:row>
    <x:row r="16" ht="30" customHeight="1">
      <x:c r="A16" s="131">
        <x:v>12</x:v>
      </x:c>
      <x:c r="B16" s="163" t="inlineStr">
        <x:is>
          <x:t>Документ об уплате государственной пошлины</x:t>
        </x:is>
      </x:c>
      <x:c r="C16" s="163"/>
      <x:c r="D16" s="163"/>
      <x:c r="E16" s="163"/>
      <x:c r="F16" s="163"/>
      <x:c r="G16" s="163"/>
      <x:c r="H16" s="163"/>
      <x:c r="I16" s="178"/>
    </x:row>
    <x:row r="17" ht="30" customHeight="1">
      <x:c r="A17" s="131">
        <x:v>13</x:v>
      </x:c>
      <x:c r="B17" s="163" t="inlineStr">
        <x:is>
          <x:t>Доказательство направления иска ответчику</x:t>
        </x:is>
      </x:c>
      <x:c r="C17" s="163"/>
      <x:c r="D17" s="163"/>
      <x:c r="E17" s="163"/>
      <x:c r="F17" s="163"/>
      <x:c r="G17" s="163"/>
      <x:c r="H17" s="163"/>
      <x:c r="I17" s="178"/>
    </x:row>
    <x:row r="18" ht="30" customHeight="1">
      <x:c r="A18" s="131">
        <x:v>14</x:v>
      </x:c>
      <x:c r="B18" s="163" t="inlineStr">
        <x:is>
          <x:t>Доверенность представителя</x:t>
        </x:is>
      </x:c>
      <x:c r="C18" s="163"/>
      <x:c r="D18" s="163"/>
      <x:c r="E18" s="163"/>
      <x:c r="F18" s="163"/>
      <x:c r="G18" s="163"/>
      <x:c r="H18" s="163"/>
      <x:c r="I18" s="178"/>
    </x:row>
    <x:row r="19" ht="30" customHeight="1">
      <x:c r="A19" s="131">
        <x:v>15</x:v>
      </x:c>
      <x:c r="B19" s="163" t="inlineStr">
        <x:is>
          <x:t>Гарантийное письмо заказчика</x:t>
        </x:is>
      </x:c>
      <x:c r="C19" s="163"/>
      <x:c r="D19" s="163"/>
      <x:c r="E19" s="163"/>
      <x:c r="F19" s="163"/>
      <x:c r="G19" s="163"/>
      <x:c r="H19" s="163"/>
      <x:c r="I19" s="178"/>
    </x:row>
    <x:row r="20" ht="30" customHeight="1">
      <x:c r="A20" s="131">
        <x:v>16</x:v>
      </x:c>
      <x:c r="B20" s="163" t="inlineStr">
        <x:is>
          <x:t>Протокол переговоров / соглашение</x:t>
        </x:is>
      </x:c>
      <x:c r="C20" s="163"/>
      <x:c r="D20" s="163"/>
      <x:c r="E20" s="163"/>
      <x:c r="F20" s="163"/>
      <x:c r="G20" s="163"/>
      <x:c r="H20" s="163"/>
      <x:c r="I20" s="178"/>
    </x:row>
    <x:row r="21" ht="30" customHeight="1">
      <x:c r="A21" s="131">
        <x:v>17</x:v>
      </x:c>
      <x:c r="B21" s="163" t="inlineStr">
        <x:is>
          <x:t>Акт сверки, подписанный Заказчиком</x:t>
        </x:is>
      </x:c>
      <x:c r="C21" s="163"/>
      <x:c r="D21" s="163"/>
      <x:c r="E21" s="163"/>
      <x:c r="F21" s="163"/>
      <x:c r="G21" s="163"/>
      <x:c r="H21" s="163"/>
      <x:c r="I21" s="178"/>
    </x:row>
    <x:row r="22" ht="30" customHeight="1">
      <x:c r="A22" s="131">
        <x:v>18</x:v>
      </x:c>
      <x:c r="B22" s="163" t="inlineStr">
        <x:is>
          <x:t>Возражения Заказчика</x:t>
        </x:is>
      </x:c>
      <x:c r="C22" s="163"/>
      <x:c r="D22" s="163"/>
      <x:c r="E22" s="163"/>
      <x:c r="F22" s="163"/>
      <x:c r="G22" s="163"/>
      <x:c r="H22" s="163"/>
      <x:c r="I22" s="178"/>
    </x:row>
    <x:row r="23" ht="30" customHeight="1">
      <x:c r="A23" s="131">
        <x:v>19</x:v>
      </x:c>
      <x:c r="B23" s="163"/>
      <x:c r="C23" s="163"/>
      <x:c r="D23" s="163"/>
      <x:c r="E23" s="163"/>
      <x:c r="F23" s="163"/>
      <x:c r="G23" s="163"/>
      <x:c r="H23" s="163"/>
      <x:c r="I23" s="178"/>
    </x:row>
    <x:row r="24" ht="30" customHeight="1">
      <x:c r="A24" s="131">
        <x:v>20</x:v>
      </x:c>
      <x:c r="B24" s="163"/>
      <x:c r="C24" s="163"/>
      <x:c r="D24" s="163"/>
      <x:c r="E24" s="163"/>
      <x:c r="F24" s="163"/>
      <x:c r="G24" s="163"/>
      <x:c r="H24" s="163"/>
      <x:c r="I24" s="178"/>
    </x:row>
    <x:row r="25" ht="30" customHeight="1">
      <x:c r="A25" s="131">
        <x:v>21</x:v>
      </x:c>
      <x:c r="B25" s="163"/>
      <x:c r="C25" s="163"/>
      <x:c r="D25" s="163"/>
      <x:c r="E25" s="163"/>
      <x:c r="F25" s="163"/>
      <x:c r="G25" s="163"/>
      <x:c r="H25" s="163"/>
      <x:c r="I25" s="178"/>
    </x:row>
    <x:row r="26" ht="30" customHeight="1">
      <x:c r="A26" s="131">
        <x:v>22</x:v>
      </x:c>
      <x:c r="B26" s="163"/>
      <x:c r="C26" s="163"/>
      <x:c r="D26" s="163"/>
      <x:c r="E26" s="163"/>
      <x:c r="F26" s="163"/>
      <x:c r="G26" s="163"/>
      <x:c r="H26" s="163"/>
      <x:c r="I26" s="178"/>
    </x:row>
    <x:row r="27" ht="30" customHeight="1">
      <x:c r="A27" s="131">
        <x:v>23</x:v>
      </x:c>
      <x:c r="B27" s="163"/>
      <x:c r="C27" s="163"/>
      <x:c r="D27" s="163"/>
      <x:c r="E27" s="163"/>
      <x:c r="F27" s="163"/>
      <x:c r="G27" s="163"/>
      <x:c r="H27" s="163"/>
      <x:c r="I27" s="178"/>
    </x:row>
    <x:row r="28" ht="30" customHeight="1">
      <x:c r="A28" s="131">
        <x:v>24</x:v>
      </x:c>
      <x:c r="B28" s="163"/>
      <x:c r="C28" s="163"/>
      <x:c r="D28" s="163"/>
      <x:c r="E28" s="163"/>
      <x:c r="F28" s="163"/>
      <x:c r="G28" s="163"/>
      <x:c r="H28" s="163"/>
      <x:c r="I28" s="178"/>
    </x:row>
    <x:row r="29" ht="30" customHeight="1">
      <x:c r="A29" s="131">
        <x:v>25</x:v>
      </x:c>
      <x:c r="B29" s="163"/>
      <x:c r="C29" s="163"/>
      <x:c r="D29" s="163"/>
      <x:c r="E29" s="163"/>
      <x:c r="F29" s="163"/>
      <x:c r="G29" s="163"/>
      <x:c r="H29" s="163"/>
      <x:c r="I29" s="178"/>
    </x:row>
    <x:row r="30" ht="30" customHeight="1">
      <x:c r="A30" s="131">
        <x:v>26</x:v>
      </x:c>
      <x:c r="B30" s="163"/>
      <x:c r="C30" s="163"/>
      <x:c r="D30" s="163"/>
      <x:c r="E30" s="163"/>
      <x:c r="F30" s="163"/>
      <x:c r="G30" s="163"/>
      <x:c r="H30" s="163"/>
      <x:c r="I30" s="178"/>
    </x:row>
    <x:row r="31" ht="30" customHeight="1">
      <x:c r="A31" s="131">
        <x:v>27</x:v>
      </x:c>
      <x:c r="B31" s="163"/>
      <x:c r="C31" s="163"/>
      <x:c r="D31" s="163"/>
      <x:c r="E31" s="163"/>
      <x:c r="F31" s="163"/>
      <x:c r="G31" s="163"/>
      <x:c r="H31" s="163"/>
      <x:c r="I31" s="178"/>
    </x:row>
    <x:row r="32" ht="30" customHeight="1">
      <x:c r="A32" s="131">
        <x:v>28</x:v>
      </x:c>
      <x:c r="B32" s="163"/>
      <x:c r="C32" s="163"/>
      <x:c r="D32" s="163"/>
      <x:c r="E32" s="163"/>
      <x:c r="F32" s="163"/>
      <x:c r="G32" s="163"/>
      <x:c r="H32" s="163"/>
      <x:c r="I32" s="178"/>
    </x:row>
    <x:row r="33" ht="30" customHeight="1">
      <x:c r="A33" s="131">
        <x:v>29</x:v>
      </x:c>
      <x:c r="B33" s="163"/>
      <x:c r="C33" s="163"/>
      <x:c r="D33" s="163"/>
      <x:c r="E33" s="163"/>
      <x:c r="F33" s="163"/>
      <x:c r="G33" s="163"/>
      <x:c r="H33" s="163"/>
      <x:c r="I33" s="178"/>
    </x:row>
    <x:row r="34" ht="30" customHeight="1">
      <x:c r="A34" s="131">
        <x:v>30</x:v>
      </x:c>
      <x:c r="B34" s="163"/>
      <x:c r="C34" s="163"/>
      <x:c r="D34" s="163"/>
      <x:c r="E34" s="163"/>
      <x:c r="F34" s="163"/>
      <x:c r="G34" s="163"/>
      <x:c r="H34" s="163"/>
      <x:c r="I34" s="178"/>
    </x:row>
    <x:row r="35" ht="30" customHeight="1">
      <x:c r="A35" s="131">
        <x:v>31</x:v>
      </x:c>
      <x:c r="B35" s="163"/>
      <x:c r="C35" s="163"/>
      <x:c r="D35" s="163"/>
      <x:c r="E35" s="163"/>
      <x:c r="F35" s="163"/>
      <x:c r="G35" s="163"/>
      <x:c r="H35" s="163"/>
      <x:c r="I35" s="178"/>
    </x:row>
    <x:row r="36" ht="30" customHeight="1">
      <x:c r="A36" s="131">
        <x:v>32</x:v>
      </x:c>
      <x:c r="B36" s="163"/>
      <x:c r="C36" s="163"/>
      <x:c r="D36" s="163"/>
      <x:c r="E36" s="163"/>
      <x:c r="F36" s="163"/>
      <x:c r="G36" s="163"/>
      <x:c r="H36" s="163"/>
      <x:c r="I36" s="178"/>
    </x:row>
    <x:row r="37" ht="30" customHeight="1">
      <x:c r="A37" s="131">
        <x:v>33</x:v>
      </x:c>
      <x:c r="B37" s="163"/>
      <x:c r="C37" s="163"/>
      <x:c r="D37" s="163"/>
      <x:c r="E37" s="163"/>
      <x:c r="F37" s="163"/>
      <x:c r="G37" s="163"/>
      <x:c r="H37" s="163"/>
      <x:c r="I37" s="178"/>
    </x:row>
    <x:row r="38" ht="30" customHeight="1">
      <x:c r="A38" s="131">
        <x:v>34</x:v>
      </x:c>
      <x:c r="B38" s="163"/>
      <x:c r="C38" s="163"/>
      <x:c r="D38" s="163"/>
      <x:c r="E38" s="163"/>
      <x:c r="F38" s="163"/>
      <x:c r="G38" s="163"/>
      <x:c r="H38" s="163"/>
      <x:c r="I38" s="178"/>
    </x:row>
    <x:row r="39" ht="30" customHeight="1">
      <x:c r="A39" s="131">
        <x:v>35</x:v>
      </x:c>
      <x:c r="B39" s="163"/>
      <x:c r="C39" s="163"/>
      <x:c r="D39" s="163"/>
      <x:c r="E39" s="163"/>
      <x:c r="F39" s="163"/>
      <x:c r="G39" s="163"/>
      <x:c r="H39" s="163"/>
      <x:c r="I39" s="178"/>
    </x:row>
    <x:row r="40" ht="30" customHeight="1">
      <x:c r="A40" s="131">
        <x:v>36</x:v>
      </x:c>
      <x:c r="B40" s="163"/>
      <x:c r="C40" s="163"/>
      <x:c r="D40" s="163"/>
      <x:c r="E40" s="163"/>
      <x:c r="F40" s="163"/>
      <x:c r="G40" s="163"/>
      <x:c r="H40" s="163"/>
      <x:c r="I40" s="178"/>
    </x:row>
    <x:row r="41" ht="30" customHeight="1">
      <x:c r="A41" s="131">
        <x:v>37</x:v>
      </x:c>
      <x:c r="B41" s="163"/>
      <x:c r="C41" s="163"/>
      <x:c r="D41" s="163"/>
      <x:c r="E41" s="163"/>
      <x:c r="F41" s="163"/>
      <x:c r="G41" s="163"/>
      <x:c r="H41" s="163"/>
      <x:c r="I41" s="178"/>
    </x:row>
    <x:row r="42" ht="30" customHeight="1">
      <x:c r="A42" s="131">
        <x:v>38</x:v>
      </x:c>
      <x:c r="B42" s="163"/>
      <x:c r="C42" s="163"/>
      <x:c r="D42" s="163"/>
      <x:c r="E42" s="163"/>
      <x:c r="F42" s="163"/>
      <x:c r="G42" s="163"/>
      <x:c r="H42" s="163"/>
      <x:c r="I42" s="178"/>
    </x:row>
    <x:row r="43" ht="30" customHeight="1">
      <x:c r="A43" s="131">
        <x:v>39</x:v>
      </x:c>
      <x:c r="B43" s="163"/>
      <x:c r="C43" s="163"/>
      <x:c r="D43" s="163"/>
      <x:c r="E43" s="163"/>
      <x:c r="F43" s="163"/>
      <x:c r="G43" s="163"/>
      <x:c r="H43" s="163"/>
      <x:c r="I43" s="178"/>
    </x:row>
    <x:row r="44" ht="30" customHeight="1">
      <x:c r="A44" s="131">
        <x:v>40</x:v>
      </x:c>
      <x:c r="B44" s="163"/>
      <x:c r="C44" s="163"/>
      <x:c r="D44" s="163"/>
      <x:c r="E44" s="163"/>
      <x:c r="F44" s="163"/>
      <x:c r="G44" s="163"/>
      <x:c r="H44" s="163"/>
      <x:c r="I44" s="178"/>
    </x:row>
    <x:row r="45" ht="30" customHeight="1">
      <x:c r="A45" s="131">
        <x:v>41</x:v>
      </x:c>
      <x:c r="B45" s="163"/>
      <x:c r="C45" s="163"/>
      <x:c r="D45" s="163"/>
      <x:c r="E45" s="163"/>
      <x:c r="F45" s="163"/>
      <x:c r="G45" s="163"/>
      <x:c r="H45" s="163"/>
      <x:c r="I45" s="178"/>
    </x:row>
    <x:row r="46" ht="30" customHeight="1">
      <x:c r="A46" s="131">
        <x:v>42</x:v>
      </x:c>
      <x:c r="B46" s="163"/>
      <x:c r="C46" s="163"/>
      <x:c r="D46" s="163"/>
      <x:c r="E46" s="163"/>
      <x:c r="F46" s="163"/>
      <x:c r="G46" s="163"/>
      <x:c r="H46" s="163"/>
      <x:c r="I46" s="178"/>
    </x:row>
    <x:row r="47" ht="30" customHeight="1">
      <x:c r="A47" s="131">
        <x:v>43</x:v>
      </x:c>
      <x:c r="B47" s="163"/>
      <x:c r="C47" s="163"/>
      <x:c r="D47" s="163"/>
      <x:c r="E47" s="163"/>
      <x:c r="F47" s="163"/>
      <x:c r="G47" s="163"/>
      <x:c r="H47" s="163"/>
      <x:c r="I47" s="178"/>
    </x:row>
    <x:row r="48" ht="30" customHeight="1">
      <x:c r="A48" s="131">
        <x:v>44</x:v>
      </x:c>
      <x:c r="B48" s="163"/>
      <x:c r="C48" s="163"/>
      <x:c r="D48" s="163"/>
      <x:c r="E48" s="163"/>
      <x:c r="F48" s="163"/>
      <x:c r="G48" s="163"/>
      <x:c r="H48" s="163"/>
      <x:c r="I48" s="178"/>
    </x:row>
    <x:row r="49" ht="30" customHeight="1">
      <x:c r="A49" s="131">
        <x:v>45</x:v>
      </x:c>
      <x:c r="B49" s="163"/>
      <x:c r="C49" s="163"/>
      <x:c r="D49" s="163"/>
      <x:c r="E49" s="163"/>
      <x:c r="F49" s="163"/>
      <x:c r="G49" s="163"/>
      <x:c r="H49" s="163"/>
      <x:c r="I49" s="178"/>
    </x:row>
    <x:row r="50" ht="30" customHeight="1">
      <x:c r="A50" s="131">
        <x:v>46</x:v>
      </x:c>
      <x:c r="B50" s="163"/>
      <x:c r="C50" s="163"/>
      <x:c r="D50" s="163"/>
      <x:c r="E50" s="163"/>
      <x:c r="F50" s="163"/>
      <x:c r="G50" s="163"/>
      <x:c r="H50" s="163"/>
      <x:c r="I50" s="178"/>
    </x:row>
    <x:row r="51" ht="30" customHeight="1">
      <x:c r="A51" s="131">
        <x:v>47</x:v>
      </x:c>
      <x:c r="B51" s="163"/>
      <x:c r="C51" s="163"/>
      <x:c r="D51" s="163"/>
      <x:c r="E51" s="163"/>
      <x:c r="F51" s="163"/>
      <x:c r="G51" s="163"/>
      <x:c r="H51" s="163"/>
      <x:c r="I51" s="178"/>
    </x:row>
    <x:row r="52" ht="30" customHeight="1">
      <x:c r="A52" s="131">
        <x:v>48</x:v>
      </x:c>
      <x:c r="B52" s="163"/>
      <x:c r="C52" s="163"/>
      <x:c r="D52" s="163"/>
      <x:c r="E52" s="163"/>
      <x:c r="F52" s="163"/>
      <x:c r="G52" s="163"/>
      <x:c r="H52" s="163"/>
      <x:c r="I52" s="178"/>
    </x:row>
    <x:row r="53" ht="30" customHeight="1">
      <x:c r="A53" s="131">
        <x:v>49</x:v>
      </x:c>
      <x:c r="B53" s="163"/>
      <x:c r="C53" s="163"/>
      <x:c r="D53" s="163"/>
      <x:c r="E53" s="163"/>
      <x:c r="F53" s="163"/>
      <x:c r="G53" s="163"/>
      <x:c r="H53" s="163"/>
      <x:c r="I53" s="178"/>
    </x:row>
    <x:row r="54" ht="30" customHeight="1">
      <x:c r="A54" s="136">
        <x:v>50</x:v>
      </x:c>
      <x:c r="B54" s="166"/>
      <x:c r="C54" s="166"/>
      <x:c r="D54" s="166"/>
      <x:c r="E54" s="166"/>
      <x:c r="F54" s="166"/>
      <x:c r="G54" s="166"/>
      <x:c r="H54" s="166"/>
      <x:c r="I54" s="179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</x:row>
    <x:row r="56">
      <x:c r="A56" s="46"/>
      <x:c r="B56" s="46" t="inlineStr">
        <x:is>
          <x:t>Нужно к иску, но нет</x:t>
        </x:is>
      </x:c>
      <x:c r="C56" s="46"/>
      <x:c r="D56" s="46"/>
      <x:c r="E56" s="46"/>
      <x:c r="F56" s="46"/>
      <x:c r="G56" s="46"/>
      <x:c r="H56" s="46"/>
      <x:c r="I56" s="46">
        <x:f>COUNTIFS(G5:G54,"Да",I5:I54,"&lt;&gt;Да")</x:f>
        <x:v>0</x:v>
      </x:c>
    </x:row>
  </x:sheetData>
  <x:mergeCells>
    <x:mergeCell ref="A1:I1"/>
    <x:mergeCell ref="A2:I2"/>
  </x:mergeCells>
  <x:dataValidations xmlns:xr="http://schemas.microsoft.com/office/spreadsheetml/2014/revision" count="2">
    <x:dataValidation type="list" allowBlank="1" errorTitle="Недопустимое значение" error="Выберите значение из списка" sqref="E5:E54" xr:uid="{00000000-0002-0000-0400-000000000000}">
      <x:formula1>"Копия,Оригинал,Электронный образ"</x:formula1>
    </x:dataValidation>
    <x:dataValidation type="list" allowBlank="1" errorTitle="Недопустимое значение" error="Выберите значение из списка" sqref="F5:G54 I5:I54" xr:uid="{00000000-0002-0000-0400-000001000000}">
      <x:formula1>"Да,Нет"</x:formula1>
    </x:dataValidation>
  </x:dataValidations>
  <x:pageMargins left="0.75" right="0.75" top="1" bottom="1" header="0.5" footer="0.5"/>
  <x:pageSetup paperSize="9" fitToHeight="0" orientation="landscape"/>
</x:worksheet>
</file>

<file path=xl/worksheets/sheet6.xml><?xml version="1.0" encoding="utf-8"?>
<x:worksheet xmlns:x="http://schemas.openxmlformats.org/spreadsheetml/2006/main">
  <x:sheetViews>
    <x:sheetView showGridLines="0" workbookViewId="0" tabSelected="1" topLeftCell="A1" zoomScale="90">
      <x:selection activeCell="B3" sqref="B3"/>
    </x:sheetView>
  </x:sheetViews>
  <x:sheetFormatPr defaultRowHeight="15"/>
  <x:cols>
    <x:col min="1" max="1" width="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3" hidden="0" customWidth="1"/>
  </x:cols>
  <x:sheetData>
    <x:row r="1" ht="22" customHeight="1">
      <x:c r="A1" s="359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  <x:c r="N1" s="363"/>
      <x:c r="O1" s="363"/>
      <x:c r="P1" s="359"/>
    </x:row>
    <x:row r="2" ht="22" customHeight="1">
      <x:c r="A2" s="359"/>
      <x:c r="B2" s="365" t="str">
        <x:v>МАРЖА В БЕТОНЕ</x:v>
      </x:c>
      <x:c r="C2" s="365"/>
      <x:c r="D2" s="365"/>
      <x:c r="E2" s="365"/>
      <x:c r="F2" s="365"/>
      <x:c r="G2" s="365"/>
      <x:c r="H2" s="365"/>
      <x:c r="I2" s="365"/>
      <x:c r="J2" s="365"/>
      <x:c r="K2" s="368" t="str">
        <x:v>ИНСТРУМЕНТ 04  /  УЧЁТ</x:v>
      </x:c>
      <x:c r="L2" s="368"/>
      <x:c r="M2" s="368"/>
      <x:c r="N2" s="368"/>
      <x:c r="O2" s="368"/>
      <x:c r="P2" s="359"/>
    </x:row>
    <x:row r="3" ht="41" customHeight="1">
      <x:c r="A3" s="359"/>
      <x:c r="B3" s="371" t="str">
        <x:v>Взаиморасчёты под контролем</x:v>
      </x:c>
      <x:c r="C3" s="371"/>
      <x:c r="D3" s="371"/>
      <x:c r="E3" s="371"/>
      <x:c r="F3" s="371"/>
      <x:c r="G3" s="371"/>
      <x:c r="H3" s="371"/>
      <x:c r="I3" s="371"/>
      <x:c r="J3" s="371"/>
      <x:c r="K3" s="371"/>
      <x:c r="L3" s="371"/>
      <x:c r="M3" s="371"/>
      <x:c r="N3" s="371"/>
      <x:c r="O3" s="371"/>
      <x:c r="P3" s="359"/>
    </x:row>
    <x:row r="4" ht="22" customHeight="1">
      <x:c r="A4" s="359"/>
      <x:c r="B4" s="373" t="str">
        <x:v>Сводка задолженности • Проверки заполнения • Документы и доказательства</x:v>
      </x:c>
      <x:c r="C4" s="373"/>
      <x:c r="D4" s="373"/>
      <x:c r="E4" s="373"/>
      <x:c r="F4" s="373"/>
      <x:c r="G4" s="373"/>
      <x:c r="H4" s="373"/>
      <x:c r="I4" s="373"/>
      <x:c r="J4" s="373"/>
      <x:c r="K4" s="373"/>
      <x:c r="L4" s="373"/>
      <x:c r="M4" s="373"/>
      <x:c r="N4" s="373"/>
      <x:c r="O4" s="373"/>
      <x:c r="P4" s="359"/>
    </x:row>
    <x:row r="5" ht="4" customHeight="1">
      <x:c r="A5" s="359"/>
      <x:c r="B5" s="375"/>
      <x:c r="C5" s="375"/>
      <x:c r="D5" s="375"/>
      <x:c r="E5" s="375"/>
      <x:c r="F5" s="375"/>
      <x:c r="G5" s="375"/>
      <x:c r="H5" s="375"/>
      <x:c r="I5" s="375"/>
      <x:c r="J5" s="375"/>
      <x:c r="K5" s="375"/>
      <x:c r="L5" s="375"/>
      <x:c r="M5" s="375"/>
      <x:c r="N5" s="375"/>
      <x:c r="O5" s="375"/>
      <x:c r="P5" s="359"/>
    </x:row>
    <x:row r="6" ht="13" customHeight="1">
      <x:c r="A6" s="359"/>
      <x:c r="B6" s="359"/>
      <x:c r="C6" s="359"/>
      <x:c r="D6" s="359"/>
      <x:c r="E6" s="359"/>
      <x:c r="F6" s="359"/>
      <x:c r="G6" s="359"/>
      <x:c r="H6" s="359"/>
      <x:c r="I6" s="359"/>
      <x:c r="J6" s="359"/>
      <x:c r="K6" s="359"/>
      <x:c r="L6" s="359"/>
      <x:c r="M6" s="359"/>
      <x:c r="N6" s="359"/>
      <x:c r="O6" s="359"/>
      <x:c r="P6" s="359"/>
    </x:row>
    <x:row r="7" ht="22" customHeight="1">
      <x:c r="A7" s="359"/>
      <x:c r="B7" s="377" t="str">
        <x:f>IF('Акт сверки'!C7="","ДОГОВОР  /  реквизиты заполняются на листе «Акт сверки»","ДОГОВОР  /  "&amp;'Акт сверки'!C7)</x:f>
        <x:v>ДОГОВОР  /  реквизиты заполняются на листе «Акт сверки»</x:v>
      </x:c>
      <x:c r="C7" s="377"/>
      <x:c r="D7" s="377"/>
      <x:c r="E7" s="377"/>
      <x:c r="F7" s="377"/>
      <x:c r="G7" s="377"/>
      <x:c r="H7" s="377"/>
      <x:c r="I7" s="377"/>
      <x:c r="J7" s="377"/>
      <x:c r="K7" s="377"/>
      <x:c r="L7" s="377"/>
      <x:c r="M7" s="377"/>
      <x:c r="N7" s="377"/>
      <x:c r="O7" s="377"/>
      <x:c r="P7" s="359"/>
    </x:row>
    <x:row r="8" ht="22" customHeight="1">
      <x:c r="A8" s="359"/>
      <x:c r="B8" s="359"/>
      <x:c r="C8" s="359"/>
      <x:c r="D8" s="359"/>
      <x:c r="E8" s="359"/>
      <x:c r="F8" s="359"/>
      <x:c r="G8" s="359"/>
      <x:c r="H8" s="359"/>
      <x:c r="I8" s="359"/>
      <x:c r="J8" s="359"/>
      <x:c r="K8" s="359"/>
      <x:c r="L8" s="359"/>
      <x:c r="M8" s="359"/>
      <x:c r="N8" s="359"/>
      <x:c r="O8" s="359"/>
      <x:c r="P8" s="359"/>
    </x:row>
    <x:row r="9" ht="29" customHeight="1">
      <x:c r="A9" s="359"/>
      <x:c r="B9" s="381" t="str">
        <x:v>Общий долг, руб.</x:v>
      </x:c>
      <x:c r="C9" s="381"/>
      <x:c r="D9" s="381"/>
      <x:c r="E9" s="381"/>
      <x:c r="F9" s="359"/>
      <x:c r="G9" s="381" t="str">
        <x:v>Спорная часть, руб.</x:v>
      </x:c>
      <x:c r="H9" s="381"/>
      <x:c r="I9" s="381"/>
      <x:c r="J9" s="381"/>
      <x:c r="K9" s="359"/>
      <x:c r="L9" s="381" t="str">
        <x:v>Бесспорная часть, руб.</x:v>
      </x:c>
      <x:c r="M9" s="381"/>
      <x:c r="N9" s="381"/>
      <x:c r="O9" s="381"/>
      <x:c r="P9" s="359"/>
    </x:row>
    <x:row r="10" ht="24" customHeight="1">
      <x:c r="A10" s="359"/>
      <x:c r="B10" s="385" t="str">
        <x:f>IF(NOT(ISNUMBER('Взаиморасчёты'!$M$10)),"Расчёт заблокирован",IF(COUNTA('Взаиморасчёты'!$B$5:$F$504)=0,"Нет данных",'Взаиморасчёты'!$M$10))</x:f>
        <x:v>Нет данных</x:v>
      </x:c>
      <x:c r="C10" s="385"/>
      <x:c r="D10" s="385"/>
      <x:c r="E10" s="385"/>
      <x:c r="F10" s="359"/>
      <x:c r="G10" s="385" t="str">
        <x:f>IF(NOT(ISNUMBER('Взаиморасчёты'!$M$10)),"Расчёт заблокирован",IF(COUNTA('Взаиморасчёты'!$B$5:$F$504)=0,"Нет данных",'Взаиморасчёты'!$M$11))</x:f>
        <x:v>Нет данных</x:v>
      </x:c>
      <x:c r="H10" s="385"/>
      <x:c r="I10" s="385"/>
      <x:c r="J10" s="385"/>
      <x:c r="K10" s="359"/>
      <x:c r="L10" s="385" t="str">
        <x:f>IF(NOT(ISNUMBER('Взаиморасчёты'!$M$10)),"Расчёт заблокирован",IF(COUNTA('Взаиморасчёты'!$B$5:$F$504)=0,"Нет данных",'Взаиморасчёты'!$M$12))</x:f>
        <x:v>Нет данных</x:v>
      </x:c>
      <x:c r="M10" s="385"/>
      <x:c r="N10" s="385"/>
      <x:c r="O10" s="385"/>
      <x:c r="P10" s="359"/>
    </x:row>
    <x:row r="11" ht="24" customHeight="1">
      <x:c r="A11" s="359"/>
      <x:c r="B11" s="385"/>
      <x:c r="C11" s="385"/>
      <x:c r="D11" s="385"/>
      <x:c r="E11" s="385"/>
      <x:c r="F11" s="359"/>
      <x:c r="G11" s="385"/>
      <x:c r="H11" s="385"/>
      <x:c r="I11" s="385"/>
      <x:c r="J11" s="385"/>
      <x:c r="K11" s="359"/>
      <x:c r="L11" s="385"/>
      <x:c r="M11" s="385"/>
      <x:c r="N11" s="385"/>
      <x:c r="O11" s="385"/>
      <x:c r="P11" s="359"/>
    </x:row>
    <x:row r="12" ht="15" customHeight="1">
      <x:c r="A12" s="359"/>
      <x:c r="B12" s="328" t="str">
        <x:v>По данным субподрядчика</x:v>
      </x:c>
      <x:c r="C12" s="328"/>
      <x:c r="D12" s="328"/>
      <x:c r="E12" s="328"/>
      <x:c r="F12" s="359"/>
      <x:c r="G12" s="328" t="str">
        <x:v>Показывается отдельно</x:v>
      </x:c>
      <x:c r="H12" s="328"/>
      <x:c r="I12" s="328"/>
      <x:c r="J12" s="328"/>
      <x:c r="K12" s="359"/>
      <x:c r="L12" s="328" t="str">
        <x:v>Текущий остаток задолженности</x:v>
      </x:c>
      <x:c r="M12" s="328"/>
      <x:c r="N12" s="328"/>
      <x:c r="O12" s="328"/>
      <x:c r="P12" s="359"/>
    </x:row>
    <x:row r="13" ht="15" customHeight="1">
      <x:c r="A13" s="359"/>
      <x:c r="B13" s="328"/>
      <x:c r="C13" s="328"/>
      <x:c r="D13" s="328"/>
      <x:c r="E13" s="328"/>
      <x:c r="F13" s="359"/>
      <x:c r="G13" s="328"/>
      <x:c r="H13" s="328"/>
      <x:c r="I13" s="328"/>
      <x:c r="J13" s="328"/>
      <x:c r="K13" s="359"/>
      <x:c r="L13" s="328"/>
      <x:c r="M13" s="328"/>
      <x:c r="N13" s="328"/>
      <x:c r="O13" s="328"/>
      <x:c r="P13" s="359"/>
    </x:row>
    <x:row r="14" ht="22" customHeight="1">
      <x:c r="A14" s="359"/>
      <x:c r="B14" s="359"/>
      <x:c r="C14" s="359"/>
      <x:c r="D14" s="359"/>
      <x:c r="E14" s="359"/>
      <x:c r="F14" s="359"/>
      <x:c r="G14" s="359"/>
      <x:c r="H14" s="359"/>
      <x:c r="I14" s="359"/>
      <x:c r="J14" s="359"/>
      <x:c r="K14" s="359"/>
      <x:c r="L14" s="359"/>
      <x:c r="M14" s="359"/>
      <x:c r="N14" s="359"/>
      <x:c r="O14" s="359"/>
      <x:c r="P14" s="359"/>
    </x:row>
    <x:row r="15" ht="25" customHeight="1">
      <x:c r="A15" s="359"/>
      <x:c r="B15" s="389" t="str">
        <x:v>01  /  КОНТРОЛЬ ЗАПОЛНЕНИЯ</x:v>
      </x:c>
      <x:c r="C15" s="389"/>
      <x:c r="D15" s="389"/>
      <x:c r="E15" s="389"/>
      <x:c r="F15" s="389"/>
      <x:c r="G15" s="389"/>
      <x:c r="H15" s="389"/>
      <x:c r="I15" s="389"/>
      <x:c r="J15" s="389"/>
      <x:c r="K15" s="389"/>
      <x:c r="L15" s="389"/>
      <x:c r="M15" s="389"/>
      <x:c r="N15" s="389"/>
      <x:c r="O15" s="389"/>
      <x:c r="P15" s="359"/>
    </x:row>
    <x:row r="16" ht="22" customHeight="1">
      <x:c r="A16" s="359"/>
      <x:c r="B16" s="392" t="str">
        <x:f>IF(OR(NOT(ISNUMBER('Взаиморасчёты'!$M$10)),SUM('Взаиморасчёты'!$M$9,'Взаиморасчёты'!$M$14:$M$15,'Долг по актам'!$R$5:$R$6)&gt;0),"Есть ошибки — проверьте строки",IF(AND(COUNTA('Взаиморасчёты'!$B$5:$F$504)=0,COUNTA('Долг по актам'!$B$5:$D$34)=0),"Нет исходных данных","По встроенным проверкам блокировок нет"))</x:f>
        <x:v>Нет исходных данных</x:v>
      </x:c>
      <x:c r="C16" s="392"/>
      <x:c r="D16" s="392"/>
      <x:c r="E16" s="392"/>
      <x:c r="F16" s="392"/>
      <x:c r="G16" s="392"/>
      <x:c r="H16" s="392"/>
      <x:c r="I16" s="392"/>
      <x:c r="J16" s="392"/>
      <x:c r="K16" s="392"/>
      <x:c r="L16" s="392"/>
      <x:c r="M16" s="392"/>
      <x:c r="N16" s="392"/>
      <x:c r="O16" s="392"/>
      <x:c r="P16" s="359"/>
    </x:row>
    <x:row r="17" ht="22" customHeight="1">
      <x:c r="A17" s="359"/>
      <x:c r="B17" s="392"/>
      <x:c r="C17" s="392"/>
      <x:c r="D17" s="392"/>
      <x:c r="E17" s="392"/>
      <x:c r="F17" s="392"/>
      <x:c r="G17" s="392"/>
      <x:c r="H17" s="392"/>
      <x:c r="I17" s="392"/>
      <x:c r="J17" s="392"/>
      <x:c r="K17" s="392"/>
      <x:c r="L17" s="392"/>
      <x:c r="M17" s="392"/>
      <x:c r="N17" s="392"/>
      <x:c r="O17" s="392"/>
      <x:c r="P17" s="359"/>
    </x:row>
    <x:row r="18" ht="17" customHeight="1">
      <x:c r="A18" s="359"/>
      <x:c r="B18" s="395" t="str">
        <x:v>Это контроль заполнения книги, а не правовое заключение и не подтверждение готовности документов к отправке.</x:v>
      </x:c>
      <x:c r="C18" s="395"/>
      <x:c r="D18" s="395"/>
      <x:c r="E18" s="395"/>
      <x:c r="F18" s="395"/>
      <x:c r="G18" s="395"/>
      <x:c r="H18" s="395"/>
      <x:c r="I18" s="395"/>
      <x:c r="J18" s="395"/>
      <x:c r="K18" s="395"/>
      <x:c r="L18" s="395"/>
      <x:c r="M18" s="395"/>
      <x:c r="N18" s="395"/>
      <x:c r="O18" s="395"/>
      <x:c r="P18" s="359"/>
    </x:row>
    <x:row r="19" ht="17" customHeight="1">
      <x:c r="A19" s="359"/>
      <x:c r="B19" s="395"/>
      <x:c r="C19" s="395"/>
      <x:c r="D19" s="395"/>
      <x:c r="E19" s="395"/>
      <x:c r="F19" s="395"/>
      <x:c r="G19" s="395"/>
      <x:c r="H19" s="395"/>
      <x:c r="I19" s="395"/>
      <x:c r="J19" s="395"/>
      <x:c r="K19" s="395"/>
      <x:c r="L19" s="395"/>
      <x:c r="M19" s="395"/>
      <x:c r="N19" s="395"/>
      <x:c r="O19" s="395"/>
      <x:c r="P19" s="359"/>
    </x:row>
    <x:row r="20" ht="22" customHeight="1">
      <x:c r="A20" s="359"/>
      <x:c r="B20" s="359"/>
      <x:c r="C20" s="359"/>
      <x:c r="D20" s="359"/>
      <x:c r="E20" s="359"/>
      <x:c r="F20" s="359"/>
      <x:c r="G20" s="359"/>
      <x:c r="H20" s="359"/>
      <x:c r="I20" s="359"/>
      <x:c r="J20" s="359"/>
      <x:c r="K20" s="359"/>
      <x:c r="L20" s="359"/>
      <x:c r="M20" s="359"/>
      <x:c r="N20" s="359"/>
      <x:c r="O20" s="359"/>
      <x:c r="P20" s="359"/>
    </x:row>
    <x:row r="21" ht="26" customHeight="1">
      <x:c r="A21" s="359"/>
      <x:c r="B21" s="389" t="str">
        <x:v>02  /  РАБОЧИЙ МАРШРУТ</x:v>
      </x:c>
      <x:c r="C21" s="389"/>
      <x:c r="D21" s="389"/>
      <x:c r="E21" s="389"/>
      <x:c r="F21" s="389"/>
      <x:c r="G21" s="389"/>
      <x:c r="H21" s="389"/>
      <x:c r="I21" s="389"/>
      <x:c r="J21" s="389"/>
      <x:c r="K21" s="389"/>
      <x:c r="L21" s="389"/>
      <x:c r="M21" s="389"/>
      <x:c r="N21" s="389"/>
      <x:c r="O21" s="389"/>
      <x:c r="P21" s="359"/>
    </x:row>
    <x:row r="22" ht="20" customHeight="1">
      <x:c r="A22" s="359"/>
      <x:c r="B22" s="398" t="str">
        <x:f>HYPERLINK("#'Взаиморасчёты'!A5","1. Взаиморасчёты  →")</x:f>
        <x:v>1. Взаиморасчёты  →</x:v>
      </x:c>
      <x:c r="C22" s="398"/>
      <x:c r="D22" s="398"/>
      <x:c r="E22" s="398"/>
      <x:c r="F22" s="398"/>
      <x:c r="G22" s="398"/>
      <x:c r="H22" s="398"/>
      <x:c r="I22" s="359"/>
      <x:c r="J22" s="398" t="str">
        <x:f>HYPERLINK("#'Долг по актам'!A5","2. Долг по актам  →")</x:f>
        <x:v>2. Долг по актам  →</x:v>
      </x:c>
      <x:c r="K22" s="398"/>
      <x:c r="L22" s="398"/>
      <x:c r="M22" s="398"/>
      <x:c r="N22" s="398"/>
      <x:c r="O22" s="398"/>
      <x:c r="P22" s="359"/>
    </x:row>
    <x:row r="23" ht="20" customHeight="1">
      <x:c r="A23" s="359"/>
      <x:c r="B23" s="398"/>
      <x:c r="C23" s="398"/>
      <x:c r="D23" s="398"/>
      <x:c r="E23" s="398"/>
      <x:c r="F23" s="398"/>
      <x:c r="G23" s="398"/>
      <x:c r="H23" s="398"/>
      <x:c r="I23" s="359"/>
      <x:c r="J23" s="398"/>
      <x:c r="K23" s="398"/>
      <x:c r="L23" s="398"/>
      <x:c r="M23" s="398"/>
      <x:c r="N23" s="398"/>
      <x:c r="O23" s="398"/>
      <x:c r="P23" s="359"/>
    </x:row>
    <x:row r="24" ht="24" customHeight="1">
      <x:c r="A24" s="359"/>
      <x:c r="B24" s="395" t="str">
        <x:v>Введите операции и укажите соответствующий акт.</x:v>
      </x:c>
      <x:c r="C24" s="395"/>
      <x:c r="D24" s="395"/>
      <x:c r="E24" s="395"/>
      <x:c r="F24" s="395"/>
      <x:c r="G24" s="395"/>
      <x:c r="H24" s="395"/>
      <x:c r="I24" s="359"/>
      <x:c r="J24" s="395" t="str">
        <x:v>Укажите акты и сроки оплаты.</x:v>
      </x:c>
      <x:c r="K24" s="395"/>
      <x:c r="L24" s="395"/>
      <x:c r="M24" s="395"/>
      <x:c r="N24" s="395"/>
      <x:c r="O24" s="395"/>
      <x:c r="P24" s="359"/>
    </x:row>
    <x:row r="25" ht="22" customHeight="1">
      <x:c r="A25" s="359"/>
      <x:c r="B25" s="359"/>
      <x:c r="C25" s="359"/>
      <x:c r="D25" s="359"/>
      <x:c r="E25" s="359"/>
      <x:c r="F25" s="359"/>
      <x:c r="G25" s="359"/>
      <x:c r="H25" s="359"/>
      <x:c r="I25" s="359"/>
      <x:c r="J25" s="359"/>
      <x:c r="K25" s="359"/>
      <x:c r="L25" s="359"/>
      <x:c r="M25" s="359"/>
      <x:c r="N25" s="359"/>
      <x:c r="O25" s="359"/>
      <x:c r="P25" s="359"/>
    </x:row>
    <x:row r="26" ht="20" customHeight="1">
      <x:c r="A26" s="359"/>
      <x:c r="B26" s="398" t="str">
        <x:f>HYPERLINK("#'Акт сверки'!A1","3. Акт сверки  →")</x:f>
        <x:v>3. Акт сверки  →</x:v>
      </x:c>
      <x:c r="C26" s="398"/>
      <x:c r="D26" s="398"/>
      <x:c r="E26" s="398"/>
      <x:c r="F26" s="398"/>
      <x:c r="G26" s="398"/>
      <x:c r="H26" s="398"/>
      <x:c r="I26" s="359"/>
      <x:c r="J26" s="398" t="str">
        <x:f>HYPERLINK("#'Реестр передачи'!A5","4. Реестр передачи  →")</x:f>
        <x:v>4. Реестр передачи  →</x:v>
      </x:c>
      <x:c r="K26" s="398"/>
      <x:c r="L26" s="398"/>
      <x:c r="M26" s="398"/>
      <x:c r="N26" s="398"/>
      <x:c r="O26" s="398"/>
      <x:c r="P26" s="359"/>
    </x:row>
    <x:row r="27" ht="20" customHeight="1">
      <x:c r="A27" s="359"/>
      <x:c r="B27" s="398"/>
      <x:c r="C27" s="398"/>
      <x:c r="D27" s="398"/>
      <x:c r="E27" s="398"/>
      <x:c r="F27" s="398"/>
      <x:c r="G27" s="398"/>
      <x:c r="H27" s="398"/>
      <x:c r="I27" s="359"/>
      <x:c r="J27" s="398"/>
      <x:c r="K27" s="398"/>
      <x:c r="L27" s="398"/>
      <x:c r="M27" s="398"/>
      <x:c r="N27" s="398"/>
      <x:c r="O27" s="398"/>
      <x:c r="P27" s="359"/>
    </x:row>
    <x:row r="28" ht="24" customHeight="1">
      <x:c r="A28" s="359"/>
      <x:c r="B28" s="395" t="str">
        <x:v>Заполните реквизиты и проверьте статус формы.</x:v>
      </x:c>
      <x:c r="C28" s="395"/>
      <x:c r="D28" s="395"/>
      <x:c r="E28" s="395"/>
      <x:c r="F28" s="395"/>
      <x:c r="G28" s="395"/>
      <x:c r="H28" s="395"/>
      <x:c r="I28" s="359"/>
      <x:c r="J28" s="395" t="str">
        <x:v>Фиксируйте отправку и доказательства.</x:v>
      </x:c>
      <x:c r="K28" s="395"/>
      <x:c r="L28" s="395"/>
      <x:c r="M28" s="395"/>
      <x:c r="N28" s="395"/>
      <x:c r="O28" s="395"/>
      <x:c r="P28" s="359"/>
    </x:row>
    <x:row r="29" ht="22" customHeight="1">
      <x:c r="A29" s="359"/>
      <x:c r="B29" s="359"/>
      <x:c r="C29" s="359"/>
      <x:c r="D29" s="359"/>
      <x:c r="E29" s="359"/>
      <x:c r="F29" s="359"/>
      <x:c r="G29" s="359"/>
      <x:c r="H29" s="359"/>
      <x:c r="I29" s="359"/>
      <x:c r="J29" s="359"/>
      <x:c r="K29" s="359"/>
      <x:c r="L29" s="359"/>
      <x:c r="M29" s="359"/>
      <x:c r="N29" s="359"/>
      <x:c r="O29" s="359"/>
      <x:c r="P29" s="359"/>
    </x:row>
    <x:row r="30" ht="20" customHeight="1">
      <x:c r="A30" s="359"/>
      <x:c r="B30" s="398" t="str">
        <x:f>HYPERLINK("#'Реестр приложений'!A5","5. Реестр приложений  →")</x:f>
        <x:v>5. Реестр приложений  →</x:v>
      </x:c>
      <x:c r="C30" s="398"/>
      <x:c r="D30" s="398"/>
      <x:c r="E30" s="398"/>
      <x:c r="F30" s="398"/>
      <x:c r="G30" s="398"/>
      <x:c r="H30" s="398"/>
      <x:c r="I30" s="359"/>
      <x:c r="J30" s="401" t="str">
        <x:v>ЛЕГЕНДА ПОЛЕЙ</x:v>
      </x:c>
      <x:c r="K30" s="401"/>
      <x:c r="L30" s="401"/>
      <x:c r="M30" s="401"/>
      <x:c r="N30" s="401"/>
      <x:c r="O30" s="401"/>
      <x:c r="P30" s="359"/>
    </x:row>
    <x:row r="31" ht="20" customHeight="1">
      <x:c r="A31" s="359"/>
      <x:c r="B31" s="398"/>
      <x:c r="C31" s="398"/>
      <x:c r="D31" s="398"/>
      <x:c r="E31" s="398"/>
      <x:c r="F31" s="398"/>
      <x:c r="G31" s="398"/>
      <x:c r="H31" s="398"/>
      <x:c r="I31" s="359"/>
      <x:c r="J31" s="403" t="str">
        <x:v>Ввод данных</x:v>
      </x:c>
      <x:c r="K31" s="403"/>
      <x:c r="L31" s="403"/>
      <x:c r="M31" s="407" t="str">
        <x:v>Расчёт</x:v>
      </x:c>
      <x:c r="N31" s="407"/>
      <x:c r="O31" s="407"/>
      <x:c r="P31" s="359"/>
    </x:row>
    <x:row r="32" ht="24" customHeight="1">
      <x:c r="A32" s="359"/>
      <x:c r="B32" s="395" t="str">
        <x:v>Отметьте наличие документов и состав приложений.</x:v>
      </x:c>
      <x:c r="C32" s="395"/>
      <x:c r="D32" s="395"/>
      <x:c r="E32" s="395"/>
      <x:c r="F32" s="395"/>
      <x:c r="G32" s="395"/>
      <x:c r="H32" s="395"/>
      <x:c r="I32" s="359"/>
      <x:c r="J32" s="403"/>
      <x:c r="K32" s="403"/>
      <x:c r="L32" s="403"/>
      <x:c r="M32" s="407"/>
      <x:c r="N32" s="407"/>
      <x:c r="O32" s="407"/>
      <x:c r="P32" s="359"/>
    </x:row>
    <x:row r="33" ht="22" customHeight="1">
      <x:c r="A33" s="359"/>
      <x:c r="B33" s="359"/>
      <x:c r="C33" s="359"/>
      <x:c r="D33" s="359"/>
      <x:c r="E33" s="359"/>
      <x:c r="F33" s="359"/>
      <x:c r="G33" s="359"/>
      <x:c r="H33" s="359"/>
      <x:c r="I33" s="359"/>
      <x:c r="J33" s="359"/>
      <x:c r="K33" s="359"/>
      <x:c r="L33" s="359"/>
      <x:c r="M33" s="359"/>
      <x:c r="N33" s="359"/>
      <x:c r="O33" s="359"/>
      <x:c r="P33" s="359"/>
    </x:row>
    <x:row r="34" ht="22" customHeight="1">
      <x:c r="A34" s="359"/>
      <x:c r="B34" s="359"/>
      <x:c r="C34" s="359"/>
      <x:c r="D34" s="359"/>
      <x:c r="E34" s="359"/>
      <x:c r="F34" s="359"/>
      <x:c r="G34" s="359"/>
      <x:c r="H34" s="359"/>
      <x:c r="I34" s="359"/>
      <x:c r="J34" s="359"/>
      <x:c r="K34" s="359"/>
      <x:c r="L34" s="359"/>
      <x:c r="M34" s="359"/>
      <x:c r="N34" s="359"/>
      <x:c r="O34" s="359"/>
      <x:c r="P34" s="359"/>
    </x:row>
    <x:row r="35" ht="25" customHeight="1">
      <x:c r="A35" s="359"/>
      <x:c r="B35" s="389" t="str">
        <x:v>03  /  ВАЖНО ДЛЯ РАСЧЁТА ПРОЦЕНТОВ</x:v>
      </x:c>
      <x:c r="C35" s="389"/>
      <x:c r="D35" s="389"/>
      <x:c r="E35" s="389"/>
      <x:c r="F35" s="389"/>
      <x:c r="G35" s="389"/>
      <x:c r="H35" s="389"/>
      <x:c r="I35" s="389"/>
      <x:c r="J35" s="389"/>
      <x:c r="K35" s="389"/>
      <x:c r="L35" s="389"/>
      <x:c r="M35" s="389"/>
      <x:c r="N35" s="389"/>
      <x:c r="O35" s="389"/>
      <x:c r="P35" s="359"/>
    </x:row>
    <x:row r="36" ht="22" customHeight="1">
      <x:c r="A36" s="359"/>
      <x:c r="B36" s="239" t="str">
        <x:v>Общий долг — ТЕКУЩИЙ остаток: из него уже вычтены все оплаты, в том числе поступившие после начала просрочки. В расчёт процентов (файл 08) его переносить нельзя — там нужен бесспорный долг на первый день просрочки по каждому акту. Спорная часть в расчёт процентов и претензию не идёт: её оценка — у специалиста. Числа по актам берите на листе «Долг по актам», для заказчика — лист «Акт сверки».</x:v>
      </x:c>
      <x:c r="C36" s="239"/>
      <x:c r="D36" s="239"/>
      <x:c r="E36" s="239"/>
      <x:c r="F36" s="239"/>
      <x:c r="G36" s="239"/>
      <x:c r="H36" s="239"/>
      <x:c r="I36" s="239"/>
      <x:c r="J36" s="239"/>
      <x:c r="K36" s="239"/>
      <x:c r="L36" s="239"/>
      <x:c r="M36" s="239"/>
      <x:c r="N36" s="239"/>
      <x:c r="O36" s="239"/>
      <x:c r="P36" s="359"/>
    </x:row>
    <x:row r="37" ht="22" customHeight="1">
      <x:c r="A37" s="359"/>
      <x:c r="B37" s="239"/>
      <x:c r="C37" s="239"/>
      <x:c r="D37" s="239"/>
      <x:c r="E37" s="239"/>
      <x:c r="F37" s="239"/>
      <x:c r="G37" s="239"/>
      <x:c r="H37" s="239"/>
      <x:c r="I37" s="239"/>
      <x:c r="J37" s="239"/>
      <x:c r="K37" s="239"/>
      <x:c r="L37" s="239"/>
      <x:c r="M37" s="239"/>
      <x:c r="N37" s="239"/>
      <x:c r="O37" s="239"/>
      <x:c r="P37" s="359"/>
    </x:row>
    <x:row r="38" ht="22" customHeight="1">
      <x:c r="A38" s="359"/>
      <x:c r="B38" s="239"/>
      <x:c r="C38" s="239"/>
      <x:c r="D38" s="239"/>
      <x:c r="E38" s="239"/>
      <x:c r="F38" s="239"/>
      <x:c r="G38" s="239"/>
      <x:c r="H38" s="239"/>
      <x:c r="I38" s="239"/>
      <x:c r="J38" s="239"/>
      <x:c r="K38" s="239"/>
      <x:c r="L38" s="239"/>
      <x:c r="M38" s="239"/>
      <x:c r="N38" s="239"/>
      <x:c r="O38" s="239"/>
      <x:c r="P38" s="359"/>
    </x:row>
    <x:row r="39" ht="22" customHeight="1">
      <x:c r="A39" s="359"/>
      <x:c r="B39" s="239"/>
      <x:c r="C39" s="239"/>
      <x:c r="D39" s="239"/>
      <x:c r="E39" s="239"/>
      <x:c r="F39" s="239"/>
      <x:c r="G39" s="239"/>
      <x:c r="H39" s="239"/>
      <x:c r="I39" s="239"/>
      <x:c r="J39" s="239"/>
      <x:c r="K39" s="239"/>
      <x:c r="L39" s="239"/>
      <x:c r="M39" s="239"/>
      <x:c r="N39" s="239"/>
      <x:c r="O39" s="239"/>
      <x:c r="P39" s="359"/>
    </x:row>
    <x:row r="40" ht="22" customHeight="1">
      <x:c r="A40" s="359"/>
      <x:c r="B40" s="239"/>
      <x:c r="C40" s="239"/>
      <x:c r="D40" s="239"/>
      <x:c r="E40" s="239"/>
      <x:c r="F40" s="239"/>
      <x:c r="G40" s="239"/>
      <x:c r="H40" s="239"/>
      <x:c r="I40" s="239"/>
      <x:c r="J40" s="239"/>
      <x:c r="K40" s="239"/>
      <x:c r="L40" s="239"/>
      <x:c r="M40" s="239"/>
      <x:c r="N40" s="239"/>
      <x:c r="O40" s="239"/>
      <x:c r="P40" s="359"/>
    </x:row>
    <x:row r="41" ht="22" customHeight="1">
      <x:c r="A41" s="359"/>
      <x:c r="B41" s="359"/>
      <x:c r="C41" s="359"/>
      <x:c r="D41" s="359"/>
      <x:c r="E41" s="359"/>
      <x:c r="F41" s="359"/>
      <x:c r="G41" s="359"/>
      <x:c r="H41" s="359"/>
      <x:c r="I41" s="359"/>
      <x:c r="J41" s="359"/>
      <x:c r="K41" s="359"/>
      <x:c r="L41" s="359"/>
      <x:c r="M41" s="359"/>
      <x:c r="N41" s="359"/>
      <x:c r="O41" s="359"/>
      <x:c r="P41" s="359"/>
    </x:row>
    <x:row r="42" ht="22" customHeight="1">
      <x:c r="A42" s="359"/>
      <x:c r="B42" s="359"/>
      <x:c r="C42" s="359"/>
      <x:c r="D42" s="359"/>
      <x:c r="E42" s="359"/>
      <x:c r="F42" s="359"/>
      <x:c r="G42" s="359"/>
      <x:c r="H42" s="359"/>
      <x:c r="I42" s="359"/>
      <x:c r="J42" s="359"/>
      <x:c r="K42" s="359"/>
      <x:c r="L42" s="359"/>
      <x:c r="M42" s="359"/>
      <x:c r="N42" s="359"/>
      <x:c r="O42" s="359"/>
      <x:c r="P42" s="359"/>
    </x:row>
    <x:row r="43" ht="18" customHeight="1">
      <x:c r="A43" s="359"/>
      <x:c r="B43" s="395" t="str">
        <x:v>Сводка использует результаты существующих листов. Исходные данные вводятся в рабочих реестрах; подробные инструкции сохранены в верхней части каждого листа.</x:v>
      </x:c>
      <x:c r="C43" s="395"/>
      <x:c r="D43" s="395"/>
      <x:c r="E43" s="395"/>
      <x:c r="F43" s="395"/>
      <x:c r="G43" s="395"/>
      <x:c r="H43" s="395"/>
      <x:c r="I43" s="395"/>
      <x:c r="J43" s="395"/>
      <x:c r="K43" s="395"/>
      <x:c r="L43" s="395"/>
      <x:c r="M43" s="395"/>
      <x:c r="N43" s="395"/>
      <x:c r="O43" s="395"/>
      <x:c r="P43" s="359"/>
    </x:row>
    <x:row r="44" ht="18" customHeight="1">
      <x:c r="A44" s="359"/>
      <x:c r="B44" s="395"/>
      <x:c r="C44" s="395"/>
      <x:c r="D44" s="395"/>
      <x:c r="E44" s="395"/>
      <x:c r="F44" s="395"/>
      <x:c r="G44" s="395"/>
      <x:c r="H44" s="395"/>
      <x:c r="I44" s="395"/>
      <x:c r="J44" s="395"/>
      <x:c r="K44" s="395"/>
      <x:c r="L44" s="395"/>
      <x:c r="M44" s="395"/>
      <x:c r="N44" s="395"/>
      <x:c r="O44" s="395"/>
      <x:c r="P44" s="359"/>
    </x:row>
    <x:row r="45" ht="22" customHeight="1">
      <x:c r="A45" s="359"/>
      <x:c r="B45" s="359"/>
      <x:c r="C45" s="359"/>
      <x:c r="D45" s="359"/>
      <x:c r="E45" s="359"/>
      <x:c r="F45" s="359"/>
      <x:c r="G45" s="359"/>
      <x:c r="H45" s="359"/>
      <x:c r="I45" s="359"/>
      <x:c r="J45" s="359"/>
      <x:c r="K45" s="359"/>
      <x:c r="L45" s="359"/>
      <x:c r="M45" s="359"/>
      <x:c r="N45" s="359"/>
      <x:c r="O45" s="359"/>
      <x:c r="P45" s="359"/>
    </x:row>
    <x:row r="46" ht="22" customHeight="1">
      <x:c r="A46" s="359"/>
      <x:c r="B46" s="359"/>
      <x:c r="C46" s="359"/>
      <x:c r="D46" s="359"/>
      <x:c r="E46" s="359"/>
      <x:c r="F46" s="359"/>
      <x:c r="G46" s="359"/>
      <x:c r="H46" s="359"/>
      <x:c r="I46" s="359"/>
      <x:c r="J46" s="359"/>
      <x:c r="K46" s="359"/>
      <x:c r="L46" s="359"/>
      <x:c r="M46" s="359"/>
      <x:c r="N46" s="359"/>
      <x:c r="O46" s="359"/>
      <x:c r="P46" s="359"/>
    </x:row>
  </x:sheetData>
  <x:mergeCells>
    <x:mergeCell ref="B2:J2"/>
    <x:mergeCell ref="K2:O2"/>
    <x:mergeCell ref="B3:O3"/>
    <x:mergeCell ref="B4:O4"/>
    <x:mergeCell ref="B7:O7"/>
    <x:mergeCell ref="B9:E9"/>
    <x:mergeCell ref="B10:E11"/>
    <x:mergeCell ref="B12:E13"/>
    <x:mergeCell ref="G9:J9"/>
    <x:mergeCell ref="G10:J11"/>
    <x:mergeCell ref="G12:J13"/>
    <x:mergeCell ref="L9:O9"/>
    <x:mergeCell ref="L10:O11"/>
    <x:mergeCell ref="L12:O13"/>
    <x:mergeCell ref="B15:O15"/>
    <x:mergeCell ref="B16:O17"/>
    <x:mergeCell ref="B18:O19"/>
    <x:mergeCell ref="B21:O21"/>
    <x:mergeCell ref="B22:H23"/>
    <x:mergeCell ref="J22:O23"/>
    <x:mergeCell ref="B26:H27"/>
    <x:mergeCell ref="J26:O27"/>
    <x:mergeCell ref="B30:H31"/>
    <x:mergeCell ref="B24:H24"/>
    <x:mergeCell ref="J24:O24"/>
    <x:mergeCell ref="B28:H28"/>
    <x:mergeCell ref="J28:O28"/>
    <x:mergeCell ref="B32:H32"/>
    <x:mergeCell ref="J30:O30"/>
    <x:mergeCell ref="J31:L32"/>
    <x:mergeCell ref="M31:O32"/>
    <x:mergeCell ref="B35:O35"/>
    <x:mergeCell ref="B36:O40"/>
    <x:mergeCell ref="B43:O44"/>
  </x:mergeCells>
  <x:conditionalFormatting sqref="B16:O17">
    <x:cfRule type="expression" dxfId="4" priority="1">
      <x:formula>LEFT($B$16,11)="Есть ошибки"</x:formula>
    </x:cfRule>
  </x:conditionalFormatting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Взаиморасчёты</vt:lpstr>
      <vt:lpstr>Долг по актам</vt:lpstr>
      <vt:lpstr>Акт сверки</vt:lpstr>
      <vt:lpstr>Реестр передачи</vt:lpstr>
      <vt:lpstr>Реестр приложений</vt:lpstr>
      <vt:lpstr>'Акт сверки'!Заголовки_для_печати</vt:lpstr>
      <vt:lpstr>'Акт сверки'!Область_печати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Маржа в бетоне</dc:creator>
  <cp:lastModifiedBy>Бушланов Денис Михайлович</cp:lastModifiedBy>
  <dcterms:created xsi:type="dcterms:W3CDTF">2026-09-27T00:00:00Z</dcterms:created>
  <dcterms:modified xsi:type="dcterms:W3CDTF">2026-10-05T05:55:58Z</dcterms:modified>
</cp:coreProperties>
</file>