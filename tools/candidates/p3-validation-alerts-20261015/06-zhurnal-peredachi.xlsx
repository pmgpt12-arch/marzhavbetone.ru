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Журнал передачи комплекта КС" sheetId="1" state="visible" r:id="rId3"/>
    <sheet name="Инструкция" sheetId="2" state="visible" r:id="rId4"/>
  </sheets>
  <definedNames>
    <definedName function="false" hidden="false" localSheetId="0" name="_xlnm.Print_Area" vbProcedure="false">'Журнал передачи комплекта КС'!$A$1:$R$54</definedName>
    <definedName function="false" hidden="false" localSheetId="0" name="_xlnm.Print_Titles" vbProcedure="false">'Журнал передачи комплекта КС'!$1:$4</definedName>
    <definedName function="false" hidden="true" localSheetId="0" name="_xlnm._FilterDatabase" vbProcedure="false">'Журнал передачи комплекта КС'!$A$4:$R$54</definedName>
    <definedName function="false" hidden="false" localSheetId="1" name="_xlnm.Print_Area" vbProcedure="false">Инструкция!$A$1:$F$9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<sst xmlns="http://schemas.openxmlformats.org/spreadsheetml/2006/main" count="29" uniqueCount="29">
  <si>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ЖУРНАЛ ПЕРЕДАЧИ КОМПЛЕКТА КС</t>
  </si>
  <si>
    <t xml:space="preserve">Контроль различает передачу, подтверждение, рассмотрение и возврат. «ЗАКРЫТО» возможно только при реквизитах подтверждения; договорный срок сравнивается с выбранной контрольной датой.</t>
  </si>
  <si>
    <t xml:space="preserve">№</t>
  </si>
  <si>
    <t xml:space="preserve">Дата передачи</t>
  </si>
  <si>
    <t xml:space="preserve">КС-2 №</t>
  </si>
  <si>
    <t xml:space="preserve">КС-3 №</t>
  </si>
  <si>
    <t xml:space="preserve">Получатель</t>
  </si>
  <si>
    <t xml:space="preserve">Должность</t>
  </si>
  <si>
    <t xml:space="preserve">Кол-во документов</t>
  </si>
  <si>
    <t xml:space="preserve">Способ подтверждения</t>
  </si>
  <si>
    <t xml:space="preserve">Идентификатор подтверждения</t>
  </si>
  <si>
    <t xml:space="preserve">Дата подтверждения</t>
  </si>
  <si>
    <t xml:space="preserve">Ссылка / путь к доказательству</t>
  </si>
  <si>
    <t xml:space="preserve">Статус</t>
  </si>
  <si>
    <t xml:space="preserve">Срок ответа по договору</t>
  </si>
  <si>
    <t xml:space="preserve">Контрольная дата</t>
  </si>
  <si>
    <t xml:space="preserve">Предыдущая передача / редакция</t>
  </si>
  <si>
    <t xml:space="preserve">Дата возврата</t>
  </si>
  <si>
    <t xml:space="preserve">Причина / замечание</t>
  </si>
  <si>
    <t xml:space="preserve">Контроль строки</t>
  </si>
  <si>
    <t xml:space="preserve">КАК РАБОТАТЬ С ЖУРНАЛОМ ПЕРЕДАЧИ</t>
  </si>
  <si>
    <t xml:space="preserve">Шаг</t>
  </si>
  <si>
    <t xml:space="preserve">Действие</t>
  </si>
  <si>
    <t xml:space="preserve">Одна строка — одна передача. Укажите дату, номера КС-2/КС-3, получателя, должность и количество документов.</t>
  </si>
  <si>
    <t xml:space="preserve">Выберите способ подтверждения. Для статуса «Принято» обязательны идентификатор/реквизит подтверждения, дата подтверждения и ссылка либо путь к доказательству.</t>
  </si>
  <si>
    <t xml:space="preserve">Запишите договорный срок ответа датой и выбранную контрольную дату. После срока строка «На проверке» показывает «СРОК ОТВЕТА ИСТЁК».</t>
  </si>
  <si>
    <t xml:space="preserve">При повторной передаче создайте новую строку и укажите в поле «Предыдущая передача / редакция» номер прежней строки, дату или иной однозначный идентификатор.</t>
  </si>
  <si>
    <t xml:space="preserve">При возврате укажите дату не ранее передачи и причину. Иначе контроль покажет «УКАЗАТЬ ВОЗВРАТ».</t>
  </si>
  <si>
    <t xml:space="preserve">«ЗАКРЫТО» означает только полноту записи о принятии и подтверждении; это не подтверждение оплаты и не заменяет условия договора.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</si>
</sst>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0.##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20242A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343B"/>
        <bgColor rgb="FF20242A"/>
      </patternFill>
    </fill>
    <fill>
      <patternFill patternType="solid">
        <fgColor rgb="FFEFE7D2"/>
        <bgColor rgb="FFFFF2CC"/>
      </patternFill>
    </fill>
    <fill>
      <patternFill patternType="solid">
        <fgColor rgb="FF4B5159"/>
        <bgColor rgb="FF2F343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4B515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024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D9EA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FE7D2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B5159"/>
      <rgbColor rgb="FF969696"/>
      <rgbColor rgb="FF003366"/>
      <rgbColor rgb="FF339966"/>
      <rgbColor rgb="FF003300"/>
      <rgbColor rgb="FF20242A"/>
      <rgbColor rgb="FF993300"/>
      <rgbColor rgb="FF993366"/>
      <rgbColor rgb="FF333399"/>
      <rgbColor rgb="FF2F34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4" min="2" style="1" width="12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11"/>
    <col collapsed="false" customWidth="true" hidden="false" outlineLevel="0" max="8" min="8" style="1" width="18"/>
    <col collapsed="false" customWidth="true" hidden="false" outlineLevel="0" max="9" min="9" style="1" width="19"/>
    <col collapsed="false" customWidth="true" hidden="false" outlineLevel="0" max="10" min="10" style="1" width="13"/>
    <col collapsed="false" customWidth="true" hidden="false" outlineLevel="0" max="11" min="11" style="1" width="24"/>
    <col collapsed="false" customWidth="true" hidden="false" outlineLevel="0" max="12" min="12" style="1" width="14"/>
    <col collapsed="false" customWidth="true" hidden="false" outlineLevel="0" max="13" min="13" style="0" width="15"/>
    <col collapsed="false" customWidth="true" hidden="false" outlineLevel="0" max="14" min="14" style="0" width="13"/>
    <col collapsed="false" customWidth="true" hidden="false" outlineLevel="0" max="15" min="15" style="0" width="20"/>
    <col collapsed="false" customWidth="true" hidden="false" outlineLevel="0" max="16" min="16" style="0" width="13"/>
    <col collapsed="false" customWidth="true" hidden="false" outlineLevel="0" max="17" min="17" style="0" width="24"/>
    <col collapsed="false" customWidth="true" hidden="false" outlineLevel="0" max="18" min="18" style="0" width="21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33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4" customFormat="false" ht="63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</row>
    <row r="5" customFormat="false" ht="24" hidden="false" customHeight="true" outlineLevel="0" collapsed="false">
      <c r="A5" s="5" t="n">
        <v>1</v>
      </c>
      <c r="B5" s="6"/>
      <c r="C5" s="5"/>
      <c r="D5" s="5"/>
      <c r="E5" s="5"/>
      <c r="F5" s="5"/>
      <c r="G5" s="7"/>
      <c r="H5" s="5"/>
      <c r="I5" s="5"/>
      <c r="J5" s="6"/>
      <c r="K5" s="5"/>
      <c r="L5" s="5"/>
      <c r="M5" s="6"/>
      <c r="N5" s="6"/>
      <c r="O5" s="5"/>
      <c r="P5" s="6"/>
      <c r="Q5" s="5"/>
      <c r="R5" s="8" t="str">
        <f aca="true">IF(COUNTA(B5:Q5)=0,"",IF(OR(NOT(ISNUMBER(B5)),B5&lt;DATE(2000,1,1),B5&gt;TODAY(),C5="",D5="",E5="",F5="",NOT(AND(ISNUMBER(G5),G5=INT(G5),G5&gt;=1,G5&lt;=10000)),NOT(OR(H5="Подпись на экземпляре",H5="ЭДО",H5="Письмо / курьер",H5="Иное подтверждение")),NOT(OR(L5="На проверке",L5="Принято",L5="Возврат")),NOT(ISNUMBER(M5)),M5&lt;B5,NOT(ISNUMBER(N5)),N5&lt;B5),"ЗАПОЛНИТЬ",IF(FALSE(),"СВЯЗАТЬ ПОВТОР",IF(AND(L5="Принято",OR(I5="",NOT(ISNUMBER(J5)),J5&lt;B5,J5&gt;TODAY(),K5="")),"ТРЕБУЕТСЯ ПОДТВЕРЖДЕНИЕ",IF(L5="Принято","ЗАКРЫТО",IF(L5="Возврат",IF(OR(NOT(ISNUMBER(P5)),P5&lt;B5,P5&gt;TODAY(),Q5=""),"УКАЗАТЬ ВОЗВРАТ","ВОЗВРАТ ЗАФИКСИРОВАН"),IF(N5&gt;M5,"СРОК ОТВЕТА ИСТЁК","В РАБОТЕ")))))))</f>
        <v/>
      </c>
    </row>
    <row r="6" customFormat="false" ht="24" hidden="false" customHeight="true" outlineLevel="0" collapsed="false">
      <c r="A6" s="5" t="n">
        <v>2</v>
      </c>
      <c r="B6" s="6"/>
      <c r="C6" s="5"/>
      <c r="D6" s="5"/>
      <c r="E6" s="5"/>
      <c r="F6" s="5"/>
      <c r="G6" s="7"/>
      <c r="H6" s="5"/>
      <c r="I6" s="5"/>
      <c r="J6" s="6"/>
      <c r="K6" s="5"/>
      <c r="L6" s="5"/>
      <c r="M6" s="6"/>
      <c r="N6" s="6"/>
      <c r="O6" s="5"/>
      <c r="P6" s="6"/>
      <c r="Q6" s="5"/>
      <c r="R6" s="8" t="str">
        <f aca="true">IF(COUNTA(B6:Q6)=0,"",IF(OR(NOT(ISNUMBER(B6)),B6&lt;DATE(2000,1,1),B6&gt;TODAY(),C6="",D6="",E6="",F6="",NOT(AND(ISNUMBER(G6),G6=INT(G6),G6&gt;=1,G6&lt;=10000)),NOT(OR(H6="Подпись на экземпляре",H6="ЭДО",H6="Письмо / курьер",H6="Иное подтверждение")),NOT(OR(L6="На проверке",L6="Принято",L6="Возврат")),NOT(ISNUMBER(M6)),M6&lt;B6,NOT(ISNUMBER(N6)),N6&lt;B6),"ЗАПОЛНИТЬ",IF(AND(COUNTIFS(C$5:C5,C6,D$5:D5,D6)&gt;0,O6=""),"СВЯЗАТЬ ПОВТОР",IF(AND(L6="Принято",OR(I6="",NOT(ISNUMBER(J6)),J6&lt;B6,J6&gt;TODAY(),K6="")),"ТРЕБУЕТСЯ ПОДТВЕРЖДЕНИЕ",IF(L6="Принято","ЗАКРЫТО",IF(L6="Возврат",IF(OR(NOT(ISNUMBER(P6)),P6&lt;B6,P6&gt;TODAY(),Q6=""),"УКАЗАТЬ ВОЗВРАТ","ВОЗВРАТ ЗАФИКСИРОВАН"),IF(N6&gt;M6,"СРОК ОТВЕТА ИСТЁК","В РАБОТЕ")))))))</f>
        <v/>
      </c>
    </row>
    <row r="7" customFormat="false" ht="24" hidden="false" customHeight="true" outlineLevel="0" collapsed="false">
      <c r="A7" s="5" t="n">
        <v>3</v>
      </c>
      <c r="B7" s="6"/>
      <c r="C7" s="5"/>
      <c r="D7" s="5"/>
      <c r="E7" s="5"/>
      <c r="F7" s="5"/>
      <c r="G7" s="7"/>
      <c r="H7" s="5"/>
      <c r="I7" s="5"/>
      <c r="J7" s="6"/>
      <c r="K7" s="5"/>
      <c r="L7" s="5"/>
      <c r="M7" s="6"/>
      <c r="N7" s="6"/>
      <c r="O7" s="5"/>
      <c r="P7" s="6"/>
      <c r="Q7" s="5"/>
      <c r="R7" s="8" t="str">
        <f aca="true">IF(COUNTA(B7:Q7)=0,"",IF(OR(NOT(ISNUMBER(B7)),B7&lt;DATE(2000,1,1),B7&gt;TODAY(),C7="",D7="",E7="",F7="",NOT(AND(ISNUMBER(G7),G7=INT(G7),G7&gt;=1,G7&lt;=10000)),NOT(OR(H7="Подпись на экземпляре",H7="ЭДО",H7="Письмо / курьер",H7="Иное подтверждение")),NOT(OR(L7="На проверке",L7="Принято",L7="Возврат")),NOT(ISNUMBER(M7)),M7&lt;B7,NOT(ISNUMBER(N7)),N7&lt;B7),"ЗАПОЛНИТЬ",IF(AND(COUNTIFS(C$5:C6,C7,D$5:D6,D7)&gt;0,O7=""),"СВЯЗАТЬ ПОВТОР",IF(AND(L7="Принято",OR(I7="",NOT(ISNUMBER(J7)),J7&lt;B7,J7&gt;TODAY(),K7="")),"ТРЕБУЕТСЯ ПОДТВЕРЖДЕНИЕ",IF(L7="Принято","ЗАКРЫТО",IF(L7="Возврат",IF(OR(NOT(ISNUMBER(P7)),P7&lt;B7,P7&gt;TODAY(),Q7=""),"УКАЗАТЬ ВОЗВРАТ","ВОЗВРАТ ЗАФИКСИРОВАН"),IF(N7&gt;M7,"СРОК ОТВЕТА ИСТЁК","В РАБОТЕ")))))))</f>
        <v/>
      </c>
    </row>
    <row r="8" customFormat="false" ht="24" hidden="false" customHeight="true" outlineLevel="0" collapsed="false">
      <c r="A8" s="5" t="n">
        <v>4</v>
      </c>
      <c r="B8" s="6"/>
      <c r="C8" s="5"/>
      <c r="D8" s="5"/>
      <c r="E8" s="5"/>
      <c r="F8" s="5"/>
      <c r="G8" s="7"/>
      <c r="H8" s="5"/>
      <c r="I8" s="5"/>
      <c r="J8" s="6"/>
      <c r="K8" s="5"/>
      <c r="L8" s="5"/>
      <c r="M8" s="6"/>
      <c r="N8" s="6"/>
      <c r="O8" s="5"/>
      <c r="P8" s="6"/>
      <c r="Q8" s="5"/>
      <c r="R8" s="8" t="str">
        <f aca="true">IF(COUNTA(B8:Q8)=0,"",IF(OR(NOT(ISNUMBER(B8)),B8&lt;DATE(2000,1,1),B8&gt;TODAY(),C8="",D8="",E8="",F8="",NOT(AND(ISNUMBER(G8),G8=INT(G8),G8&gt;=1,G8&lt;=10000)),NOT(OR(H8="Подпись на экземпляре",H8="ЭДО",H8="Письмо / курьер",H8="Иное подтверждение")),NOT(OR(L8="На проверке",L8="Принято",L8="Возврат")),NOT(ISNUMBER(M8)),M8&lt;B8,NOT(ISNUMBER(N8)),N8&lt;B8),"ЗАПОЛНИТЬ",IF(AND(COUNTIFS(C$5:C7,C8,D$5:D7,D8)&gt;0,O8=""),"СВЯЗАТЬ ПОВТОР",IF(AND(L8="Принято",OR(I8="",NOT(ISNUMBER(J8)),J8&lt;B8,J8&gt;TODAY(),K8="")),"ТРЕБУЕТСЯ ПОДТВЕРЖДЕНИЕ",IF(L8="Принято","ЗАКРЫТО",IF(L8="Возврат",IF(OR(NOT(ISNUMBER(P8)),P8&lt;B8,P8&gt;TODAY(),Q8=""),"УКАЗАТЬ ВОЗВРАТ","ВОЗВРАТ ЗАФИКСИРОВАН"),IF(N8&gt;M8,"СРОК ОТВЕТА ИСТЁК","В РАБОТЕ")))))))</f>
        <v/>
      </c>
    </row>
    <row r="9" customFormat="false" ht="24" hidden="false" customHeight="true" outlineLevel="0" collapsed="false">
      <c r="A9" s="5" t="n">
        <v>5</v>
      </c>
      <c r="B9" s="6"/>
      <c r="C9" s="5"/>
      <c r="D9" s="5"/>
      <c r="E9" s="5"/>
      <c r="F9" s="5"/>
      <c r="G9" s="7"/>
      <c r="H9" s="5"/>
      <c r="I9" s="5"/>
      <c r="J9" s="6"/>
      <c r="K9" s="5"/>
      <c r="L9" s="5"/>
      <c r="M9" s="6"/>
      <c r="N9" s="6"/>
      <c r="O9" s="5"/>
      <c r="P9" s="6"/>
      <c r="Q9" s="5"/>
      <c r="R9" s="8" t="str">
        <f aca="true">IF(COUNTA(B9:Q9)=0,"",IF(OR(NOT(ISNUMBER(B9)),B9&lt;DATE(2000,1,1),B9&gt;TODAY(),C9="",D9="",E9="",F9="",NOT(AND(ISNUMBER(G9),G9=INT(G9),G9&gt;=1,G9&lt;=10000)),NOT(OR(H9="Подпись на экземпляре",H9="ЭДО",H9="Письмо / курьер",H9="Иное подтверждение")),NOT(OR(L9="На проверке",L9="Принято",L9="Возврат")),NOT(ISNUMBER(M9)),M9&lt;B9,NOT(ISNUMBER(N9)),N9&lt;B9),"ЗАПОЛНИТЬ",IF(AND(COUNTIFS(C$5:C8,C9,D$5:D8,D9)&gt;0,O9=""),"СВЯЗАТЬ ПОВТОР",IF(AND(L9="Принято",OR(I9="",NOT(ISNUMBER(J9)),J9&lt;B9,J9&gt;TODAY(),K9="")),"ТРЕБУЕТСЯ ПОДТВЕРЖДЕНИЕ",IF(L9="Принято","ЗАКРЫТО",IF(L9="Возврат",IF(OR(NOT(ISNUMBER(P9)),P9&lt;B9,P9&gt;TODAY(),Q9=""),"УКАЗАТЬ ВОЗВРАТ","ВОЗВРАТ ЗАФИКСИРОВАН"),IF(N9&gt;M9,"СРОК ОТВЕТА ИСТЁК","В РАБОТЕ")))))))</f>
        <v/>
      </c>
    </row>
    <row r="10" customFormat="false" ht="24" hidden="false" customHeight="true" outlineLevel="0" collapsed="false">
      <c r="A10" s="5" t="n">
        <v>6</v>
      </c>
      <c r="B10" s="6"/>
      <c r="C10" s="5"/>
      <c r="D10" s="5"/>
      <c r="E10" s="5"/>
      <c r="F10" s="5"/>
      <c r="G10" s="7"/>
      <c r="H10" s="5"/>
      <c r="I10" s="5"/>
      <c r="J10" s="6"/>
      <c r="K10" s="5"/>
      <c r="L10" s="5"/>
      <c r="M10" s="6"/>
      <c r="N10" s="6"/>
      <c r="O10" s="5"/>
      <c r="P10" s="6"/>
      <c r="Q10" s="5"/>
      <c r="R10" s="8" t="str">
        <f aca="true">IF(COUNTA(B10:Q10)=0,"",IF(OR(NOT(ISNUMBER(B10)),B10&lt;DATE(2000,1,1),B10&gt;TODAY(),C10="",D10="",E10="",F10="",NOT(AND(ISNUMBER(G10),G10=INT(G10),G10&gt;=1,G10&lt;=10000)),NOT(OR(H10="Подпись на экземпляре",H10="ЭДО",H10="Письмо / курьер",H10="Иное подтверждение")),NOT(OR(L10="На проверке",L10="Принято",L10="Возврат")),NOT(ISNUMBER(M10)),M10&lt;B10,NOT(ISNUMBER(N10)),N10&lt;B10),"ЗАПОЛНИТЬ",IF(AND(COUNTIFS(C$5:C9,C10,D$5:D9,D10)&gt;0,O10=""),"СВЯЗАТЬ ПОВТОР",IF(AND(L10="Принято",OR(I10="",NOT(ISNUMBER(J10)),J10&lt;B10,J10&gt;TODAY(),K10="")),"ТРЕБУЕТСЯ ПОДТВЕРЖДЕНИЕ",IF(L10="Принято","ЗАКРЫТО",IF(L10="Возврат",IF(OR(NOT(ISNUMBER(P10)),P10&lt;B10,P10&gt;TODAY(),Q10=""),"УКАЗАТЬ ВОЗВРАТ","ВОЗВРАТ ЗАФИКСИРОВАН"),IF(N10&gt;M10,"СРОК ОТВЕТА ИСТЁК","В РАБОТЕ")))))))</f>
        <v/>
      </c>
    </row>
    <row r="11" customFormat="false" ht="24" hidden="false" customHeight="true" outlineLevel="0" collapsed="false">
      <c r="A11" s="5" t="n">
        <v>7</v>
      </c>
      <c r="B11" s="6"/>
      <c r="C11" s="5"/>
      <c r="D11" s="5"/>
      <c r="E11" s="5"/>
      <c r="F11" s="5"/>
      <c r="G11" s="7"/>
      <c r="H11" s="5"/>
      <c r="I11" s="5"/>
      <c r="J11" s="6"/>
      <c r="K11" s="5"/>
      <c r="L11" s="5"/>
      <c r="M11" s="6"/>
      <c r="N11" s="6"/>
      <c r="O11" s="5"/>
      <c r="P11" s="6"/>
      <c r="Q11" s="5"/>
      <c r="R11" s="8" t="str">
        <f aca="true">IF(COUNTA(B11:Q11)=0,"",IF(OR(NOT(ISNUMBER(B11)),B11&lt;DATE(2000,1,1),B11&gt;TODAY(),C11="",D11="",E11="",F11="",NOT(AND(ISNUMBER(G11),G11=INT(G11),G11&gt;=1,G11&lt;=10000)),NOT(OR(H11="Подпись на экземпляре",H11="ЭДО",H11="Письмо / курьер",H11="Иное подтверждение")),NOT(OR(L11="На проверке",L11="Принято",L11="Возврат")),NOT(ISNUMBER(M11)),M11&lt;B11,NOT(ISNUMBER(N11)),N11&lt;B11),"ЗАПОЛНИТЬ",IF(AND(COUNTIFS(C$5:C10,C11,D$5:D10,D11)&gt;0,O11=""),"СВЯЗАТЬ ПОВТОР",IF(AND(L11="Принято",OR(I11="",NOT(ISNUMBER(J11)),J11&lt;B11,J11&gt;TODAY(),K11="")),"ТРЕБУЕТСЯ ПОДТВЕРЖДЕНИЕ",IF(L11="Принято","ЗАКРЫТО",IF(L11="Возврат",IF(OR(NOT(ISNUMBER(P11)),P11&lt;B11,P11&gt;TODAY(),Q11=""),"УКАЗАТЬ ВОЗВРАТ","ВОЗВРАТ ЗАФИКСИРОВАН"),IF(N11&gt;M11,"СРОК ОТВЕТА ИСТЁК","В РАБОТЕ")))))))</f>
        <v/>
      </c>
    </row>
    <row r="12" customFormat="false" ht="24" hidden="false" customHeight="true" outlineLevel="0" collapsed="false">
      <c r="A12" s="5" t="n">
        <v>8</v>
      </c>
      <c r="B12" s="6"/>
      <c r="C12" s="5"/>
      <c r="D12" s="5"/>
      <c r="E12" s="5"/>
      <c r="F12" s="5"/>
      <c r="G12" s="7"/>
      <c r="H12" s="5"/>
      <c r="I12" s="5"/>
      <c r="J12" s="6"/>
      <c r="K12" s="5"/>
      <c r="L12" s="5"/>
      <c r="M12" s="6"/>
      <c r="N12" s="6"/>
      <c r="O12" s="5"/>
      <c r="P12" s="6"/>
      <c r="Q12" s="5"/>
      <c r="R12" s="8" t="str">
        <f aca="true">IF(COUNTA(B12:Q12)=0,"",IF(OR(NOT(ISNUMBER(B12)),B12&lt;DATE(2000,1,1),B12&gt;TODAY(),C12="",D12="",E12="",F12="",NOT(AND(ISNUMBER(G12),G12=INT(G12),G12&gt;=1,G12&lt;=10000)),NOT(OR(H12="Подпись на экземпляре",H12="ЭДО",H12="Письмо / курьер",H12="Иное подтверждение")),NOT(OR(L12="На проверке",L12="Принято",L12="Возврат")),NOT(ISNUMBER(M12)),M12&lt;B12,NOT(ISNUMBER(N12)),N12&lt;B12),"ЗАПОЛНИТЬ",IF(AND(COUNTIFS(C$5:C11,C12,D$5:D11,D12)&gt;0,O12=""),"СВЯЗАТЬ ПОВТОР",IF(AND(L12="Принято",OR(I12="",NOT(ISNUMBER(J12)),J12&lt;B12,J12&gt;TODAY(),K12="")),"ТРЕБУЕТСЯ ПОДТВЕРЖДЕНИЕ",IF(L12="Принято","ЗАКРЫТО",IF(L12="Возврат",IF(OR(NOT(ISNUMBER(P12)),P12&lt;B12,P12&gt;TODAY(),Q12=""),"УКАЗАТЬ ВОЗВРАТ","ВОЗВРАТ ЗАФИКСИРОВАН"),IF(N12&gt;M12,"СРОК ОТВЕТА ИСТЁК","В РАБОТЕ")))))))</f>
        <v/>
      </c>
    </row>
    <row r="13" customFormat="false" ht="24" hidden="false" customHeight="true" outlineLevel="0" collapsed="false">
      <c r="A13" s="5" t="n">
        <v>9</v>
      </c>
      <c r="B13" s="6"/>
      <c r="C13" s="5"/>
      <c r="D13" s="5"/>
      <c r="E13" s="5"/>
      <c r="F13" s="5"/>
      <c r="G13" s="7"/>
      <c r="H13" s="5"/>
      <c r="I13" s="5"/>
      <c r="J13" s="6"/>
      <c r="K13" s="5"/>
      <c r="L13" s="5"/>
      <c r="M13" s="6"/>
      <c r="N13" s="6"/>
      <c r="O13" s="5"/>
      <c r="P13" s="6"/>
      <c r="Q13" s="5"/>
      <c r="R13" s="8" t="str">
        <f aca="true">IF(COUNTA(B13:Q13)=0,"",IF(OR(NOT(ISNUMBER(B13)),B13&lt;DATE(2000,1,1),B13&gt;TODAY(),C13="",D13="",E13="",F13="",NOT(AND(ISNUMBER(G13),G13=INT(G13),G13&gt;=1,G13&lt;=10000)),NOT(OR(H13="Подпись на экземпляре",H13="ЭДО",H13="Письмо / курьер",H13="Иное подтверждение")),NOT(OR(L13="На проверке",L13="Принято",L13="Возврат")),NOT(ISNUMBER(M13)),M13&lt;B13,NOT(ISNUMBER(N13)),N13&lt;B13),"ЗАПОЛНИТЬ",IF(AND(COUNTIFS(C$5:C12,C13,D$5:D12,D13)&gt;0,O13=""),"СВЯЗАТЬ ПОВТОР",IF(AND(L13="Принято",OR(I13="",NOT(ISNUMBER(J13)),J13&lt;B13,J13&gt;TODAY(),K13="")),"ТРЕБУЕТСЯ ПОДТВЕРЖДЕНИЕ",IF(L13="Принято","ЗАКРЫТО",IF(L13="Возврат",IF(OR(NOT(ISNUMBER(P13)),P13&lt;B13,P13&gt;TODAY(),Q13=""),"УКАЗАТЬ ВОЗВРАТ","ВОЗВРАТ ЗАФИКСИРОВАН"),IF(N13&gt;M13,"СРОК ОТВЕТА ИСТЁК","В РАБОТЕ")))))))</f>
        <v/>
      </c>
    </row>
    <row r="14" customFormat="false" ht="24" hidden="false" customHeight="true" outlineLevel="0" collapsed="false">
      <c r="A14" s="5" t="n">
        <v>10</v>
      </c>
      <c r="B14" s="6"/>
      <c r="C14" s="5"/>
      <c r="D14" s="5"/>
      <c r="E14" s="5"/>
      <c r="F14" s="5"/>
      <c r="G14" s="7"/>
      <c r="H14" s="5"/>
      <c r="I14" s="5"/>
      <c r="J14" s="6"/>
      <c r="K14" s="5"/>
      <c r="L14" s="5"/>
      <c r="M14" s="6"/>
      <c r="N14" s="6"/>
      <c r="O14" s="5"/>
      <c r="P14" s="6"/>
      <c r="Q14" s="5"/>
      <c r="R14" s="8" t="str">
        <f aca="true">IF(COUNTA(B14:Q14)=0,"",IF(OR(NOT(ISNUMBER(B14)),B14&lt;DATE(2000,1,1),B14&gt;TODAY(),C14="",D14="",E14="",F14="",NOT(AND(ISNUMBER(G14),G14=INT(G14),G14&gt;=1,G14&lt;=10000)),NOT(OR(H14="Подпись на экземпляре",H14="ЭДО",H14="Письмо / курьер",H14="Иное подтверждение")),NOT(OR(L14="На проверке",L14="Принято",L14="Возврат")),NOT(ISNUMBER(M14)),M14&lt;B14,NOT(ISNUMBER(N14)),N14&lt;B14),"ЗАПОЛНИТЬ",IF(AND(COUNTIFS(C$5:C13,C14,D$5:D13,D14)&gt;0,O14=""),"СВЯЗАТЬ ПОВТОР",IF(AND(L14="Принято",OR(I14="",NOT(ISNUMBER(J14)),J14&lt;B14,J14&gt;TODAY(),K14="")),"ТРЕБУЕТСЯ ПОДТВЕРЖДЕНИЕ",IF(L14="Принято","ЗАКРЫТО",IF(L14="Возврат",IF(OR(NOT(ISNUMBER(P14)),P14&lt;B14,P14&gt;TODAY(),Q14=""),"УКАЗАТЬ ВОЗВРАТ","ВОЗВРАТ ЗАФИКСИРОВАН"),IF(N14&gt;M14,"СРОК ОТВЕТА ИСТЁК","В РАБОТЕ")))))))</f>
        <v/>
      </c>
    </row>
    <row r="15" customFormat="false" ht="24" hidden="false" customHeight="true" outlineLevel="0" collapsed="false">
      <c r="A15" s="5" t="n">
        <v>11</v>
      </c>
      <c r="B15" s="6"/>
      <c r="C15" s="5"/>
      <c r="D15" s="5"/>
      <c r="E15" s="5"/>
      <c r="F15" s="5"/>
      <c r="G15" s="7"/>
      <c r="H15" s="5"/>
      <c r="I15" s="5"/>
      <c r="J15" s="6"/>
      <c r="K15" s="5"/>
      <c r="L15" s="5"/>
      <c r="M15" s="6"/>
      <c r="N15" s="6"/>
      <c r="O15" s="5"/>
      <c r="P15" s="6"/>
      <c r="Q15" s="5"/>
      <c r="R15" s="8" t="str">
        <f aca="true">IF(COUNTA(B15:Q15)=0,"",IF(OR(NOT(ISNUMBER(B15)),B15&lt;DATE(2000,1,1),B15&gt;TODAY(),C15="",D15="",E15="",F15="",NOT(AND(ISNUMBER(G15),G15=INT(G15),G15&gt;=1,G15&lt;=10000)),NOT(OR(H15="Подпись на экземпляре",H15="ЭДО",H15="Письмо / курьер",H15="Иное подтверждение")),NOT(OR(L15="На проверке",L15="Принято",L15="Возврат")),NOT(ISNUMBER(M15)),M15&lt;B15,NOT(ISNUMBER(N15)),N15&lt;B15),"ЗАПОЛНИТЬ",IF(AND(COUNTIFS(C$5:C14,C15,D$5:D14,D15)&gt;0,O15=""),"СВЯЗАТЬ ПОВТОР",IF(AND(L15="Принято",OR(I15="",NOT(ISNUMBER(J15)),J15&lt;B15,J15&gt;TODAY(),K15="")),"ТРЕБУЕТСЯ ПОДТВЕРЖДЕНИЕ",IF(L15="Принято","ЗАКРЫТО",IF(L15="Возврат",IF(OR(NOT(ISNUMBER(P15)),P15&lt;B15,P15&gt;TODAY(),Q15=""),"УКАЗАТЬ ВОЗВРАТ","ВОЗВРАТ ЗАФИКСИРОВАН"),IF(N15&gt;M15,"СРОК ОТВЕТА ИСТЁК","В РАБОТЕ")))))))</f>
        <v/>
      </c>
    </row>
    <row r="16" customFormat="false" ht="24" hidden="false" customHeight="true" outlineLevel="0" collapsed="false">
      <c r="A16" s="5" t="n">
        <v>12</v>
      </c>
      <c r="B16" s="6"/>
      <c r="C16" s="5"/>
      <c r="D16" s="5"/>
      <c r="E16" s="5"/>
      <c r="F16" s="5"/>
      <c r="G16" s="7"/>
      <c r="H16" s="5"/>
      <c r="I16" s="5"/>
      <c r="J16" s="6"/>
      <c r="K16" s="5"/>
      <c r="L16" s="5"/>
      <c r="M16" s="6"/>
      <c r="N16" s="6"/>
      <c r="O16" s="5"/>
      <c r="P16" s="6"/>
      <c r="Q16" s="5"/>
      <c r="R16" s="8" t="str">
        <f aca="true">IF(COUNTA(B16:Q16)=0,"",IF(OR(NOT(ISNUMBER(B16)),B16&lt;DATE(2000,1,1),B16&gt;TODAY(),C16="",D16="",E16="",F16="",NOT(AND(ISNUMBER(G16),G16=INT(G16),G16&gt;=1,G16&lt;=10000)),NOT(OR(H16="Подпись на экземпляре",H16="ЭДО",H16="Письмо / курьер",H16="Иное подтверждение")),NOT(OR(L16="На проверке",L16="Принято",L16="Возврат")),NOT(ISNUMBER(M16)),M16&lt;B16,NOT(ISNUMBER(N16)),N16&lt;B16),"ЗАПОЛНИТЬ",IF(AND(COUNTIFS(C$5:C15,C16,D$5:D15,D16)&gt;0,O16=""),"СВЯЗАТЬ ПОВТОР",IF(AND(L16="Принято",OR(I16="",NOT(ISNUMBER(J16)),J16&lt;B16,J16&gt;TODAY(),K16="")),"ТРЕБУЕТСЯ ПОДТВЕРЖДЕНИЕ",IF(L16="Принято","ЗАКРЫТО",IF(L16="Возврат",IF(OR(NOT(ISNUMBER(P16)),P16&lt;B16,P16&gt;TODAY(),Q16=""),"УКАЗАТЬ ВОЗВРАТ","ВОЗВРАТ ЗАФИКСИРОВАН"),IF(N16&gt;M16,"СРОК ОТВЕТА ИСТЁК","В РАБОТЕ")))))))</f>
        <v/>
      </c>
    </row>
    <row r="17" customFormat="false" ht="24" hidden="false" customHeight="true" outlineLevel="0" collapsed="false">
      <c r="A17" s="5" t="n">
        <v>13</v>
      </c>
      <c r="B17" s="6"/>
      <c r="C17" s="5"/>
      <c r="D17" s="5"/>
      <c r="E17" s="5"/>
      <c r="F17" s="5"/>
      <c r="G17" s="7"/>
      <c r="H17" s="5"/>
      <c r="I17" s="5"/>
      <c r="J17" s="6"/>
      <c r="K17" s="5"/>
      <c r="L17" s="5"/>
      <c r="M17" s="6"/>
      <c r="N17" s="6"/>
      <c r="O17" s="5"/>
      <c r="P17" s="6"/>
      <c r="Q17" s="5"/>
      <c r="R17" s="8" t="str">
        <f aca="true">IF(COUNTA(B17:Q17)=0,"",IF(OR(NOT(ISNUMBER(B17)),B17&lt;DATE(2000,1,1),B17&gt;TODAY(),C17="",D17="",E17="",F17="",NOT(AND(ISNUMBER(G17),G17=INT(G17),G17&gt;=1,G17&lt;=10000)),NOT(OR(H17="Подпись на экземпляре",H17="ЭДО",H17="Письмо / курьер",H17="Иное подтверждение")),NOT(OR(L17="На проверке",L17="Принято",L17="Возврат")),NOT(ISNUMBER(M17)),M17&lt;B17,NOT(ISNUMBER(N17)),N17&lt;B17),"ЗАПОЛНИТЬ",IF(AND(COUNTIFS(C$5:C16,C17,D$5:D16,D17)&gt;0,O17=""),"СВЯЗАТЬ ПОВТОР",IF(AND(L17="Принято",OR(I17="",NOT(ISNUMBER(J17)),J17&lt;B17,J17&gt;TODAY(),K17="")),"ТРЕБУЕТСЯ ПОДТВЕРЖДЕНИЕ",IF(L17="Принято","ЗАКРЫТО",IF(L17="Возврат",IF(OR(NOT(ISNUMBER(P17)),P17&lt;B17,P17&gt;TODAY(),Q17=""),"УКАЗАТЬ ВОЗВРАТ","ВОЗВРАТ ЗАФИКСИРОВАН"),IF(N17&gt;M17,"СРОК ОТВЕТА ИСТЁК","В РАБОТЕ")))))))</f>
        <v/>
      </c>
    </row>
    <row r="18" customFormat="false" ht="24" hidden="false" customHeight="true" outlineLevel="0" collapsed="false">
      <c r="A18" s="5" t="n">
        <v>14</v>
      </c>
      <c r="B18" s="6"/>
      <c r="C18" s="5"/>
      <c r="D18" s="5"/>
      <c r="E18" s="5"/>
      <c r="F18" s="5"/>
      <c r="G18" s="7"/>
      <c r="H18" s="5"/>
      <c r="I18" s="5"/>
      <c r="J18" s="6"/>
      <c r="K18" s="5"/>
      <c r="L18" s="5"/>
      <c r="M18" s="6"/>
      <c r="N18" s="6"/>
      <c r="O18" s="5"/>
      <c r="P18" s="6"/>
      <c r="Q18" s="5"/>
      <c r="R18" s="8" t="str">
        <f aca="true">IF(COUNTA(B18:Q18)=0,"",IF(OR(NOT(ISNUMBER(B18)),B18&lt;DATE(2000,1,1),B18&gt;TODAY(),C18="",D18="",E18="",F18="",NOT(AND(ISNUMBER(G18),G18=INT(G18),G18&gt;=1,G18&lt;=10000)),NOT(OR(H18="Подпись на экземпляре",H18="ЭДО",H18="Письмо / курьер",H18="Иное подтверждение")),NOT(OR(L18="На проверке",L18="Принято",L18="Возврат")),NOT(ISNUMBER(M18)),M18&lt;B18,NOT(ISNUMBER(N18)),N18&lt;B18),"ЗАПОЛНИТЬ",IF(AND(COUNTIFS(C$5:C17,C18,D$5:D17,D18)&gt;0,O18=""),"СВЯЗАТЬ ПОВТОР",IF(AND(L18="Принято",OR(I18="",NOT(ISNUMBER(J18)),J18&lt;B18,J18&gt;TODAY(),K18="")),"ТРЕБУЕТСЯ ПОДТВЕРЖДЕНИЕ",IF(L18="Принято","ЗАКРЫТО",IF(L18="Возврат",IF(OR(NOT(ISNUMBER(P18)),P18&lt;B18,P18&gt;TODAY(),Q18=""),"УКАЗАТЬ ВОЗВРАТ","ВОЗВРАТ ЗАФИКСИРОВАН"),IF(N18&gt;M18,"СРОК ОТВЕТА ИСТЁК","В РАБОТЕ")))))))</f>
        <v/>
      </c>
    </row>
    <row r="19" customFormat="false" ht="24" hidden="false" customHeight="true" outlineLevel="0" collapsed="false">
      <c r="A19" s="5" t="n">
        <v>15</v>
      </c>
      <c r="B19" s="6"/>
      <c r="C19" s="5"/>
      <c r="D19" s="5"/>
      <c r="E19" s="5"/>
      <c r="F19" s="5"/>
      <c r="G19" s="7"/>
      <c r="H19" s="5"/>
      <c r="I19" s="5"/>
      <c r="J19" s="6"/>
      <c r="K19" s="5"/>
      <c r="L19" s="5"/>
      <c r="M19" s="6"/>
      <c r="N19" s="6"/>
      <c r="O19" s="5"/>
      <c r="P19" s="6"/>
      <c r="Q19" s="5"/>
      <c r="R19" s="8" t="str">
        <f aca="true">IF(COUNTA(B19:Q19)=0,"",IF(OR(NOT(ISNUMBER(B19)),B19&lt;DATE(2000,1,1),B19&gt;TODAY(),C19="",D19="",E19="",F19="",NOT(AND(ISNUMBER(G19),G19=INT(G19),G19&gt;=1,G19&lt;=10000)),NOT(OR(H19="Подпись на экземпляре",H19="ЭДО",H19="Письмо / курьер",H19="Иное подтверждение")),NOT(OR(L19="На проверке",L19="Принято",L19="Возврат")),NOT(ISNUMBER(M19)),M19&lt;B19,NOT(ISNUMBER(N19)),N19&lt;B19),"ЗАПОЛНИТЬ",IF(AND(COUNTIFS(C$5:C18,C19,D$5:D18,D19)&gt;0,O19=""),"СВЯЗАТЬ ПОВТОР",IF(AND(L19="Принято",OR(I19="",NOT(ISNUMBER(J19)),J19&lt;B19,J19&gt;TODAY(),K19="")),"ТРЕБУЕТСЯ ПОДТВЕРЖДЕНИЕ",IF(L19="Принято","ЗАКРЫТО",IF(L19="Возврат",IF(OR(NOT(ISNUMBER(P19)),P19&lt;B19,P19&gt;TODAY(),Q19=""),"УКАЗАТЬ ВОЗВРАТ","ВОЗВРАТ ЗАФИКСИРОВАН"),IF(N19&gt;M19,"СРОК ОТВЕТА ИСТЁК","В РАБОТЕ")))))))</f>
        <v/>
      </c>
    </row>
    <row r="20" customFormat="false" ht="24" hidden="false" customHeight="true" outlineLevel="0" collapsed="false">
      <c r="A20" s="5" t="n">
        <v>16</v>
      </c>
      <c r="B20" s="6"/>
      <c r="C20" s="5"/>
      <c r="D20" s="5"/>
      <c r="E20" s="5"/>
      <c r="F20" s="5"/>
      <c r="G20" s="7"/>
      <c r="H20" s="5"/>
      <c r="I20" s="5"/>
      <c r="J20" s="6"/>
      <c r="K20" s="5"/>
      <c r="L20" s="5"/>
      <c r="M20" s="6"/>
      <c r="N20" s="6"/>
      <c r="O20" s="5"/>
      <c r="P20" s="6"/>
      <c r="Q20" s="5"/>
      <c r="R20" s="8" t="str">
        <f aca="true">IF(COUNTA(B20:Q20)=0,"",IF(OR(NOT(ISNUMBER(B20)),B20&lt;DATE(2000,1,1),B20&gt;TODAY(),C20="",D20="",E20="",F20="",NOT(AND(ISNUMBER(G20),G20=INT(G20),G20&gt;=1,G20&lt;=10000)),NOT(OR(H20="Подпись на экземпляре",H20="ЭДО",H20="Письмо / курьер",H20="Иное подтверждение")),NOT(OR(L20="На проверке",L20="Принято",L20="Возврат")),NOT(ISNUMBER(M20)),M20&lt;B20,NOT(ISNUMBER(N20)),N20&lt;B20),"ЗАПОЛНИТЬ",IF(AND(COUNTIFS(C$5:C19,C20,D$5:D19,D20)&gt;0,O20=""),"СВЯЗАТЬ ПОВТОР",IF(AND(L20="Принято",OR(I20="",NOT(ISNUMBER(J20)),J20&lt;B20,J20&gt;TODAY(),K20="")),"ТРЕБУЕТСЯ ПОДТВЕРЖДЕНИЕ",IF(L20="Принято","ЗАКРЫТО",IF(L20="Возврат",IF(OR(NOT(ISNUMBER(P20)),P20&lt;B20,P20&gt;TODAY(),Q20=""),"УКАЗАТЬ ВОЗВРАТ","ВОЗВРАТ ЗАФИКСИРОВАН"),IF(N20&gt;M20,"СРОК ОТВЕТА ИСТЁК","В РАБОТЕ")))))))</f>
        <v/>
      </c>
    </row>
    <row r="21" customFormat="false" ht="24" hidden="false" customHeight="true" outlineLevel="0" collapsed="false">
      <c r="A21" s="5" t="n">
        <v>17</v>
      </c>
      <c r="B21" s="6"/>
      <c r="C21" s="5"/>
      <c r="D21" s="5"/>
      <c r="E21" s="5"/>
      <c r="F21" s="5"/>
      <c r="G21" s="7"/>
      <c r="H21" s="5"/>
      <c r="I21" s="5"/>
      <c r="J21" s="6"/>
      <c r="K21" s="5"/>
      <c r="L21" s="5"/>
      <c r="M21" s="6"/>
      <c r="N21" s="6"/>
      <c r="O21" s="5"/>
      <c r="P21" s="6"/>
      <c r="Q21" s="5"/>
      <c r="R21" s="8" t="str">
        <f aca="true">IF(COUNTA(B21:Q21)=0,"",IF(OR(NOT(ISNUMBER(B21)),B21&lt;DATE(2000,1,1),B21&gt;TODAY(),C21="",D21="",E21="",F21="",NOT(AND(ISNUMBER(G21),G21=INT(G21),G21&gt;=1,G21&lt;=10000)),NOT(OR(H21="Подпись на экземпляре",H21="ЭДО",H21="Письмо / курьер",H21="Иное подтверждение")),NOT(OR(L21="На проверке",L21="Принято",L21="Возврат")),NOT(ISNUMBER(M21)),M21&lt;B21,NOT(ISNUMBER(N21)),N21&lt;B21),"ЗАПОЛНИТЬ",IF(AND(COUNTIFS(C$5:C20,C21,D$5:D20,D21)&gt;0,O21=""),"СВЯЗАТЬ ПОВТОР",IF(AND(L21="Принято",OR(I21="",NOT(ISNUMBER(J21)),J21&lt;B21,J21&gt;TODAY(),K21="")),"ТРЕБУЕТСЯ ПОДТВЕРЖДЕНИЕ",IF(L21="Принято","ЗАКРЫТО",IF(L21="Возврат",IF(OR(NOT(ISNUMBER(P21)),P21&lt;B21,P21&gt;TODAY(),Q21=""),"УКАЗАТЬ ВОЗВРАТ","ВОЗВРАТ ЗАФИКСИРОВАН"),IF(N21&gt;M21,"СРОК ОТВЕТА ИСТЁК","В РАБОТЕ")))))))</f>
        <v/>
      </c>
    </row>
    <row r="22" customFormat="false" ht="24" hidden="false" customHeight="true" outlineLevel="0" collapsed="false">
      <c r="A22" s="5" t="n">
        <v>18</v>
      </c>
      <c r="B22" s="6"/>
      <c r="C22" s="5"/>
      <c r="D22" s="5"/>
      <c r="E22" s="5"/>
      <c r="F22" s="5"/>
      <c r="G22" s="7"/>
      <c r="H22" s="5"/>
      <c r="I22" s="5"/>
      <c r="J22" s="6"/>
      <c r="K22" s="5"/>
      <c r="L22" s="5"/>
      <c r="M22" s="6"/>
      <c r="N22" s="6"/>
      <c r="O22" s="5"/>
      <c r="P22" s="6"/>
      <c r="Q22" s="5"/>
      <c r="R22" s="8" t="str">
        <f aca="true">IF(COUNTA(B22:Q22)=0,"",IF(OR(NOT(ISNUMBER(B22)),B22&lt;DATE(2000,1,1),B22&gt;TODAY(),C22="",D22="",E22="",F22="",NOT(AND(ISNUMBER(G22),G22=INT(G22),G22&gt;=1,G22&lt;=10000)),NOT(OR(H22="Подпись на экземпляре",H22="ЭДО",H22="Письмо / курьер",H22="Иное подтверждение")),NOT(OR(L22="На проверке",L22="Принято",L22="Возврат")),NOT(ISNUMBER(M22)),M22&lt;B22,NOT(ISNUMBER(N22)),N22&lt;B22),"ЗАПОЛНИТЬ",IF(AND(COUNTIFS(C$5:C21,C22,D$5:D21,D22)&gt;0,O22=""),"СВЯЗАТЬ ПОВТОР",IF(AND(L22="Принято",OR(I22="",NOT(ISNUMBER(J22)),J22&lt;B22,J22&gt;TODAY(),K22="")),"ТРЕБУЕТСЯ ПОДТВЕРЖДЕНИЕ",IF(L22="Принято","ЗАКРЫТО",IF(L22="Возврат",IF(OR(NOT(ISNUMBER(P22)),P22&lt;B22,P22&gt;TODAY(),Q22=""),"УКАЗАТЬ ВОЗВРАТ","ВОЗВРАТ ЗАФИКСИРОВАН"),IF(N22&gt;M22,"СРОК ОТВЕТА ИСТЁК","В РАБОТЕ")))))))</f>
        <v/>
      </c>
    </row>
    <row r="23" customFormat="false" ht="24" hidden="false" customHeight="true" outlineLevel="0" collapsed="false">
      <c r="A23" s="5" t="n">
        <v>19</v>
      </c>
      <c r="B23" s="6"/>
      <c r="C23" s="5"/>
      <c r="D23" s="5"/>
      <c r="E23" s="5"/>
      <c r="F23" s="5"/>
      <c r="G23" s="7"/>
      <c r="H23" s="5"/>
      <c r="I23" s="5"/>
      <c r="J23" s="6"/>
      <c r="K23" s="5"/>
      <c r="L23" s="5"/>
      <c r="M23" s="6"/>
      <c r="N23" s="6"/>
      <c r="O23" s="5"/>
      <c r="P23" s="6"/>
      <c r="Q23" s="5"/>
      <c r="R23" s="8" t="str">
        <f aca="true">IF(COUNTA(B23:Q23)=0,"",IF(OR(NOT(ISNUMBER(B23)),B23&lt;DATE(2000,1,1),B23&gt;TODAY(),C23="",D23="",E23="",F23="",NOT(AND(ISNUMBER(G23),G23=INT(G23),G23&gt;=1,G23&lt;=10000)),NOT(OR(H23="Подпись на экземпляре",H23="ЭДО",H23="Письмо / курьер",H23="Иное подтверждение")),NOT(OR(L23="На проверке",L23="Принято",L23="Возврат")),NOT(ISNUMBER(M23)),M23&lt;B23,NOT(ISNUMBER(N23)),N23&lt;B23),"ЗАПОЛНИТЬ",IF(AND(COUNTIFS(C$5:C22,C23,D$5:D22,D23)&gt;0,O23=""),"СВЯЗАТЬ ПОВТОР",IF(AND(L23="Принято",OR(I23="",NOT(ISNUMBER(J23)),J23&lt;B23,J23&gt;TODAY(),K23="")),"ТРЕБУЕТСЯ ПОДТВЕРЖДЕНИЕ",IF(L23="Принято","ЗАКРЫТО",IF(L23="Возврат",IF(OR(NOT(ISNUMBER(P23)),P23&lt;B23,P23&gt;TODAY(),Q23=""),"УКАЗАТЬ ВОЗВРАТ","ВОЗВРАТ ЗАФИКСИРОВАН"),IF(N23&gt;M23,"СРОК ОТВЕТА ИСТЁК","В РАБОТЕ")))))))</f>
        <v/>
      </c>
    </row>
    <row r="24" customFormat="false" ht="24" hidden="false" customHeight="true" outlineLevel="0" collapsed="false">
      <c r="A24" s="5" t="n">
        <v>20</v>
      </c>
      <c r="B24" s="6"/>
      <c r="C24" s="5"/>
      <c r="D24" s="5"/>
      <c r="E24" s="5"/>
      <c r="F24" s="5"/>
      <c r="G24" s="7"/>
      <c r="H24" s="5"/>
      <c r="I24" s="5"/>
      <c r="J24" s="6"/>
      <c r="K24" s="5"/>
      <c r="L24" s="5"/>
      <c r="M24" s="6"/>
      <c r="N24" s="6"/>
      <c r="O24" s="5"/>
      <c r="P24" s="6"/>
      <c r="Q24" s="5"/>
      <c r="R24" s="8" t="str">
        <f aca="true">IF(COUNTA(B24:Q24)=0,"",IF(OR(NOT(ISNUMBER(B24)),B24&lt;DATE(2000,1,1),B24&gt;TODAY(),C24="",D24="",E24="",F24="",NOT(AND(ISNUMBER(G24),G24=INT(G24),G24&gt;=1,G24&lt;=10000)),NOT(OR(H24="Подпись на экземпляре",H24="ЭДО",H24="Письмо / курьер",H24="Иное подтверждение")),NOT(OR(L24="На проверке",L24="Принято",L24="Возврат")),NOT(ISNUMBER(M24)),M24&lt;B24,NOT(ISNUMBER(N24)),N24&lt;B24),"ЗАПОЛНИТЬ",IF(AND(COUNTIFS(C$5:C23,C24,D$5:D23,D24)&gt;0,O24=""),"СВЯЗАТЬ ПОВТОР",IF(AND(L24="Принято",OR(I24="",NOT(ISNUMBER(J24)),J24&lt;B24,J24&gt;TODAY(),K24="")),"ТРЕБУЕТСЯ ПОДТВЕРЖДЕНИЕ",IF(L24="Принято","ЗАКРЫТО",IF(L24="Возврат",IF(OR(NOT(ISNUMBER(P24)),P24&lt;B24,P24&gt;TODAY(),Q24=""),"УКАЗАТЬ ВОЗВРАТ","ВОЗВРАТ ЗАФИКСИРОВАН"),IF(N24&gt;M24,"СРОК ОТВЕТА ИСТЁК","В РАБОТЕ")))))))</f>
        <v/>
      </c>
    </row>
    <row r="25" customFormat="false" ht="24" hidden="false" customHeight="true" outlineLevel="0" collapsed="false">
      <c r="A25" s="5" t="n">
        <v>21</v>
      </c>
      <c r="B25" s="6"/>
      <c r="C25" s="5"/>
      <c r="D25" s="5"/>
      <c r="E25" s="5"/>
      <c r="F25" s="5"/>
      <c r="G25" s="7"/>
      <c r="H25" s="5"/>
      <c r="I25" s="5"/>
      <c r="J25" s="6"/>
      <c r="K25" s="5"/>
      <c r="L25" s="5"/>
      <c r="M25" s="6"/>
      <c r="N25" s="6"/>
      <c r="O25" s="5"/>
      <c r="P25" s="6"/>
      <c r="Q25" s="5"/>
      <c r="R25" s="8" t="str">
        <f aca="true">IF(COUNTA(B25:Q25)=0,"",IF(OR(NOT(ISNUMBER(B25)),B25&lt;DATE(2000,1,1),B25&gt;TODAY(),C25="",D25="",E25="",F25="",NOT(AND(ISNUMBER(G25),G25=INT(G25),G25&gt;=1,G25&lt;=10000)),NOT(OR(H25="Подпись на экземпляре",H25="ЭДО",H25="Письмо / курьер",H25="Иное подтверждение")),NOT(OR(L25="На проверке",L25="Принято",L25="Возврат")),NOT(ISNUMBER(M25)),M25&lt;B25,NOT(ISNUMBER(N25)),N25&lt;B25),"ЗАПОЛНИТЬ",IF(AND(COUNTIFS(C$5:C24,C25,D$5:D24,D25)&gt;0,O25=""),"СВЯЗАТЬ ПОВТОР",IF(AND(L25="Принято",OR(I25="",NOT(ISNUMBER(J25)),J25&lt;B25,J25&gt;TODAY(),K25="")),"ТРЕБУЕТСЯ ПОДТВЕРЖДЕНИЕ",IF(L25="Принято","ЗАКРЫТО",IF(L25="Возврат",IF(OR(NOT(ISNUMBER(P25)),P25&lt;B25,P25&gt;TODAY(),Q25=""),"УКАЗАТЬ ВОЗВРАТ","ВОЗВРАТ ЗАФИКСИРОВАН"),IF(N25&gt;M25,"СРОК ОТВЕТА ИСТЁК","В РАБОТЕ")))))))</f>
        <v/>
      </c>
    </row>
    <row r="26" customFormat="false" ht="24" hidden="false" customHeight="true" outlineLevel="0" collapsed="false">
      <c r="A26" s="5" t="n">
        <v>22</v>
      </c>
      <c r="B26" s="6"/>
      <c r="C26" s="5"/>
      <c r="D26" s="5"/>
      <c r="E26" s="5"/>
      <c r="F26" s="5"/>
      <c r="G26" s="7"/>
      <c r="H26" s="5"/>
      <c r="I26" s="5"/>
      <c r="J26" s="6"/>
      <c r="K26" s="5"/>
      <c r="L26" s="5"/>
      <c r="M26" s="6"/>
      <c r="N26" s="6"/>
      <c r="O26" s="5"/>
      <c r="P26" s="6"/>
      <c r="Q26" s="5"/>
      <c r="R26" s="8" t="str">
        <f aca="true">IF(COUNTA(B26:Q26)=0,"",IF(OR(NOT(ISNUMBER(B26)),B26&lt;DATE(2000,1,1),B26&gt;TODAY(),C26="",D26="",E26="",F26="",NOT(AND(ISNUMBER(G26),G26=INT(G26),G26&gt;=1,G26&lt;=10000)),NOT(OR(H26="Подпись на экземпляре",H26="ЭДО",H26="Письмо / курьер",H26="Иное подтверждение")),NOT(OR(L26="На проверке",L26="Принято",L26="Возврат")),NOT(ISNUMBER(M26)),M26&lt;B26,NOT(ISNUMBER(N26)),N26&lt;B26),"ЗАПОЛНИТЬ",IF(AND(COUNTIFS(C$5:C25,C26,D$5:D25,D26)&gt;0,O26=""),"СВЯЗАТЬ ПОВТОР",IF(AND(L26="Принято",OR(I26="",NOT(ISNUMBER(J26)),J26&lt;B26,J26&gt;TODAY(),K26="")),"ТРЕБУЕТСЯ ПОДТВЕРЖДЕНИЕ",IF(L26="Принято","ЗАКРЫТО",IF(L26="Возврат",IF(OR(NOT(ISNUMBER(P26)),P26&lt;B26,P26&gt;TODAY(),Q26=""),"УКАЗАТЬ ВОЗВРАТ","ВОЗВРАТ ЗАФИКСИРОВАН"),IF(N26&gt;M26,"СРОК ОТВЕТА ИСТЁК","В РАБОТЕ")))))))</f>
        <v/>
      </c>
    </row>
    <row r="27" customFormat="false" ht="24" hidden="false" customHeight="true" outlineLevel="0" collapsed="false">
      <c r="A27" s="5" t="n">
        <v>23</v>
      </c>
      <c r="B27" s="6"/>
      <c r="C27" s="5"/>
      <c r="D27" s="5"/>
      <c r="E27" s="5"/>
      <c r="F27" s="5"/>
      <c r="G27" s="7"/>
      <c r="H27" s="5"/>
      <c r="I27" s="5"/>
      <c r="J27" s="6"/>
      <c r="K27" s="5"/>
      <c r="L27" s="5"/>
      <c r="M27" s="6"/>
      <c r="N27" s="6"/>
      <c r="O27" s="5"/>
      <c r="P27" s="6"/>
      <c r="Q27" s="5"/>
      <c r="R27" s="8" t="str">
        <f aca="true">IF(COUNTA(B27:Q27)=0,"",IF(OR(NOT(ISNUMBER(B27)),B27&lt;DATE(2000,1,1),B27&gt;TODAY(),C27="",D27="",E27="",F27="",NOT(AND(ISNUMBER(G27),G27=INT(G27),G27&gt;=1,G27&lt;=10000)),NOT(OR(H27="Подпись на экземпляре",H27="ЭДО",H27="Письмо / курьер",H27="Иное подтверждение")),NOT(OR(L27="На проверке",L27="Принято",L27="Возврат")),NOT(ISNUMBER(M27)),M27&lt;B27,NOT(ISNUMBER(N27)),N27&lt;B27),"ЗАПОЛНИТЬ",IF(AND(COUNTIFS(C$5:C26,C27,D$5:D26,D27)&gt;0,O27=""),"СВЯЗАТЬ ПОВТОР",IF(AND(L27="Принято",OR(I27="",NOT(ISNUMBER(J27)),J27&lt;B27,J27&gt;TODAY(),K27="")),"ТРЕБУЕТСЯ ПОДТВЕРЖДЕНИЕ",IF(L27="Принято","ЗАКРЫТО",IF(L27="Возврат",IF(OR(NOT(ISNUMBER(P27)),P27&lt;B27,P27&gt;TODAY(),Q27=""),"УКАЗАТЬ ВОЗВРАТ","ВОЗВРАТ ЗАФИКСИРОВАН"),IF(N27&gt;M27,"СРОК ОТВЕТА ИСТЁК","В РАБОТЕ")))))))</f>
        <v/>
      </c>
    </row>
    <row r="28" customFormat="false" ht="24" hidden="false" customHeight="true" outlineLevel="0" collapsed="false">
      <c r="A28" s="5" t="n">
        <v>24</v>
      </c>
      <c r="B28" s="6"/>
      <c r="C28" s="5"/>
      <c r="D28" s="5"/>
      <c r="E28" s="5"/>
      <c r="F28" s="5"/>
      <c r="G28" s="7"/>
      <c r="H28" s="5"/>
      <c r="I28" s="5"/>
      <c r="J28" s="6"/>
      <c r="K28" s="5"/>
      <c r="L28" s="5"/>
      <c r="M28" s="6"/>
      <c r="N28" s="6"/>
      <c r="O28" s="5"/>
      <c r="P28" s="6"/>
      <c r="Q28" s="5"/>
      <c r="R28" s="8" t="str">
        <f aca="true">IF(COUNTA(B28:Q28)=0,"",IF(OR(NOT(ISNUMBER(B28)),B28&lt;DATE(2000,1,1),B28&gt;TODAY(),C28="",D28="",E28="",F28="",NOT(AND(ISNUMBER(G28),G28=INT(G28),G28&gt;=1,G28&lt;=10000)),NOT(OR(H28="Подпись на экземпляре",H28="ЭДО",H28="Письмо / курьер",H28="Иное подтверждение")),NOT(OR(L28="На проверке",L28="Принято",L28="Возврат")),NOT(ISNUMBER(M28)),M28&lt;B28,NOT(ISNUMBER(N28)),N28&lt;B28),"ЗАПОЛНИТЬ",IF(AND(COUNTIFS(C$5:C27,C28,D$5:D27,D28)&gt;0,O28=""),"СВЯЗАТЬ ПОВТОР",IF(AND(L28="Принято",OR(I28="",NOT(ISNUMBER(J28)),J28&lt;B28,J28&gt;TODAY(),K28="")),"ТРЕБУЕТСЯ ПОДТВЕРЖДЕНИЕ",IF(L28="Принято","ЗАКРЫТО",IF(L28="Возврат",IF(OR(NOT(ISNUMBER(P28)),P28&lt;B28,P28&gt;TODAY(),Q28=""),"УКАЗАТЬ ВОЗВРАТ","ВОЗВРАТ ЗАФИКСИРОВАН"),IF(N28&gt;M28,"СРОК ОТВЕТА ИСТЁК","В РАБОТЕ")))))))</f>
        <v/>
      </c>
    </row>
    <row r="29" customFormat="false" ht="24" hidden="false" customHeight="true" outlineLevel="0" collapsed="false">
      <c r="A29" s="5" t="n">
        <v>25</v>
      </c>
      <c r="B29" s="6"/>
      <c r="C29" s="5"/>
      <c r="D29" s="5"/>
      <c r="E29" s="5"/>
      <c r="F29" s="5"/>
      <c r="G29" s="7"/>
      <c r="H29" s="5"/>
      <c r="I29" s="5"/>
      <c r="J29" s="6"/>
      <c r="K29" s="5"/>
      <c r="L29" s="5"/>
      <c r="M29" s="6"/>
      <c r="N29" s="6"/>
      <c r="O29" s="5"/>
      <c r="P29" s="6"/>
      <c r="Q29" s="5"/>
      <c r="R29" s="8" t="str">
        <f aca="true">IF(COUNTA(B29:Q29)=0,"",IF(OR(NOT(ISNUMBER(B29)),B29&lt;DATE(2000,1,1),B29&gt;TODAY(),C29="",D29="",E29="",F29="",NOT(AND(ISNUMBER(G29),G29=INT(G29),G29&gt;=1,G29&lt;=10000)),NOT(OR(H29="Подпись на экземпляре",H29="ЭДО",H29="Письмо / курьер",H29="Иное подтверждение")),NOT(OR(L29="На проверке",L29="Принято",L29="Возврат")),NOT(ISNUMBER(M29)),M29&lt;B29,NOT(ISNUMBER(N29)),N29&lt;B29),"ЗАПОЛНИТЬ",IF(AND(COUNTIFS(C$5:C28,C29,D$5:D28,D29)&gt;0,O29=""),"СВЯЗАТЬ ПОВТОР",IF(AND(L29="Принято",OR(I29="",NOT(ISNUMBER(J29)),J29&lt;B29,J29&gt;TODAY(),K29="")),"ТРЕБУЕТСЯ ПОДТВЕРЖДЕНИЕ",IF(L29="Принято","ЗАКРЫТО",IF(L29="Возврат",IF(OR(NOT(ISNUMBER(P29)),P29&lt;B29,P29&gt;TODAY(),Q29=""),"УКАЗАТЬ ВОЗВРАТ","ВОЗВРАТ ЗАФИКСИРОВАН"),IF(N29&gt;M29,"СРОК ОТВЕТА ИСТЁК","В РАБОТЕ")))))))</f>
        <v/>
      </c>
    </row>
    <row r="30" customFormat="false" ht="24" hidden="false" customHeight="true" outlineLevel="0" collapsed="false">
      <c r="A30" s="5" t="n">
        <v>26</v>
      </c>
      <c r="B30" s="6"/>
      <c r="C30" s="5"/>
      <c r="D30" s="5"/>
      <c r="E30" s="5"/>
      <c r="F30" s="5"/>
      <c r="G30" s="7"/>
      <c r="H30" s="5"/>
      <c r="I30" s="5"/>
      <c r="J30" s="6"/>
      <c r="K30" s="5"/>
      <c r="L30" s="5"/>
      <c r="M30" s="6"/>
      <c r="N30" s="6"/>
      <c r="O30" s="5"/>
      <c r="P30" s="6"/>
      <c r="Q30" s="5"/>
      <c r="R30" s="8" t="str">
        <f aca="true">IF(COUNTA(B30:Q30)=0,"",IF(OR(NOT(ISNUMBER(B30)),B30&lt;DATE(2000,1,1),B30&gt;TODAY(),C30="",D30="",E30="",F30="",NOT(AND(ISNUMBER(G30),G30=INT(G30),G30&gt;=1,G30&lt;=10000)),NOT(OR(H30="Подпись на экземпляре",H30="ЭДО",H30="Письмо / курьер",H30="Иное подтверждение")),NOT(OR(L30="На проверке",L30="Принято",L30="Возврат")),NOT(ISNUMBER(M30)),M30&lt;B30,NOT(ISNUMBER(N30)),N30&lt;B30),"ЗАПОЛНИТЬ",IF(AND(COUNTIFS(C$5:C29,C30,D$5:D29,D30)&gt;0,O30=""),"СВЯЗАТЬ ПОВТОР",IF(AND(L30="Принято",OR(I30="",NOT(ISNUMBER(J30)),J30&lt;B30,J30&gt;TODAY(),K30="")),"ТРЕБУЕТСЯ ПОДТВЕРЖДЕНИЕ",IF(L30="Принято","ЗАКРЫТО",IF(L30="Возврат",IF(OR(NOT(ISNUMBER(P30)),P30&lt;B30,P30&gt;TODAY(),Q30=""),"УКАЗАТЬ ВОЗВРАТ","ВОЗВРАТ ЗАФИКСИРОВАН"),IF(N30&gt;M30,"СРОК ОТВЕТА ИСТЁК","В РАБОТЕ")))))))</f>
        <v/>
      </c>
    </row>
    <row r="31" customFormat="false" ht="24" hidden="false" customHeight="true" outlineLevel="0" collapsed="false">
      <c r="A31" s="5" t="n">
        <v>27</v>
      </c>
      <c r="B31" s="6"/>
      <c r="C31" s="5"/>
      <c r="D31" s="5"/>
      <c r="E31" s="5"/>
      <c r="F31" s="5"/>
      <c r="G31" s="7"/>
      <c r="H31" s="5"/>
      <c r="I31" s="5"/>
      <c r="J31" s="6"/>
      <c r="K31" s="5"/>
      <c r="L31" s="5"/>
      <c r="M31" s="6"/>
      <c r="N31" s="6"/>
      <c r="O31" s="5"/>
      <c r="P31" s="6"/>
      <c r="Q31" s="5"/>
      <c r="R31" s="8" t="str">
        <f aca="true">IF(COUNTA(B31:Q31)=0,"",IF(OR(NOT(ISNUMBER(B31)),B31&lt;DATE(2000,1,1),B31&gt;TODAY(),C31="",D31="",E31="",F31="",NOT(AND(ISNUMBER(G31),G31=INT(G31),G31&gt;=1,G31&lt;=10000)),NOT(OR(H31="Подпись на экземпляре",H31="ЭДО",H31="Письмо / курьер",H31="Иное подтверждение")),NOT(OR(L31="На проверке",L31="Принято",L31="Возврат")),NOT(ISNUMBER(M31)),M31&lt;B31,NOT(ISNUMBER(N31)),N31&lt;B31),"ЗАПОЛНИТЬ",IF(AND(COUNTIFS(C$5:C30,C31,D$5:D30,D31)&gt;0,O31=""),"СВЯЗАТЬ ПОВТОР",IF(AND(L31="Принято",OR(I31="",NOT(ISNUMBER(J31)),J31&lt;B31,J31&gt;TODAY(),K31="")),"ТРЕБУЕТСЯ ПОДТВЕРЖДЕНИЕ",IF(L31="Принято","ЗАКРЫТО",IF(L31="Возврат",IF(OR(NOT(ISNUMBER(P31)),P31&lt;B31,P31&gt;TODAY(),Q31=""),"УКАЗАТЬ ВОЗВРАТ","ВОЗВРАТ ЗАФИКСИРОВАН"),IF(N31&gt;M31,"СРОК ОТВЕТА ИСТЁК","В РАБОТЕ")))))))</f>
        <v/>
      </c>
    </row>
    <row r="32" customFormat="false" ht="24" hidden="false" customHeight="true" outlineLevel="0" collapsed="false">
      <c r="A32" s="5" t="n">
        <v>28</v>
      </c>
      <c r="B32" s="6"/>
      <c r="C32" s="5"/>
      <c r="D32" s="5"/>
      <c r="E32" s="5"/>
      <c r="F32" s="5"/>
      <c r="G32" s="7"/>
      <c r="H32" s="5"/>
      <c r="I32" s="5"/>
      <c r="J32" s="6"/>
      <c r="K32" s="5"/>
      <c r="L32" s="5"/>
      <c r="M32" s="6"/>
      <c r="N32" s="6"/>
      <c r="O32" s="5"/>
      <c r="P32" s="6"/>
      <c r="Q32" s="5"/>
      <c r="R32" s="8" t="str">
        <f aca="true">IF(COUNTA(B32:Q32)=0,"",IF(OR(NOT(ISNUMBER(B32)),B32&lt;DATE(2000,1,1),B32&gt;TODAY(),C32="",D32="",E32="",F32="",NOT(AND(ISNUMBER(G32),G32=INT(G32),G32&gt;=1,G32&lt;=10000)),NOT(OR(H32="Подпись на экземпляре",H32="ЭДО",H32="Письмо / курьер",H32="Иное подтверждение")),NOT(OR(L32="На проверке",L32="Принято",L32="Возврат")),NOT(ISNUMBER(M32)),M32&lt;B32,NOT(ISNUMBER(N32)),N32&lt;B32),"ЗАПОЛНИТЬ",IF(AND(COUNTIFS(C$5:C31,C32,D$5:D31,D32)&gt;0,O32=""),"СВЯЗАТЬ ПОВТОР",IF(AND(L32="Принято",OR(I32="",NOT(ISNUMBER(J32)),J32&lt;B32,J32&gt;TODAY(),K32="")),"ТРЕБУЕТСЯ ПОДТВЕРЖДЕНИЕ",IF(L32="Принято","ЗАКРЫТО",IF(L32="Возврат",IF(OR(NOT(ISNUMBER(P32)),P32&lt;B32,P32&gt;TODAY(),Q32=""),"УКАЗАТЬ ВОЗВРАТ","ВОЗВРАТ ЗАФИКСИРОВАН"),IF(N32&gt;M32,"СРОК ОТВЕТА ИСТЁК","В РАБОТЕ")))))))</f>
        <v/>
      </c>
    </row>
    <row r="33" customFormat="false" ht="24" hidden="false" customHeight="true" outlineLevel="0" collapsed="false">
      <c r="A33" s="5" t="n">
        <v>29</v>
      </c>
      <c r="B33" s="6"/>
      <c r="C33" s="5"/>
      <c r="D33" s="5"/>
      <c r="E33" s="5"/>
      <c r="F33" s="5"/>
      <c r="G33" s="7"/>
      <c r="H33" s="5"/>
      <c r="I33" s="5"/>
      <c r="J33" s="6"/>
      <c r="K33" s="5"/>
      <c r="L33" s="5"/>
      <c r="M33" s="6"/>
      <c r="N33" s="6"/>
      <c r="O33" s="5"/>
      <c r="P33" s="6"/>
      <c r="Q33" s="5"/>
      <c r="R33" s="8" t="str">
        <f aca="true">IF(COUNTA(B33:Q33)=0,"",IF(OR(NOT(ISNUMBER(B33)),B33&lt;DATE(2000,1,1),B33&gt;TODAY(),C33="",D33="",E33="",F33="",NOT(AND(ISNUMBER(G33),G33=INT(G33),G33&gt;=1,G33&lt;=10000)),NOT(OR(H33="Подпись на экземпляре",H33="ЭДО",H33="Письмо / курьер",H33="Иное подтверждение")),NOT(OR(L33="На проверке",L33="Принято",L33="Возврат")),NOT(ISNUMBER(M33)),M33&lt;B33,NOT(ISNUMBER(N33)),N33&lt;B33),"ЗАПОЛНИТЬ",IF(AND(COUNTIFS(C$5:C32,C33,D$5:D32,D33)&gt;0,O33=""),"СВЯЗАТЬ ПОВТОР",IF(AND(L33="Принято",OR(I33="",NOT(ISNUMBER(J33)),J33&lt;B33,J33&gt;TODAY(),K33="")),"ТРЕБУЕТСЯ ПОДТВЕРЖДЕНИЕ",IF(L33="Принято","ЗАКРЫТО",IF(L33="Возврат",IF(OR(NOT(ISNUMBER(P33)),P33&lt;B33,P33&gt;TODAY(),Q33=""),"УКАЗАТЬ ВОЗВРАТ","ВОЗВРАТ ЗАФИКСИРОВАН"),IF(N33&gt;M33,"СРОК ОТВЕТА ИСТЁК","В РАБОТЕ")))))))</f>
        <v/>
      </c>
    </row>
    <row r="34" customFormat="false" ht="24" hidden="false" customHeight="true" outlineLevel="0" collapsed="false">
      <c r="A34" s="5" t="n">
        <v>30</v>
      </c>
      <c r="B34" s="6"/>
      <c r="C34" s="5"/>
      <c r="D34" s="5"/>
      <c r="E34" s="5"/>
      <c r="F34" s="5"/>
      <c r="G34" s="7"/>
      <c r="H34" s="5"/>
      <c r="I34" s="5"/>
      <c r="J34" s="6"/>
      <c r="K34" s="5"/>
      <c r="L34" s="5"/>
      <c r="M34" s="6"/>
      <c r="N34" s="6"/>
      <c r="O34" s="5"/>
      <c r="P34" s="6"/>
      <c r="Q34" s="5"/>
      <c r="R34" s="8" t="str">
        <f aca="true">IF(COUNTA(B34:Q34)=0,"",IF(OR(NOT(ISNUMBER(B34)),B34&lt;DATE(2000,1,1),B34&gt;TODAY(),C34="",D34="",E34="",F34="",NOT(AND(ISNUMBER(G34),G34=INT(G34),G34&gt;=1,G34&lt;=10000)),NOT(OR(H34="Подпись на экземпляре",H34="ЭДО",H34="Письмо / курьер",H34="Иное подтверждение")),NOT(OR(L34="На проверке",L34="Принято",L34="Возврат")),NOT(ISNUMBER(M34)),M34&lt;B34,NOT(ISNUMBER(N34)),N34&lt;B34),"ЗАПОЛНИТЬ",IF(AND(COUNTIFS(C$5:C33,C34,D$5:D33,D34)&gt;0,O34=""),"СВЯЗАТЬ ПОВТОР",IF(AND(L34="Принято",OR(I34="",NOT(ISNUMBER(J34)),J34&lt;B34,J34&gt;TODAY(),K34="")),"ТРЕБУЕТСЯ ПОДТВЕРЖДЕНИЕ",IF(L34="Принято","ЗАКРЫТО",IF(L34="Возврат",IF(OR(NOT(ISNUMBER(P34)),P34&lt;B34,P34&gt;TODAY(),Q34=""),"УКАЗАТЬ ВОЗВРАТ","ВОЗВРАТ ЗАФИКСИРОВАН"),IF(N34&gt;M34,"СРОК ОТВЕТА ИСТЁК","В РАБОТЕ")))))))</f>
        <v/>
      </c>
    </row>
    <row r="35" customFormat="false" ht="24" hidden="false" customHeight="true" outlineLevel="0" collapsed="false">
      <c r="A35" s="5" t="n">
        <v>31</v>
      </c>
      <c r="B35" s="6"/>
      <c r="C35" s="5"/>
      <c r="D35" s="5"/>
      <c r="E35" s="5"/>
      <c r="F35" s="5"/>
      <c r="G35" s="7"/>
      <c r="H35" s="5"/>
      <c r="I35" s="5"/>
      <c r="J35" s="6"/>
      <c r="K35" s="5"/>
      <c r="L35" s="5"/>
      <c r="M35" s="6"/>
      <c r="N35" s="6"/>
      <c r="O35" s="5"/>
      <c r="P35" s="6"/>
      <c r="Q35" s="5"/>
      <c r="R35" s="8" t="str">
        <f aca="true">IF(COUNTA(B35:Q35)=0,"",IF(OR(NOT(ISNUMBER(B35)),B35&lt;DATE(2000,1,1),B35&gt;TODAY(),C35="",D35="",E35="",F35="",NOT(AND(ISNUMBER(G35),G35=INT(G35),G35&gt;=1,G35&lt;=10000)),NOT(OR(H35="Подпись на экземпляре",H35="ЭДО",H35="Письмо / курьер",H35="Иное подтверждение")),NOT(OR(L35="На проверке",L35="Принято",L35="Возврат")),NOT(ISNUMBER(M35)),M35&lt;B35,NOT(ISNUMBER(N35)),N35&lt;B35),"ЗАПОЛНИТЬ",IF(AND(COUNTIFS(C$5:C34,C35,D$5:D34,D35)&gt;0,O35=""),"СВЯЗАТЬ ПОВТОР",IF(AND(L35="Принято",OR(I35="",NOT(ISNUMBER(J35)),J35&lt;B35,J35&gt;TODAY(),K35="")),"ТРЕБУЕТСЯ ПОДТВЕРЖДЕНИЕ",IF(L35="Принято","ЗАКРЫТО",IF(L35="Возврат",IF(OR(NOT(ISNUMBER(P35)),P35&lt;B35,P35&gt;TODAY(),Q35=""),"УКАЗАТЬ ВОЗВРАТ","ВОЗВРАТ ЗАФИКСИРОВАН"),IF(N35&gt;M35,"СРОК ОТВЕТА ИСТЁК","В РАБОТЕ")))))))</f>
        <v/>
      </c>
    </row>
    <row r="36" customFormat="false" ht="24" hidden="false" customHeight="true" outlineLevel="0" collapsed="false">
      <c r="A36" s="5" t="n">
        <v>32</v>
      </c>
      <c r="B36" s="6"/>
      <c r="C36" s="5"/>
      <c r="D36" s="5"/>
      <c r="E36" s="5"/>
      <c r="F36" s="5"/>
      <c r="G36" s="7"/>
      <c r="H36" s="5"/>
      <c r="I36" s="5"/>
      <c r="J36" s="6"/>
      <c r="K36" s="5"/>
      <c r="L36" s="5"/>
      <c r="M36" s="6"/>
      <c r="N36" s="6"/>
      <c r="O36" s="5"/>
      <c r="P36" s="6"/>
      <c r="Q36" s="5"/>
      <c r="R36" s="8" t="str">
        <f aca="true">IF(COUNTA(B36:Q36)=0,"",IF(OR(NOT(ISNUMBER(B36)),B36&lt;DATE(2000,1,1),B36&gt;TODAY(),C36="",D36="",E36="",F36="",NOT(AND(ISNUMBER(G36),G36=INT(G36),G36&gt;=1,G36&lt;=10000)),NOT(OR(H36="Подпись на экземпляре",H36="ЭДО",H36="Письмо / курьер",H36="Иное подтверждение")),NOT(OR(L36="На проверке",L36="Принято",L36="Возврат")),NOT(ISNUMBER(M36)),M36&lt;B36,NOT(ISNUMBER(N36)),N36&lt;B36),"ЗАПОЛНИТЬ",IF(AND(COUNTIFS(C$5:C35,C36,D$5:D35,D36)&gt;0,O36=""),"СВЯЗАТЬ ПОВТОР",IF(AND(L36="Принято",OR(I36="",NOT(ISNUMBER(J36)),J36&lt;B36,J36&gt;TODAY(),K36="")),"ТРЕБУЕТСЯ ПОДТВЕРЖДЕНИЕ",IF(L36="Принято","ЗАКРЫТО",IF(L36="Возврат",IF(OR(NOT(ISNUMBER(P36)),P36&lt;B36,P36&gt;TODAY(),Q36=""),"УКАЗАТЬ ВОЗВРАТ","ВОЗВРАТ ЗАФИКСИРОВАН"),IF(N36&gt;M36,"СРОК ОТВЕТА ИСТЁК","В РАБОТЕ")))))))</f>
        <v/>
      </c>
    </row>
    <row r="37" customFormat="false" ht="24" hidden="false" customHeight="true" outlineLevel="0" collapsed="false">
      <c r="A37" s="5" t="n">
        <v>33</v>
      </c>
      <c r="B37" s="6"/>
      <c r="C37" s="5"/>
      <c r="D37" s="5"/>
      <c r="E37" s="5"/>
      <c r="F37" s="5"/>
      <c r="G37" s="7"/>
      <c r="H37" s="5"/>
      <c r="I37" s="5"/>
      <c r="J37" s="6"/>
      <c r="K37" s="5"/>
      <c r="L37" s="5"/>
      <c r="M37" s="6"/>
      <c r="N37" s="6"/>
      <c r="O37" s="5"/>
      <c r="P37" s="6"/>
      <c r="Q37" s="5"/>
      <c r="R37" s="8" t="str">
        <f aca="true">IF(COUNTA(B37:Q37)=0,"",IF(OR(NOT(ISNUMBER(B37)),B37&lt;DATE(2000,1,1),B37&gt;TODAY(),C37="",D37="",E37="",F37="",NOT(AND(ISNUMBER(G37),G37=INT(G37),G37&gt;=1,G37&lt;=10000)),NOT(OR(H37="Подпись на экземпляре",H37="ЭДО",H37="Письмо / курьер",H37="Иное подтверждение")),NOT(OR(L37="На проверке",L37="Принято",L37="Возврат")),NOT(ISNUMBER(M37)),M37&lt;B37,NOT(ISNUMBER(N37)),N37&lt;B37),"ЗАПОЛНИТЬ",IF(AND(COUNTIFS(C$5:C36,C37,D$5:D36,D37)&gt;0,O37=""),"СВЯЗАТЬ ПОВТОР",IF(AND(L37="Принято",OR(I37="",NOT(ISNUMBER(J37)),J37&lt;B37,J37&gt;TODAY(),K37="")),"ТРЕБУЕТСЯ ПОДТВЕРЖДЕНИЕ",IF(L37="Принято","ЗАКРЫТО",IF(L37="Возврат",IF(OR(NOT(ISNUMBER(P37)),P37&lt;B37,P37&gt;TODAY(),Q37=""),"УКАЗАТЬ ВОЗВРАТ","ВОЗВРАТ ЗАФИКСИРОВАН"),IF(N37&gt;M37,"СРОК ОТВЕТА ИСТЁК","В РАБОТЕ")))))))</f>
        <v/>
      </c>
    </row>
    <row r="38" customFormat="false" ht="24" hidden="false" customHeight="true" outlineLevel="0" collapsed="false">
      <c r="A38" s="5" t="n">
        <v>34</v>
      </c>
      <c r="B38" s="6"/>
      <c r="C38" s="5"/>
      <c r="D38" s="5"/>
      <c r="E38" s="5"/>
      <c r="F38" s="5"/>
      <c r="G38" s="7"/>
      <c r="H38" s="5"/>
      <c r="I38" s="5"/>
      <c r="J38" s="6"/>
      <c r="K38" s="5"/>
      <c r="L38" s="5"/>
      <c r="M38" s="6"/>
      <c r="N38" s="6"/>
      <c r="O38" s="5"/>
      <c r="P38" s="6"/>
      <c r="Q38" s="5"/>
      <c r="R38" s="8" t="str">
        <f aca="true">IF(COUNTA(B38:Q38)=0,"",IF(OR(NOT(ISNUMBER(B38)),B38&lt;DATE(2000,1,1),B38&gt;TODAY(),C38="",D38="",E38="",F38="",NOT(AND(ISNUMBER(G38),G38=INT(G38),G38&gt;=1,G38&lt;=10000)),NOT(OR(H38="Подпись на экземпляре",H38="ЭДО",H38="Письмо / курьер",H38="Иное подтверждение")),NOT(OR(L38="На проверке",L38="Принято",L38="Возврат")),NOT(ISNUMBER(M38)),M38&lt;B38,NOT(ISNUMBER(N38)),N38&lt;B38),"ЗАПОЛНИТЬ",IF(AND(COUNTIFS(C$5:C37,C38,D$5:D37,D38)&gt;0,O38=""),"СВЯЗАТЬ ПОВТОР",IF(AND(L38="Принято",OR(I38="",NOT(ISNUMBER(J38)),J38&lt;B38,J38&gt;TODAY(),K38="")),"ТРЕБУЕТСЯ ПОДТВЕРЖДЕНИЕ",IF(L38="Принято","ЗАКРЫТО",IF(L38="Возврат",IF(OR(NOT(ISNUMBER(P38)),P38&lt;B38,P38&gt;TODAY(),Q38=""),"УКАЗАТЬ ВОЗВРАТ","ВОЗВРАТ ЗАФИКСИРОВАН"),IF(N38&gt;M38,"СРОК ОТВЕТА ИСТЁК","В РАБОТЕ")))))))</f>
        <v/>
      </c>
    </row>
    <row r="39" customFormat="false" ht="24" hidden="false" customHeight="true" outlineLevel="0" collapsed="false">
      <c r="A39" s="5" t="n">
        <v>35</v>
      </c>
      <c r="B39" s="6"/>
      <c r="C39" s="5"/>
      <c r="D39" s="5"/>
      <c r="E39" s="5"/>
      <c r="F39" s="5"/>
      <c r="G39" s="7"/>
      <c r="H39" s="5"/>
      <c r="I39" s="5"/>
      <c r="J39" s="6"/>
      <c r="K39" s="5"/>
      <c r="L39" s="5"/>
      <c r="M39" s="6"/>
      <c r="N39" s="6"/>
      <c r="O39" s="5"/>
      <c r="P39" s="6"/>
      <c r="Q39" s="5"/>
      <c r="R39" s="8" t="str">
        <f aca="true">IF(COUNTA(B39:Q39)=0,"",IF(OR(NOT(ISNUMBER(B39)),B39&lt;DATE(2000,1,1),B39&gt;TODAY(),C39="",D39="",E39="",F39="",NOT(AND(ISNUMBER(G39),G39=INT(G39),G39&gt;=1,G39&lt;=10000)),NOT(OR(H39="Подпись на экземпляре",H39="ЭДО",H39="Письмо / курьер",H39="Иное подтверждение")),NOT(OR(L39="На проверке",L39="Принято",L39="Возврат")),NOT(ISNUMBER(M39)),M39&lt;B39,NOT(ISNUMBER(N39)),N39&lt;B39),"ЗАПОЛНИТЬ",IF(AND(COUNTIFS(C$5:C38,C39,D$5:D38,D39)&gt;0,O39=""),"СВЯЗАТЬ ПОВТОР",IF(AND(L39="Принято",OR(I39="",NOT(ISNUMBER(J39)),J39&lt;B39,J39&gt;TODAY(),K39="")),"ТРЕБУЕТСЯ ПОДТВЕРЖДЕНИЕ",IF(L39="Принято","ЗАКРЫТО",IF(L39="Возврат",IF(OR(NOT(ISNUMBER(P39)),P39&lt;B39,P39&gt;TODAY(),Q39=""),"УКАЗАТЬ ВОЗВРАТ","ВОЗВРАТ ЗАФИКСИРОВАН"),IF(N39&gt;M39,"СРОК ОТВЕТА ИСТЁК","В РАБОТЕ")))))))</f>
        <v/>
      </c>
    </row>
    <row r="40" customFormat="false" ht="24" hidden="false" customHeight="true" outlineLevel="0" collapsed="false">
      <c r="A40" s="5" t="n">
        <v>36</v>
      </c>
      <c r="B40" s="6"/>
      <c r="C40" s="5"/>
      <c r="D40" s="5"/>
      <c r="E40" s="5"/>
      <c r="F40" s="5"/>
      <c r="G40" s="7"/>
      <c r="H40" s="5"/>
      <c r="I40" s="5"/>
      <c r="J40" s="6"/>
      <c r="K40" s="5"/>
      <c r="L40" s="5"/>
      <c r="M40" s="6"/>
      <c r="N40" s="6"/>
      <c r="O40" s="5"/>
      <c r="P40" s="6"/>
      <c r="Q40" s="5"/>
      <c r="R40" s="8" t="str">
        <f aca="true">IF(COUNTA(B40:Q40)=0,"",IF(OR(NOT(ISNUMBER(B40)),B40&lt;DATE(2000,1,1),B40&gt;TODAY(),C40="",D40="",E40="",F40="",NOT(AND(ISNUMBER(G40),G40=INT(G40),G40&gt;=1,G40&lt;=10000)),NOT(OR(H40="Подпись на экземпляре",H40="ЭДО",H40="Письмо / курьер",H40="Иное подтверждение")),NOT(OR(L40="На проверке",L40="Принято",L40="Возврат")),NOT(ISNUMBER(M40)),M40&lt;B40,NOT(ISNUMBER(N40)),N40&lt;B40),"ЗАПОЛНИТЬ",IF(AND(COUNTIFS(C$5:C39,C40,D$5:D39,D40)&gt;0,O40=""),"СВЯЗАТЬ ПОВТОР",IF(AND(L40="Принято",OR(I40="",NOT(ISNUMBER(J40)),J40&lt;B40,J40&gt;TODAY(),K40="")),"ТРЕБУЕТСЯ ПОДТВЕРЖДЕНИЕ",IF(L40="Принято","ЗАКРЫТО",IF(L40="Возврат",IF(OR(NOT(ISNUMBER(P40)),P40&lt;B40,P40&gt;TODAY(),Q40=""),"УКАЗАТЬ ВОЗВРАТ","ВОЗВРАТ ЗАФИКСИРОВАН"),IF(N40&gt;M40,"СРОК ОТВЕТА ИСТЁК","В РАБОТЕ")))))))</f>
        <v/>
      </c>
    </row>
    <row r="41" customFormat="false" ht="24" hidden="false" customHeight="true" outlineLevel="0" collapsed="false">
      <c r="A41" s="5" t="n">
        <v>37</v>
      </c>
      <c r="B41" s="6"/>
      <c r="C41" s="5"/>
      <c r="D41" s="5"/>
      <c r="E41" s="5"/>
      <c r="F41" s="5"/>
      <c r="G41" s="7"/>
      <c r="H41" s="5"/>
      <c r="I41" s="5"/>
      <c r="J41" s="6"/>
      <c r="K41" s="5"/>
      <c r="L41" s="5"/>
      <c r="M41" s="6"/>
      <c r="N41" s="6"/>
      <c r="O41" s="5"/>
      <c r="P41" s="6"/>
      <c r="Q41" s="5"/>
      <c r="R41" s="8" t="str">
        <f aca="true">IF(COUNTA(B41:Q41)=0,"",IF(OR(NOT(ISNUMBER(B41)),B41&lt;DATE(2000,1,1),B41&gt;TODAY(),C41="",D41="",E41="",F41="",NOT(AND(ISNUMBER(G41),G41=INT(G41),G41&gt;=1,G41&lt;=10000)),NOT(OR(H41="Подпись на экземпляре",H41="ЭДО",H41="Письмо / курьер",H41="Иное подтверждение")),NOT(OR(L41="На проверке",L41="Принято",L41="Возврат")),NOT(ISNUMBER(M41)),M41&lt;B41,NOT(ISNUMBER(N41)),N41&lt;B41),"ЗАПОЛНИТЬ",IF(AND(COUNTIFS(C$5:C40,C41,D$5:D40,D41)&gt;0,O41=""),"СВЯЗАТЬ ПОВТОР",IF(AND(L41="Принято",OR(I41="",NOT(ISNUMBER(J41)),J41&lt;B41,J41&gt;TODAY(),K41="")),"ТРЕБУЕТСЯ ПОДТВЕРЖДЕНИЕ",IF(L41="Принято","ЗАКРЫТО",IF(L41="Возврат",IF(OR(NOT(ISNUMBER(P41)),P41&lt;B41,P41&gt;TODAY(),Q41=""),"УКАЗАТЬ ВОЗВРАТ","ВОЗВРАТ ЗАФИКСИРОВАН"),IF(N41&gt;M41,"СРОК ОТВЕТА ИСТЁК","В РАБОТЕ")))))))</f>
        <v/>
      </c>
    </row>
    <row r="42" customFormat="false" ht="24" hidden="false" customHeight="true" outlineLevel="0" collapsed="false">
      <c r="A42" s="5" t="n">
        <v>38</v>
      </c>
      <c r="B42" s="6"/>
      <c r="C42" s="5"/>
      <c r="D42" s="5"/>
      <c r="E42" s="5"/>
      <c r="F42" s="5"/>
      <c r="G42" s="7"/>
      <c r="H42" s="5"/>
      <c r="I42" s="5"/>
      <c r="J42" s="6"/>
      <c r="K42" s="5"/>
      <c r="L42" s="5"/>
      <c r="M42" s="6"/>
      <c r="N42" s="6"/>
      <c r="O42" s="5"/>
      <c r="P42" s="6"/>
      <c r="Q42" s="5"/>
      <c r="R42" s="8" t="str">
        <f aca="true">IF(COUNTA(B42:Q42)=0,"",IF(OR(NOT(ISNUMBER(B42)),B42&lt;DATE(2000,1,1),B42&gt;TODAY(),C42="",D42="",E42="",F42="",NOT(AND(ISNUMBER(G42),G42=INT(G42),G42&gt;=1,G42&lt;=10000)),NOT(OR(H42="Подпись на экземпляре",H42="ЭДО",H42="Письмо / курьер",H42="Иное подтверждение")),NOT(OR(L42="На проверке",L42="Принято",L42="Возврат")),NOT(ISNUMBER(M42)),M42&lt;B42,NOT(ISNUMBER(N42)),N42&lt;B42),"ЗАПОЛНИТЬ",IF(AND(COUNTIFS(C$5:C41,C42,D$5:D41,D42)&gt;0,O42=""),"СВЯЗАТЬ ПОВТОР",IF(AND(L42="Принято",OR(I42="",NOT(ISNUMBER(J42)),J42&lt;B42,J42&gt;TODAY(),K42="")),"ТРЕБУЕТСЯ ПОДТВЕРЖДЕНИЕ",IF(L42="Принято","ЗАКРЫТО",IF(L42="Возврат",IF(OR(NOT(ISNUMBER(P42)),P42&lt;B42,P42&gt;TODAY(),Q42=""),"УКАЗАТЬ ВОЗВРАТ","ВОЗВРАТ ЗАФИКСИРОВАН"),IF(N42&gt;M42,"СРОК ОТВЕТА ИСТЁК","В РАБОТЕ")))))))</f>
        <v/>
      </c>
    </row>
    <row r="43" customFormat="false" ht="24" hidden="false" customHeight="true" outlineLevel="0" collapsed="false">
      <c r="A43" s="5" t="n">
        <v>39</v>
      </c>
      <c r="B43" s="6"/>
      <c r="C43" s="5"/>
      <c r="D43" s="5"/>
      <c r="E43" s="5"/>
      <c r="F43" s="5"/>
      <c r="G43" s="7"/>
      <c r="H43" s="5"/>
      <c r="I43" s="5"/>
      <c r="J43" s="6"/>
      <c r="K43" s="5"/>
      <c r="L43" s="5"/>
      <c r="M43" s="6"/>
      <c r="N43" s="6"/>
      <c r="O43" s="5"/>
      <c r="P43" s="6"/>
      <c r="Q43" s="5"/>
      <c r="R43" s="8" t="str">
        <f aca="true">IF(COUNTA(B43:Q43)=0,"",IF(OR(NOT(ISNUMBER(B43)),B43&lt;DATE(2000,1,1),B43&gt;TODAY(),C43="",D43="",E43="",F43="",NOT(AND(ISNUMBER(G43),G43=INT(G43),G43&gt;=1,G43&lt;=10000)),NOT(OR(H43="Подпись на экземпляре",H43="ЭДО",H43="Письмо / курьер",H43="Иное подтверждение")),NOT(OR(L43="На проверке",L43="Принято",L43="Возврат")),NOT(ISNUMBER(M43)),M43&lt;B43,NOT(ISNUMBER(N43)),N43&lt;B43),"ЗАПОЛНИТЬ",IF(AND(COUNTIFS(C$5:C42,C43,D$5:D42,D43)&gt;0,O43=""),"СВЯЗАТЬ ПОВТОР",IF(AND(L43="Принято",OR(I43="",NOT(ISNUMBER(J43)),J43&lt;B43,J43&gt;TODAY(),K43="")),"ТРЕБУЕТСЯ ПОДТВЕРЖДЕНИЕ",IF(L43="Принято","ЗАКРЫТО",IF(L43="Возврат",IF(OR(NOT(ISNUMBER(P43)),P43&lt;B43,P43&gt;TODAY(),Q43=""),"УКАЗАТЬ ВОЗВРАТ","ВОЗВРАТ ЗАФИКСИРОВАН"),IF(N43&gt;M43,"СРОК ОТВЕТА ИСТЁК","В РАБОТЕ")))))))</f>
        <v/>
      </c>
    </row>
    <row r="44" customFormat="false" ht="24" hidden="false" customHeight="true" outlineLevel="0" collapsed="false">
      <c r="A44" s="5" t="n">
        <v>40</v>
      </c>
      <c r="B44" s="6"/>
      <c r="C44" s="5"/>
      <c r="D44" s="5"/>
      <c r="E44" s="5"/>
      <c r="F44" s="5"/>
      <c r="G44" s="7"/>
      <c r="H44" s="5"/>
      <c r="I44" s="5"/>
      <c r="J44" s="6"/>
      <c r="K44" s="5"/>
      <c r="L44" s="5"/>
      <c r="M44" s="6"/>
      <c r="N44" s="6"/>
      <c r="O44" s="5"/>
      <c r="P44" s="6"/>
      <c r="Q44" s="5"/>
      <c r="R44" s="8" t="str">
        <f aca="true">IF(COUNTA(B44:Q44)=0,"",IF(OR(NOT(ISNUMBER(B44)),B44&lt;DATE(2000,1,1),B44&gt;TODAY(),C44="",D44="",E44="",F44="",NOT(AND(ISNUMBER(G44),G44=INT(G44),G44&gt;=1,G44&lt;=10000)),NOT(OR(H44="Подпись на экземпляре",H44="ЭДО",H44="Письмо / курьер",H44="Иное подтверждение")),NOT(OR(L44="На проверке",L44="Принято",L44="Возврат")),NOT(ISNUMBER(M44)),M44&lt;B44,NOT(ISNUMBER(N44)),N44&lt;B44),"ЗАПОЛНИТЬ",IF(AND(COUNTIFS(C$5:C43,C44,D$5:D43,D44)&gt;0,O44=""),"СВЯЗАТЬ ПОВТОР",IF(AND(L44="Принято",OR(I44="",NOT(ISNUMBER(J44)),J44&lt;B44,J44&gt;TODAY(),K44="")),"ТРЕБУЕТСЯ ПОДТВЕРЖДЕНИЕ",IF(L44="Принято","ЗАКРЫТО",IF(L44="Возврат",IF(OR(NOT(ISNUMBER(P44)),P44&lt;B44,P44&gt;TODAY(),Q44=""),"УКАЗАТЬ ВОЗВРАТ","ВОЗВРАТ ЗАФИКСИРОВАН"),IF(N44&gt;M44,"СРОК ОТВЕТА ИСТЁК","В РАБОТЕ")))))))</f>
        <v/>
      </c>
    </row>
    <row r="45" customFormat="false" ht="24" hidden="false" customHeight="true" outlineLevel="0" collapsed="false">
      <c r="A45" s="5" t="n">
        <v>41</v>
      </c>
      <c r="B45" s="6"/>
      <c r="C45" s="5"/>
      <c r="D45" s="5"/>
      <c r="E45" s="5"/>
      <c r="F45" s="5"/>
      <c r="G45" s="7"/>
      <c r="H45" s="5"/>
      <c r="I45" s="5"/>
      <c r="J45" s="6"/>
      <c r="K45" s="5"/>
      <c r="L45" s="5"/>
      <c r="M45" s="6"/>
      <c r="N45" s="6"/>
      <c r="O45" s="5"/>
      <c r="P45" s="6"/>
      <c r="Q45" s="5"/>
      <c r="R45" s="8" t="str">
        <f aca="true">IF(COUNTA(B45:Q45)=0,"",IF(OR(NOT(ISNUMBER(B45)),B45&lt;DATE(2000,1,1),B45&gt;TODAY(),C45="",D45="",E45="",F45="",NOT(AND(ISNUMBER(G45),G45=INT(G45),G45&gt;=1,G45&lt;=10000)),NOT(OR(H45="Подпись на экземпляре",H45="ЭДО",H45="Письмо / курьер",H45="Иное подтверждение")),NOT(OR(L45="На проверке",L45="Принято",L45="Возврат")),NOT(ISNUMBER(M45)),M45&lt;B45,NOT(ISNUMBER(N45)),N45&lt;B45),"ЗАПОЛНИТЬ",IF(AND(COUNTIFS(C$5:C44,C45,D$5:D44,D45)&gt;0,O45=""),"СВЯЗАТЬ ПОВТОР",IF(AND(L45="Принято",OR(I45="",NOT(ISNUMBER(J45)),J45&lt;B45,J45&gt;TODAY(),K45="")),"ТРЕБУЕТСЯ ПОДТВЕРЖДЕНИЕ",IF(L45="Принято","ЗАКРЫТО",IF(L45="Возврат",IF(OR(NOT(ISNUMBER(P45)),P45&lt;B45,P45&gt;TODAY(),Q45=""),"УКАЗАТЬ ВОЗВРАТ","ВОЗВРАТ ЗАФИКСИРОВАН"),IF(N45&gt;M45,"СРОК ОТВЕТА ИСТЁК","В РАБОТЕ")))))))</f>
        <v/>
      </c>
    </row>
    <row r="46" customFormat="false" ht="24" hidden="false" customHeight="true" outlineLevel="0" collapsed="false">
      <c r="A46" s="5" t="n">
        <v>42</v>
      </c>
      <c r="B46" s="6"/>
      <c r="C46" s="5"/>
      <c r="D46" s="5"/>
      <c r="E46" s="5"/>
      <c r="F46" s="5"/>
      <c r="G46" s="7"/>
      <c r="H46" s="5"/>
      <c r="I46" s="5"/>
      <c r="J46" s="6"/>
      <c r="K46" s="5"/>
      <c r="L46" s="5"/>
      <c r="M46" s="6"/>
      <c r="N46" s="6"/>
      <c r="O46" s="5"/>
      <c r="P46" s="6"/>
      <c r="Q46" s="5"/>
      <c r="R46" s="8" t="str">
        <f aca="true">IF(COUNTA(B46:Q46)=0,"",IF(OR(NOT(ISNUMBER(B46)),B46&lt;DATE(2000,1,1),B46&gt;TODAY(),C46="",D46="",E46="",F46="",NOT(AND(ISNUMBER(G46),G46=INT(G46),G46&gt;=1,G46&lt;=10000)),NOT(OR(H46="Подпись на экземпляре",H46="ЭДО",H46="Письмо / курьер",H46="Иное подтверждение")),NOT(OR(L46="На проверке",L46="Принято",L46="Возврат")),NOT(ISNUMBER(M46)),M46&lt;B46,NOT(ISNUMBER(N46)),N46&lt;B46),"ЗАПОЛНИТЬ",IF(AND(COUNTIFS(C$5:C45,C46,D$5:D45,D46)&gt;0,O46=""),"СВЯЗАТЬ ПОВТОР",IF(AND(L46="Принято",OR(I46="",NOT(ISNUMBER(J46)),J46&lt;B46,J46&gt;TODAY(),K46="")),"ТРЕБУЕТСЯ ПОДТВЕРЖДЕНИЕ",IF(L46="Принято","ЗАКРЫТО",IF(L46="Возврат",IF(OR(NOT(ISNUMBER(P46)),P46&lt;B46,P46&gt;TODAY(),Q46=""),"УКАЗАТЬ ВОЗВРАТ","ВОЗВРАТ ЗАФИКСИРОВАН"),IF(N46&gt;M46,"СРОК ОТВЕТА ИСТЁК","В РАБОТЕ")))))))</f>
        <v/>
      </c>
    </row>
    <row r="47" customFormat="false" ht="24" hidden="false" customHeight="true" outlineLevel="0" collapsed="false">
      <c r="A47" s="5" t="n">
        <v>43</v>
      </c>
      <c r="B47" s="6"/>
      <c r="C47" s="5"/>
      <c r="D47" s="5"/>
      <c r="E47" s="5"/>
      <c r="F47" s="5"/>
      <c r="G47" s="7"/>
      <c r="H47" s="5"/>
      <c r="I47" s="5"/>
      <c r="J47" s="6"/>
      <c r="K47" s="5"/>
      <c r="L47" s="5"/>
      <c r="M47" s="6"/>
      <c r="N47" s="6"/>
      <c r="O47" s="5"/>
      <c r="P47" s="6"/>
      <c r="Q47" s="5"/>
      <c r="R47" s="8" t="str">
        <f aca="true">IF(COUNTA(B47:Q47)=0,"",IF(OR(NOT(ISNUMBER(B47)),B47&lt;DATE(2000,1,1),B47&gt;TODAY(),C47="",D47="",E47="",F47="",NOT(AND(ISNUMBER(G47),G47=INT(G47),G47&gt;=1,G47&lt;=10000)),NOT(OR(H47="Подпись на экземпляре",H47="ЭДО",H47="Письмо / курьер",H47="Иное подтверждение")),NOT(OR(L47="На проверке",L47="Принято",L47="Возврат")),NOT(ISNUMBER(M47)),M47&lt;B47,NOT(ISNUMBER(N47)),N47&lt;B47),"ЗАПОЛНИТЬ",IF(AND(COUNTIFS(C$5:C46,C47,D$5:D46,D47)&gt;0,O47=""),"СВЯЗАТЬ ПОВТОР",IF(AND(L47="Принято",OR(I47="",NOT(ISNUMBER(J47)),J47&lt;B47,J47&gt;TODAY(),K47="")),"ТРЕБУЕТСЯ ПОДТВЕРЖДЕНИЕ",IF(L47="Принято","ЗАКРЫТО",IF(L47="Возврат",IF(OR(NOT(ISNUMBER(P47)),P47&lt;B47,P47&gt;TODAY(),Q47=""),"УКАЗАТЬ ВОЗВРАТ","ВОЗВРАТ ЗАФИКСИРОВАН"),IF(N47&gt;M47,"СРОК ОТВЕТА ИСТЁК","В РАБОТЕ")))))))</f>
        <v/>
      </c>
    </row>
    <row r="48" customFormat="false" ht="24" hidden="false" customHeight="true" outlineLevel="0" collapsed="false">
      <c r="A48" s="5" t="n">
        <v>44</v>
      </c>
      <c r="B48" s="6"/>
      <c r="C48" s="5"/>
      <c r="D48" s="5"/>
      <c r="E48" s="5"/>
      <c r="F48" s="5"/>
      <c r="G48" s="7"/>
      <c r="H48" s="5"/>
      <c r="I48" s="5"/>
      <c r="J48" s="6"/>
      <c r="K48" s="5"/>
      <c r="L48" s="5"/>
      <c r="M48" s="6"/>
      <c r="N48" s="6"/>
      <c r="O48" s="5"/>
      <c r="P48" s="6"/>
      <c r="Q48" s="5"/>
      <c r="R48" s="8" t="str">
        <f aca="true">IF(COUNTA(B48:Q48)=0,"",IF(OR(NOT(ISNUMBER(B48)),B48&lt;DATE(2000,1,1),B48&gt;TODAY(),C48="",D48="",E48="",F48="",NOT(AND(ISNUMBER(G48),G48=INT(G48),G48&gt;=1,G48&lt;=10000)),NOT(OR(H48="Подпись на экземпляре",H48="ЭДО",H48="Письмо / курьер",H48="Иное подтверждение")),NOT(OR(L48="На проверке",L48="Принято",L48="Возврат")),NOT(ISNUMBER(M48)),M48&lt;B48,NOT(ISNUMBER(N48)),N48&lt;B48),"ЗАПОЛНИТЬ",IF(AND(COUNTIFS(C$5:C47,C48,D$5:D47,D48)&gt;0,O48=""),"СВЯЗАТЬ ПОВТОР",IF(AND(L48="Принято",OR(I48="",NOT(ISNUMBER(J48)),J48&lt;B48,J48&gt;TODAY(),K48="")),"ТРЕБУЕТСЯ ПОДТВЕРЖДЕНИЕ",IF(L48="Принято","ЗАКРЫТО",IF(L48="Возврат",IF(OR(NOT(ISNUMBER(P48)),P48&lt;B48,P48&gt;TODAY(),Q48=""),"УКАЗАТЬ ВОЗВРАТ","ВОЗВРАТ ЗАФИКСИРОВАН"),IF(N48&gt;M48,"СРОК ОТВЕТА ИСТЁК","В РАБОТЕ")))))))</f>
        <v/>
      </c>
    </row>
    <row r="49" customFormat="false" ht="24" hidden="false" customHeight="true" outlineLevel="0" collapsed="false">
      <c r="A49" s="5" t="n">
        <v>45</v>
      </c>
      <c r="B49" s="6"/>
      <c r="C49" s="5"/>
      <c r="D49" s="5"/>
      <c r="E49" s="5"/>
      <c r="F49" s="5"/>
      <c r="G49" s="7"/>
      <c r="H49" s="5"/>
      <c r="I49" s="5"/>
      <c r="J49" s="6"/>
      <c r="K49" s="5"/>
      <c r="L49" s="5"/>
      <c r="M49" s="6"/>
      <c r="N49" s="6"/>
      <c r="O49" s="5"/>
      <c r="P49" s="6"/>
      <c r="Q49" s="5"/>
      <c r="R49" s="8" t="str">
        <f aca="true">IF(COUNTA(B49:Q49)=0,"",IF(OR(NOT(ISNUMBER(B49)),B49&lt;DATE(2000,1,1),B49&gt;TODAY(),C49="",D49="",E49="",F49="",NOT(AND(ISNUMBER(G49),G49=INT(G49),G49&gt;=1,G49&lt;=10000)),NOT(OR(H49="Подпись на экземпляре",H49="ЭДО",H49="Письмо / курьер",H49="Иное подтверждение")),NOT(OR(L49="На проверке",L49="Принято",L49="Возврат")),NOT(ISNUMBER(M49)),M49&lt;B49,NOT(ISNUMBER(N49)),N49&lt;B49),"ЗАПОЛНИТЬ",IF(AND(COUNTIFS(C$5:C48,C49,D$5:D48,D49)&gt;0,O49=""),"СВЯЗАТЬ ПОВТОР",IF(AND(L49="Принято",OR(I49="",NOT(ISNUMBER(J49)),J49&lt;B49,J49&gt;TODAY(),K49="")),"ТРЕБУЕТСЯ ПОДТВЕРЖДЕНИЕ",IF(L49="Принято","ЗАКРЫТО",IF(L49="Возврат",IF(OR(NOT(ISNUMBER(P49)),P49&lt;B49,P49&gt;TODAY(),Q49=""),"УКАЗАТЬ ВОЗВРАТ","ВОЗВРАТ ЗАФИКСИРОВАН"),IF(N49&gt;M49,"СРОК ОТВЕТА ИСТЁК","В РАБОТЕ")))))))</f>
        <v/>
      </c>
    </row>
    <row r="50" customFormat="false" ht="24" hidden="false" customHeight="true" outlineLevel="0" collapsed="false">
      <c r="A50" s="5" t="n">
        <v>46</v>
      </c>
      <c r="B50" s="6"/>
      <c r="C50" s="5"/>
      <c r="D50" s="5"/>
      <c r="E50" s="5"/>
      <c r="F50" s="5"/>
      <c r="G50" s="7"/>
      <c r="H50" s="5"/>
      <c r="I50" s="5"/>
      <c r="J50" s="6"/>
      <c r="K50" s="5"/>
      <c r="L50" s="5"/>
      <c r="M50" s="6"/>
      <c r="N50" s="6"/>
      <c r="O50" s="5"/>
      <c r="P50" s="6"/>
      <c r="Q50" s="5"/>
      <c r="R50" s="8" t="str">
        <f aca="true">IF(COUNTA(B50:Q50)=0,"",IF(OR(NOT(ISNUMBER(B50)),B50&lt;DATE(2000,1,1),B50&gt;TODAY(),C50="",D50="",E50="",F50="",NOT(AND(ISNUMBER(G50),G50=INT(G50),G50&gt;=1,G50&lt;=10000)),NOT(OR(H50="Подпись на экземпляре",H50="ЭДО",H50="Письмо / курьер",H50="Иное подтверждение")),NOT(OR(L50="На проверке",L50="Принято",L50="Возврат")),NOT(ISNUMBER(M50)),M50&lt;B50,NOT(ISNUMBER(N50)),N50&lt;B50),"ЗАПОЛНИТЬ",IF(AND(COUNTIFS(C$5:C49,C50,D$5:D49,D50)&gt;0,O50=""),"СВЯЗАТЬ ПОВТОР",IF(AND(L50="Принято",OR(I50="",NOT(ISNUMBER(J50)),J50&lt;B50,J50&gt;TODAY(),K50="")),"ТРЕБУЕТСЯ ПОДТВЕРЖДЕНИЕ",IF(L50="Принято","ЗАКРЫТО",IF(L50="Возврат",IF(OR(NOT(ISNUMBER(P50)),P50&lt;B50,P50&gt;TODAY(),Q50=""),"УКАЗАТЬ ВОЗВРАТ","ВОЗВРАТ ЗАФИКСИРОВАН"),IF(N50&gt;M50,"СРОК ОТВЕТА ИСТЁК","В РАБОТЕ")))))))</f>
        <v/>
      </c>
    </row>
    <row r="51" customFormat="false" ht="24" hidden="false" customHeight="true" outlineLevel="0" collapsed="false">
      <c r="A51" s="5" t="n">
        <v>47</v>
      </c>
      <c r="B51" s="6"/>
      <c r="C51" s="5"/>
      <c r="D51" s="5"/>
      <c r="E51" s="5"/>
      <c r="F51" s="5"/>
      <c r="G51" s="7"/>
      <c r="H51" s="5"/>
      <c r="I51" s="5"/>
      <c r="J51" s="6"/>
      <c r="K51" s="5"/>
      <c r="L51" s="5"/>
      <c r="M51" s="6"/>
      <c r="N51" s="6"/>
      <c r="O51" s="5"/>
      <c r="P51" s="6"/>
      <c r="Q51" s="5"/>
      <c r="R51" s="8" t="str">
        <f aca="true">IF(COUNTA(B51:Q51)=0,"",IF(OR(NOT(ISNUMBER(B51)),B51&lt;DATE(2000,1,1),B51&gt;TODAY(),C51="",D51="",E51="",F51="",NOT(AND(ISNUMBER(G51),G51=INT(G51),G51&gt;=1,G51&lt;=10000)),NOT(OR(H51="Подпись на экземпляре",H51="ЭДО",H51="Письмо / курьер",H51="Иное подтверждение")),NOT(OR(L51="На проверке",L51="Принято",L51="Возврат")),NOT(ISNUMBER(M51)),M51&lt;B51,NOT(ISNUMBER(N51)),N51&lt;B51),"ЗАПОЛНИТЬ",IF(AND(COUNTIFS(C$5:C50,C51,D$5:D50,D51)&gt;0,O51=""),"СВЯЗАТЬ ПОВТОР",IF(AND(L51="Принято",OR(I51="",NOT(ISNUMBER(J51)),J51&lt;B51,J51&gt;TODAY(),K51="")),"ТРЕБУЕТСЯ ПОДТВЕРЖДЕНИЕ",IF(L51="Принято","ЗАКРЫТО",IF(L51="Возврат",IF(OR(NOT(ISNUMBER(P51)),P51&lt;B51,P51&gt;TODAY(),Q51=""),"УКАЗАТЬ ВОЗВРАТ","ВОЗВРАТ ЗАФИКСИРОВАН"),IF(N51&gt;M51,"СРОК ОТВЕТА ИСТЁК","В РАБОТЕ")))))))</f>
        <v/>
      </c>
    </row>
    <row r="52" customFormat="false" ht="24" hidden="false" customHeight="true" outlineLevel="0" collapsed="false">
      <c r="A52" s="5" t="n">
        <v>48</v>
      </c>
      <c r="B52" s="6"/>
      <c r="C52" s="5"/>
      <c r="D52" s="5"/>
      <c r="E52" s="5"/>
      <c r="F52" s="5"/>
      <c r="G52" s="7"/>
      <c r="H52" s="5"/>
      <c r="I52" s="5"/>
      <c r="J52" s="6"/>
      <c r="K52" s="5"/>
      <c r="L52" s="5"/>
      <c r="M52" s="6"/>
      <c r="N52" s="6"/>
      <c r="O52" s="5"/>
      <c r="P52" s="6"/>
      <c r="Q52" s="5"/>
      <c r="R52" s="8" t="str">
        <f aca="true">IF(COUNTA(B52:Q52)=0,"",IF(OR(NOT(ISNUMBER(B52)),B52&lt;DATE(2000,1,1),B52&gt;TODAY(),C52="",D52="",E52="",F52="",NOT(AND(ISNUMBER(G52),G52=INT(G52),G52&gt;=1,G52&lt;=10000)),NOT(OR(H52="Подпись на экземпляре",H52="ЭДО",H52="Письмо / курьер",H52="Иное подтверждение")),NOT(OR(L52="На проверке",L52="Принято",L52="Возврат")),NOT(ISNUMBER(M52)),M52&lt;B52,NOT(ISNUMBER(N52)),N52&lt;B52),"ЗАПОЛНИТЬ",IF(AND(COUNTIFS(C$5:C51,C52,D$5:D51,D52)&gt;0,O52=""),"СВЯЗАТЬ ПОВТОР",IF(AND(L52="Принято",OR(I52="",NOT(ISNUMBER(J52)),J52&lt;B52,J52&gt;TODAY(),K52="")),"ТРЕБУЕТСЯ ПОДТВЕРЖДЕНИЕ",IF(L52="Принято","ЗАКРЫТО",IF(L52="Возврат",IF(OR(NOT(ISNUMBER(P52)),P52&lt;B52,P52&gt;TODAY(),Q52=""),"УКАЗАТЬ ВОЗВРАТ","ВОЗВРАТ ЗАФИКСИРОВАН"),IF(N52&gt;M52,"СРОК ОТВЕТА ИСТЁК","В РАБОТЕ")))))))</f>
        <v/>
      </c>
    </row>
    <row r="53" customFormat="false" ht="24" hidden="false" customHeight="true" outlineLevel="0" collapsed="false">
      <c r="A53" s="5" t="n">
        <v>49</v>
      </c>
      <c r="B53" s="6"/>
      <c r="C53" s="5"/>
      <c r="D53" s="5"/>
      <c r="E53" s="5"/>
      <c r="F53" s="5"/>
      <c r="G53" s="7"/>
      <c r="H53" s="5"/>
      <c r="I53" s="5"/>
      <c r="J53" s="6"/>
      <c r="K53" s="5"/>
      <c r="L53" s="5"/>
      <c r="M53" s="6"/>
      <c r="N53" s="6"/>
      <c r="O53" s="5"/>
      <c r="P53" s="6"/>
      <c r="Q53" s="5"/>
      <c r="R53" s="8" t="str">
        <f aca="true">IF(COUNTA(B53:Q53)=0,"",IF(OR(NOT(ISNUMBER(B53)),B53&lt;DATE(2000,1,1),B53&gt;TODAY(),C53="",D53="",E53="",F53="",NOT(AND(ISNUMBER(G53),G53=INT(G53),G53&gt;=1,G53&lt;=10000)),NOT(OR(H53="Подпись на экземпляре",H53="ЭДО",H53="Письмо / курьер",H53="Иное подтверждение")),NOT(OR(L53="На проверке",L53="Принято",L53="Возврат")),NOT(ISNUMBER(M53)),M53&lt;B53,NOT(ISNUMBER(N53)),N53&lt;B53),"ЗАПОЛНИТЬ",IF(AND(COUNTIFS(C$5:C52,C53,D$5:D52,D53)&gt;0,O53=""),"СВЯЗАТЬ ПОВТОР",IF(AND(L53="Принято",OR(I53="",NOT(ISNUMBER(J53)),J53&lt;B53,J53&gt;TODAY(),K53="")),"ТРЕБУЕТСЯ ПОДТВЕРЖДЕНИЕ",IF(L53="Принято","ЗАКРЫТО",IF(L53="Возврат",IF(OR(NOT(ISNUMBER(P53)),P53&lt;B53,P53&gt;TODAY(),Q53=""),"УКАЗАТЬ ВОЗВРАТ","ВОЗВРАТ ЗАФИКСИРОВАН"),IF(N53&gt;M53,"СРОК ОТВЕТА ИСТЁК","В РАБОТЕ")))))))</f>
        <v/>
      </c>
    </row>
    <row r="54" customFormat="false" ht="24" hidden="false" customHeight="true" outlineLevel="0" collapsed="false">
      <c r="A54" s="5" t="n">
        <v>50</v>
      </c>
      <c r="B54" s="6"/>
      <c r="C54" s="5"/>
      <c r="D54" s="5"/>
      <c r="E54" s="5"/>
      <c r="F54" s="5"/>
      <c r="G54" s="7"/>
      <c r="H54" s="5"/>
      <c r="I54" s="5"/>
      <c r="J54" s="6"/>
      <c r="K54" s="5"/>
      <c r="L54" s="5"/>
      <c r="M54" s="6"/>
      <c r="N54" s="6"/>
      <c r="O54" s="5"/>
      <c r="P54" s="6"/>
      <c r="Q54" s="5"/>
      <c r="R54" s="8" t="str">
        <f aca="true">IF(COUNTA(B54:Q54)=0,"",IF(OR(NOT(ISNUMBER(B54)),B54&lt;DATE(2000,1,1),B54&gt;TODAY(),C54="",D54="",E54="",F54="",NOT(AND(ISNUMBER(G54),G54=INT(G54),G54&gt;=1,G54&lt;=10000)),NOT(OR(H54="Подпись на экземпляре",H54="ЭДО",H54="Письмо / курьер",H54="Иное подтверждение")),NOT(OR(L54="На проверке",L54="Принято",L54="Возврат")),NOT(ISNUMBER(M54)),M54&lt;B54,NOT(ISNUMBER(N54)),N54&lt;B54),"ЗАПОЛНИТЬ",IF(AND(COUNTIFS(C$5:C53,C54,D$5:D53,D54)&gt;0,O54=""),"СВЯЗАТЬ ПОВТОР",IF(AND(L54="Принято",OR(I54="",NOT(ISNUMBER(J54)),J54&lt;B54,J54&gt;TODAY(),K54="")),"ТРЕБУЕТСЯ ПОДТВЕРЖДЕНИЕ",IF(L54="Принято","ЗАКРЫТО",IF(L54="Возврат",IF(OR(NOT(ISNUMBER(P54)),P54&lt;B54,P54&gt;TODAY(),Q54=""),"УКАЗАТЬ ВОЗВРАТ","ВОЗВРАТ ЗАФИКСИРОВАН"),IF(N54&gt;M54,"СРОК ОТВЕТА ИСТЁК","В РАБОТЕ")))))))</f>
        <v/>
      </c>
    </row>
  </sheetData>
  <autoFilter ref="A4:R54"/>
  <mergeCells count="2">
    <mergeCell ref="A1:R1"/>
    <mergeCell ref="A2:R2"/>
  </mergeCells>
  <conditionalFormatting sqref="R5:R54">
    <cfRule type="expression" priority="2" aboveAverage="0" equalAverage="0" bottom="0" percent="0" rank="0" text="" dxfId="4">
      <formula>R5="ЗАКРЫТО"</formula>
    </cfRule>
    <cfRule type="expression" priority="3" aboveAverage="0" equalAverage="0" bottom="0" percent="0" rank="0" text="" dxfId="5">
      <formula>R5="В РАБОТЕ"</formula>
    </cfRule>
    <cfRule type="expression" priority="4" aboveAverage="0" equalAverage="0" bottom="0" percent="0" rank="0" text="" dxfId="6">
      <formula>R5="СРОК ОТВЕТА ИСТЁК"</formula>
    </cfRule>
    <cfRule type="expression" priority="5" aboveAverage="0" equalAverage="0" bottom="0" percent="0" rank="0" text="" dxfId="7">
      <formula>R5="ВОЗВРАТ ЗАФИКСИРОВАН"</formula>
    </cfRule>
    <cfRule type="expression" priority="6" aboveAverage="0" equalAverage="0" bottom="0" percent="0" rank="0" text="" dxfId="6">
      <formula>R5="ЗАПОЛНИТЬ"</formula>
    </cfRule>
    <cfRule type="expression" priority="7" aboveAverage="0" equalAverage="0" bottom="0" percent="0" rank="0" text="" dxfId="6">
      <formula>R5="ТРЕБУЕТСЯ ПОДТВЕРЖДЕНИЕ"</formula>
    </cfRule>
    <cfRule type="expression" priority="8" aboveAverage="0" equalAverage="0" bottom="0" percent="0" rank="0" text="" dxfId="6">
      <formula>R5="УКАЗАТЬ ВОЗВРАТ"</formula>
    </cfRule>
    <cfRule type="expression" priority="9" aboveAverage="0" equalAverage="0" bottom="0" percent="0" rank="0" text="" dxfId="6">
      <formula>R5="СВЯЗАТЬ ПОВТОР"</formula>
    </cfRule>
  </conditionalFormatting>
  <dataValidations count="7">
    <dataValidation allowBlank="true" errorStyle="stop" operator="between" showDropDown="false" showErrorMessage="true" showInputMessage="false" sqref="H5:H54" type="list">
      <formula1>"Подпись на экземпляре,ЭДО,Письмо / курьер,Иное подтверждение"</formula1>
      <formula2>0</formula2>
    </dataValidation>
    <dataValidation allowBlank="true" errorStyle="stop" operator="between" showDropDown="false" showErrorMessage="true" showInputMessage="false" sqref="L5:L54" type="list">
      <formula1>"На проверке,Принято,Возврат"</formula1>
      <formula2>0</formula2>
    </dataValidation>
    <dataValidation allowBlank="true" errorStyle="stop" operator="between" showDropDown="false" showErrorMessage="true" showInputMessage="false" sqref="B5:B54" type="date">
      <formula1>DATE(2000,1,1)</formula1>
      <formula2>DATE(2100,12,31)</formula2>
    </dataValidation>
    <dataValidation allowBlank="true" errorStyle="stop" operator="between" showDropDown="false" showErrorMessage="true" showInputMessage="false" sqref="J5:J54" type="date">
      <formula1>DATE(2000,1,1)</formula1>
      <formula2>DATE(2100,12,31)</formula2>
    </dataValidation>
    <dataValidation allowBlank="true" errorStyle="stop" operator="between" showDropDown="false" showErrorMessage="true" showInputMessage="false" sqref="M5:M54" type="date">
      <formula1>DATE(2000,1,1)</formula1>
      <formula2>DATE(2100,12,31)</formula2>
    </dataValidation>
    <dataValidation allowBlank="true" errorStyle="stop" operator="between" showDropDown="false" showErrorMessage="true" showInputMessage="false" sqref="N5:N54" type="date">
      <formula1>DATE(2000,1,1)</formula1>
      <formula2>DATE(2100,12,31)</formula2>
    </dataValidation>
    <dataValidation allowBlank="true" errorStyle="stop" operator="between" showDropDown="false" showErrorMessage="true" showInputMessage="false" sqref="P5:P54" type="date">
      <formula1>DATE(2000,1,1)</formula1>
      <formula2>DATE(2100,12,31)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2"/>
  </cols>
  <sheetData>
    <row r="1" customFormat="false" ht="30" hidden="false" customHeight="true" outlineLevel="0" collapsed="false">
      <c r="A1" s="2" t="s">
        <v>20</v>
      </c>
      <c r="B1" s="2"/>
      <c r="C1" s="2"/>
      <c r="D1" s="2"/>
      <c r="E1" s="2"/>
      <c r="F1" s="2"/>
    </row>
    <row r="3" customFormat="false" ht="33.75" hidden="false" customHeight="true" outlineLevel="0" collapsed="false">
      <c r="A3" s="4" t="s">
        <v>21</v>
      </c>
      <c r="B3" s="4" t="s">
        <v>22</v>
      </c>
    </row>
    <row r="4" customFormat="false" ht="42" hidden="false" customHeight="true" outlineLevel="0" collapsed="false">
      <c r="A4" s="5" t="n">
        <v>1</v>
      </c>
      <c r="B4" s="9" t="s">
        <v>23</v>
      </c>
    </row>
    <row r="5" customFormat="false" ht="42" hidden="false" customHeight="true" outlineLevel="0" collapsed="false">
      <c r="A5" s="5" t="n">
        <v>2</v>
      </c>
      <c r="B5" s="9" t="s">
        <v>24</v>
      </c>
    </row>
    <row r="6" customFormat="false" ht="42" hidden="false" customHeight="true" outlineLevel="0" collapsed="false">
      <c r="A6" s="5" t="n">
        <v>3</v>
      </c>
      <c r="B6" s="9" t="s">
        <v>25</v>
      </c>
    </row>
    <row r="7" customFormat="false" ht="42" hidden="false" customHeight="true" outlineLevel="0" collapsed="false">
      <c r="A7" s="5" t="n">
        <v>4</v>
      </c>
      <c r="B7" s="9" t="s">
        <v>26</v>
      </c>
    </row>
    <row r="8" customFormat="false" ht="42" hidden="false" customHeight="true" outlineLevel="0" collapsed="false">
      <c r="A8" s="1" t="n">
        <v>5</v>
      </c>
      <c r="B8" s="10" t="s">
        <v>27</v>
      </c>
    </row>
    <row r="9" customFormat="false" ht="42" hidden="false" customHeight="true" outlineLevel="0" collapsed="false">
      <c r="A9" s="1" t="n">
        <v>6</v>
      </c>
      <c r="B9" s="10" t="s">
        <v>28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2026-10-14T12:30:49Z</dcterms:created>
  <dc:creator>openpyxl</dc:creator>
  <dc:description/>
  <dc:language>en-US</dc:language>
  <cp:lastModifiedBy/>
  <dcterms:modified xsi:type="dcterms:W3CDTF">2026-10-14T18:26:59Z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