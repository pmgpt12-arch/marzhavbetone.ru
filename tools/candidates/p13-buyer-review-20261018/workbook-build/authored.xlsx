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684b2cb34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 затрат" sheetId="1" r:id="Rabcedfe85ecd4462"/>
    <x:sheet xmlns:r="http://schemas.openxmlformats.org/officeDocument/2006/relationships" name="Как заполнять" sheetId="2" r:id="R0705294408d44e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sz val="11"/>
      <x:color rgb="FFFFFFFF"/>
    </x:font>
    <x:font>
      <x:b/>
    </x:font>
    <x:font>
      <x:b/>
      <x:sz val="10"/>
      <x:color rgb="FFFFFFFF"/>
      <x:name val="Calibri"/>
    </x:font>
    <x:font>
      <x:sz val="10"/>
      <x:color rgb="FF27333D"/>
      <x:name val="Calibri"/>
    </x:font>
    <x:font>
      <x:b/>
      <x:color rgb="FF27333D"/>
    </x:font>
    <x:font>
      <x:sz val="11"/>
      <x:color rgb="FF27333D"/>
      <x:name val="Calibri"/>
      <x:family val="2"/>
      <x:scheme val="minor"/>
    </x:font>
    <x:font>
      <x:sz val="10"/>
      <x:color rgb="FF68778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27333D"/>
      </x:patternFill>
    </x:fill>
    <x:fill>
      <x:patternFill patternType="solid">
        <x:fgColor rgb="FFFFFFFF"/>
      </x:patternFill>
    </x:fill>
    <x:fill>
      <x:patternFill patternType="solid">
        <x:fgColor rgb="FFFBF7EB"/>
      </x:patternFill>
    </x:fill>
    <x:fill>
      <x:patternFill patternType="solid">
        <x:fgColor rgb="FFF2F5F6"/>
      </x:patternFill>
    </x:fill>
    <x:fill>
      <x:patternFill patternType="solid">
        <x:fgColor rgb="FFF6F7F7"/>
      </x:patternFill>
    </x:fill>
  </x:fills>
  <x:borders count="5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  <x:border>
      <x:left style="hair">
        <x:color rgb="FFDEE4E7"/>
      </x:left>
      <x:right style="hair">
        <x:color rgb="FFDEE4E7"/>
      </x:right>
      <x:top style="thin">
        <x:color rgb="FF999999"/>
      </x:top>
      <x:bottom style="hair">
        <x:color rgb="FFDEE4E7"/>
      </x:bottom>
    </x:border>
    <x:border/>
  </x:borders>
  <x:cellStyleXfs count="1">
    <x:xf numFmtId="0" fontId="0" fillId="0" borderId="0"/>
  </x:cellStyleXfs>
  <x:cellXfs count="20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2" fillId="0" borderId="0" xfId="0"/>
    <x:xf numFmtId="0" fontId="2" fillId="0" borderId="1" xfId="0"/>
    <x:xf numFmtId="0" fontId="0" fillId="0" borderId="1" xfId="0"/>
    <x:xf numFmtId="9" fontId="0" fillId="0" borderId="1" xfId="0"/>
    <x:xf numFmtId="0" fontId="1" fillId="2" borderId="1" xfId="0"/>
    <x:xf numFmtId="0" fontId="3" fillId="3" borderId="2" xfId="0" applyAlignment="1">
      <x:alignment horizontal="left" vertical="center" wrapText="1"/>
    </x:xf>
    <x:xf numFmtId="0" fontId="4" fillId="4" borderId="3" xfId="0" applyAlignment="1">
      <x:alignment vertical="center" wrapText="1"/>
    </x:xf>
    <x:xf numFmtId="0" fontId="4" fillId="5" borderId="3" xfId="0" applyAlignment="1">
      <x:alignment vertical="center" wrapText="1"/>
    </x:xf>
    <x:xf numFmtId="0" fontId="4" fillId="5" borderId="3" xfId="0" applyAlignment="1">
      <x:alignment vertical="center" wrapText="1"/>
    </x:xf>
    <x:xf numFmtId="0" fontId="4" fillId="6" borderId="3" xfId="0" applyAlignment="1">
      <x:alignment vertical="center" wrapText="1"/>
    </x:xf>
    <x:xf numFmtId="9" fontId="4" fillId="6" borderId="3" xfId="0" applyAlignment="1">
      <x:alignment vertical="center" wrapText="1"/>
    </x:xf>
    <x:xf numFmtId="0" fontId="5" fillId="4" borderId="3" xfId="0" applyAlignment="1">
      <x:alignment vertical="center" wrapText="1"/>
    </x:xf>
    <x:xf numFmtId="0" fontId="6" fillId="4" borderId="3" xfId="0" applyAlignment="1">
      <x:alignment vertical="center" wrapText="1"/>
    </x:xf>
    <x:xf numFmtId="0" fontId="3" fillId="3" borderId="2" xfId="0" applyAlignment="1">
      <x:alignment horizontal="left" vertical="center" wrapText="1"/>
    </x:xf>
    <x:xf numFmtId="0" fontId="4" fillId="4" borderId="3" xfId="0" applyAlignment="1">
      <x:alignment vertical="center" wrapText="1"/>
    </x:xf>
    <x:xf numFmtId="0" fontId="7" fillId="7" borderId="4" xfId="0" applyAlignment="1">
      <x:alignment vertical="center" wrapText="1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dd20778ee47ff" /><Relationship Type="http://schemas.openxmlformats.org/officeDocument/2006/relationships/theme" Target="/xl/theme/theme1.xml" Id="Re7b20cad10a04b79" /><Relationship Type="http://schemas.openxmlformats.org/officeDocument/2006/relationships/sharedStrings" Target="/xl/sharedStrings.xml" Id="Rfae0238186424ea6" /><Relationship Type="http://schemas.openxmlformats.org/officeDocument/2006/relationships/worksheet" Target="/xl/worksheets/sheet1.xml" Id="Rabcedfe85ecd4462" /><Relationship Type="http://schemas.openxmlformats.org/officeDocument/2006/relationships/worksheet" Target="/xl/worksheets/sheet2.xml" Id="R0705294408d44e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5" customWidth="1"/>
    <x:col min="2" max="2" width="26" customWidth="1"/>
    <x:col min="3" max="3" width="46" customWidth="1"/>
    <x:col min="4" max="4" width="16" customWidth="1"/>
    <x:col min="5" max="5" width="15" customWidth="1"/>
    <x:col min="6" max="6" width="18" customWidth="1"/>
    <x:col min="7" max="7" width="30" customWidth="1"/>
    <x:col min="8" max="8" width="14" customWidth="1"/>
    <x:col min="9" max="9" width="24" customWidth="1"/>
    <x:col min="10" max="10" width="30" customWidth="1"/>
  </x:cols>
  <x:sheetData>
    <x:row r="1">
      <x:c r="A1" s="8" t="inlineStr">
        <x:is>
          <x:t xml:space="preserve">№</x:t>
        </x:is>
      </x:c>
      <x:c r="B1" s="8" t="inlineStr">
        <x:is>
          <x:t xml:space="preserve">Раздел</x:t>
        </x:is>
      </x:c>
      <x:c r="C1" s="8" t="inlineStr">
        <x:is>
          <x:t xml:space="preserve">Затрата</x:t>
        </x:is>
      </x:c>
      <x:c r="D1" s="8" t="inlineStr">
        <x:is>
          <x:t xml:space="preserve">Учтено в смете</x:t>
        </x:is>
      </x:c>
      <x:c r="E1" s="8" t="inlineStr">
        <x:is>
          <x:t xml:space="preserve">Позиция сметы №</x:t>
        </x:is>
      </x:c>
      <x:c r="F1" s="8" t="inlineStr">
        <x:is>
          <x:t xml:space="preserve">Чья зона</x:t>
        </x:is>
      </x:c>
      <x:c r="G1" s="8" t="inlineStr">
        <x:is>
          <x:t xml:space="preserve">Чем подтверждено</x:t>
        </x:is>
      </x:c>
      <x:c r="H1" s="8" t="str">
        <x:v>Не покрыто, ₽</x:v>
      </x:c>
      <x:c r="I1" s="8" t="inlineStr">
        <x:is>
          <x:t xml:space="preserve">Статус</x:t>
        </x:is>
      </x:c>
      <x:c r="J1" s="8" t="inlineStr">
        <x:is>
          <x:t xml:space="preserve">Комментарий</x:t>
        </x:is>
      </x:c>
    </x:row>
    <x:row r="2" ht="24" customHeight="1">
      <x:c r="A2" s="9" t="n">
        <x:v>1</x:v>
      </x:c>
      <x:c r="B2" s="9" t="inlineStr">
        <x:is>
          <x:t xml:space="preserve">1. Площадка и временное</x:t>
        </x:is>
      </x:c>
      <x:c r="C2" s="9" t="inlineStr">
        <x:is>
          <x:t xml:space="preserve">Бытовка, раздевалка, помещение для приёма пищи</x:t>
        </x:is>
      </x:c>
      <x:c r="D2" s="10"/>
      <x:c r="E2" s="10"/>
      <x:c r="F2" s="10"/>
      <x:c r="G2" s="10"/>
      <x:c r="H2" s="10"/>
      <x:c r="I2" s="10"/>
      <x:c r="J2" s="10"/>
    </x:row>
    <x:row r="3" ht="24" customHeight="1">
      <x:c r="A3" s="9" t="n">
        <x:v>2</x:v>
      </x:c>
      <x:c r="B3" s="9" t="inlineStr">
        <x:is>
          <x:t xml:space="preserve">1. Площадка и временное</x:t>
        </x:is>
      </x:c>
      <x:c r="C3" s="9" t="inlineStr">
        <x:is>
          <x:t xml:space="preserve">Склад и место хранения материалов</x:t>
        </x:is>
      </x:c>
      <x:c r="D3" s="10"/>
      <x:c r="E3" s="10"/>
      <x:c r="F3" s="10"/>
      <x:c r="G3" s="10"/>
      <x:c r="H3" s="10"/>
      <x:c r="I3" s="10"/>
      <x:c r="J3" s="10"/>
    </x:row>
    <x:row r="4" ht="24" customHeight="1">
      <x:c r="A4" s="9" t="n">
        <x:v>3</x:v>
      </x:c>
      <x:c r="B4" s="9" t="inlineStr">
        <x:is>
          <x:t xml:space="preserve">1. Площадка и временное</x:t>
        </x:is>
      </x:c>
      <x:c r="C4" s="9" t="inlineStr">
        <x:is>
          <x:t xml:space="preserve">Ограждение зоны работ, знаки, ограничение доступа</x:t>
        </x:is>
      </x:c>
      <x:c r="D4" s="10"/>
      <x:c r="E4" s="10"/>
      <x:c r="F4" s="10"/>
      <x:c r="G4" s="10"/>
      <x:c r="H4" s="10"/>
      <x:c r="I4" s="10"/>
      <x:c r="J4" s="10"/>
    </x:row>
    <x:row r="5" ht="24" customHeight="1">
      <x:c r="A5" s="9" t="n">
        <x:v>4</x:v>
      </x:c>
      <x:c r="B5" s="9" t="inlineStr">
        <x:is>
          <x:t xml:space="preserve">1. Площадка и временное</x:t>
        </x:is>
      </x:c>
      <x:c r="C5" s="9" t="inlineStr">
        <x:is>
          <x:t xml:space="preserve">Освещение рабочих мест и подходов</x:t>
        </x:is>
      </x:c>
      <x:c r="D5" s="10"/>
      <x:c r="E5" s="10"/>
      <x:c r="F5" s="10"/>
      <x:c r="G5" s="10"/>
      <x:c r="H5" s="10"/>
      <x:c r="I5" s="10"/>
      <x:c r="J5" s="10"/>
    </x:row>
    <x:row r="6" ht="24" customHeight="1">
      <x:c r="A6" s="9" t="n">
        <x:v>5</x:v>
      </x:c>
      <x:c r="B6" s="9" t="inlineStr">
        <x:is>
          <x:t xml:space="preserve">1. Площадка и временное</x:t>
        </x:is>
      </x:c>
      <x:c r="C6" s="9" t="inlineStr">
        <x:is>
          <x:t xml:space="preserve">Электроэнергия, вода, тепло на период работ</x:t>
        </x:is>
      </x:c>
      <x:c r="D6" s="10"/>
      <x:c r="E6" s="10"/>
      <x:c r="F6" s="10"/>
      <x:c r="G6" s="10"/>
      <x:c r="H6" s="10"/>
      <x:c r="I6" s="10"/>
      <x:c r="J6" s="10"/>
    </x:row>
    <x:row r="7" ht="24" customHeight="1">
      <x:c r="A7" s="9" t="n">
        <x:v>6</x:v>
      </x:c>
      <x:c r="B7" s="9" t="inlineStr">
        <x:is>
          <x:t xml:space="preserve">1. Площадка и временное</x:t>
        </x:is>
      </x:c>
      <x:c r="C7" s="9" t="inlineStr">
        <x:is>
          <x:t xml:space="preserve">Охрана, пропускной режим, оформление пропусков</x:t>
        </x:is>
      </x:c>
      <x:c r="D7" s="10"/>
      <x:c r="E7" s="10"/>
      <x:c r="F7" s="10"/>
      <x:c r="G7" s="10"/>
      <x:c r="H7" s="10"/>
      <x:c r="I7" s="10"/>
      <x:c r="J7" s="10"/>
    </x:row>
    <x:row r="8" ht="24" customHeight="1">
      <x:c r="A8" s="9" t="n">
        <x:v>7</x:v>
      </x:c>
      <x:c r="B8" s="9" t="inlineStr">
        <x:is>
          <x:t xml:space="preserve">1. Площадка и временное</x:t>
        </x:is>
      </x:c>
      <x:c r="C8" s="9" t="inlineStr">
        <x:is>
          <x:t xml:space="preserve">Демонтаж и вывоз временного после работ</x:t>
        </x:is>
      </x:c>
      <x:c r="D8" s="10"/>
      <x:c r="E8" s="10"/>
      <x:c r="F8" s="10"/>
      <x:c r="G8" s="10"/>
      <x:c r="H8" s="10"/>
      <x:c r="I8" s="10"/>
      <x:c r="J8" s="10"/>
    </x:row>
    <x:row r="9" ht="24" customHeight="1">
      <x:c r="A9" s="9" t="n">
        <x:v>8</x:v>
      </x:c>
      <x:c r="B9" s="9" t="inlineStr">
        <x:is>
          <x:t xml:space="preserve">2. Материалы и логистика</x:t>
        </x:is>
      </x:c>
      <x:c r="C9" s="9" t="inlineStr">
        <x:is>
          <x:t xml:space="preserve">Доставка материалов до объекта</x:t>
        </x:is>
      </x:c>
      <x:c r="D9" s="10"/>
      <x:c r="E9" s="10"/>
      <x:c r="F9" s="10"/>
      <x:c r="G9" s="10"/>
      <x:c r="H9" s="10"/>
      <x:c r="I9" s="10"/>
      <x:c r="J9" s="10"/>
    </x:row>
    <x:row r="10" ht="24" customHeight="1">
      <x:c r="A10" s="9" t="n">
        <x:v>9</x:v>
      </x:c>
      <x:c r="B10" s="9" t="inlineStr">
        <x:is>
          <x:t xml:space="preserve">2. Материалы и логистика</x:t>
        </x:is>
      </x:c>
      <x:c r="C10" s="9" t="inlineStr">
        <x:is>
          <x:t xml:space="preserve">Разгрузка на объекте</x:t>
        </x:is>
      </x:c>
      <x:c r="D10" s="10"/>
      <x:c r="E10" s="10"/>
      <x:c r="F10" s="10"/>
      <x:c r="G10" s="10"/>
      <x:c r="H10" s="10"/>
      <x:c r="I10" s="10"/>
      <x:c r="J10" s="10"/>
    </x:row>
    <x:row r="11" ht="24" customHeight="1">
      <x:c r="A11" s="9" t="n">
        <x:v>10</x:v>
      </x:c>
      <x:c r="B11" s="9" t="inlineStr">
        <x:is>
          <x:t xml:space="preserve">2. Материалы и логистика</x:t>
        </x:is>
      </x:c>
      <x:c r="C11" s="9" t="inlineStr">
        <x:is>
          <x:t xml:space="preserve">Перемещение по объекту и подъём на отметку</x:t>
        </x:is>
      </x:c>
      <x:c r="D11" s="10"/>
      <x:c r="E11" s="10"/>
      <x:c r="F11" s="10"/>
      <x:c r="G11" s="10"/>
      <x:c r="H11" s="10"/>
      <x:c r="I11" s="10"/>
      <x:c r="J11" s="10"/>
    </x:row>
    <x:row r="12" ht="24" customHeight="1">
      <x:c r="A12" s="9" t="n">
        <x:v>11</x:v>
      </x:c>
      <x:c r="B12" s="9" t="inlineStr">
        <x:is>
          <x:t xml:space="preserve">2. Материалы и логистика</x:t>
        </x:is>
      </x:c>
      <x:c r="C12" s="9" t="inlineStr">
        <x:is>
          <x:t xml:space="preserve">Хранение на объекте</x:t>
        </x:is>
      </x:c>
      <x:c r="D12" s="10"/>
      <x:c r="E12" s="10"/>
      <x:c r="F12" s="10"/>
      <x:c r="G12" s="10"/>
      <x:c r="H12" s="10"/>
      <x:c r="I12" s="10"/>
      <x:c r="J12" s="10"/>
    </x:row>
    <x:row r="13" ht="24" customHeight="1">
      <x:c r="A13" s="9" t="n">
        <x:v>12</x:v>
      </x:c>
      <x:c r="B13" s="9" t="inlineStr">
        <x:is>
          <x:t xml:space="preserve">2. Материалы и логистика</x:t>
        </x:is>
      </x:c>
      <x:c r="C13" s="9" t="inlineStr">
        <x:is>
          <x:t xml:space="preserve">Бой, порча, естественная убыль</x:t>
        </x:is>
      </x:c>
      <x:c r="D13" s="10"/>
      <x:c r="E13" s="10"/>
      <x:c r="F13" s="10"/>
      <x:c r="G13" s="10"/>
      <x:c r="H13" s="10"/>
      <x:c r="I13" s="10"/>
      <x:c r="J13" s="10"/>
    </x:row>
    <x:row r="14" ht="24" customHeight="1">
      <x:c r="A14" s="9" t="n">
        <x:v>13</x:v>
      </x:c>
      <x:c r="B14" s="9" t="inlineStr">
        <x:is>
          <x:t xml:space="preserve">2. Материалы и логистика</x:t>
        </x:is>
      </x:c>
      <x:c r="C14" s="9" t="inlineStr">
        <x:is>
          <x:t xml:space="preserve">Тара и упаковка, её возврат или утилизация</x:t>
        </x:is>
      </x:c>
      <x:c r="D14" s="10"/>
      <x:c r="E14" s="10"/>
      <x:c r="F14" s="10"/>
      <x:c r="G14" s="10"/>
      <x:c r="H14" s="10"/>
      <x:c r="I14" s="10"/>
      <x:c r="J14" s="10"/>
    </x:row>
    <x:row r="15" ht="24" customHeight="1">
      <x:c r="A15" s="9" t="n">
        <x:v>14</x:v>
      </x:c>
      <x:c r="B15" s="9" t="inlineStr">
        <x:is>
          <x:t xml:space="preserve">2. Материалы и логистика</x:t>
        </x:is>
      </x:c>
      <x:c r="C15" s="9" t="inlineStr">
        <x:is>
          <x:t xml:space="preserve">Входной контроль и приёмка материалов</x:t>
        </x:is>
      </x:c>
      <x:c r="D15" s="10"/>
      <x:c r="E15" s="10"/>
      <x:c r="F15" s="10"/>
      <x:c r="G15" s="10"/>
      <x:c r="H15" s="10"/>
      <x:c r="I15" s="10"/>
      <x:c r="J15" s="10"/>
    </x:row>
    <x:row r="16" ht="24" customHeight="1">
      <x:c r="A16" s="9" t="n">
        <x:v>15</x:v>
      </x:c>
      <x:c r="B16" s="9" t="inlineStr">
        <x:is>
          <x:t xml:space="preserve">3. Люди</x:t>
        </x:is>
      </x:c>
      <x:c r="C16" s="9" t="inlineStr">
        <x:is>
          <x:t xml:space="preserve">Доставка работников к объекту</x:t>
        </x:is>
      </x:c>
      <x:c r="D16" s="10"/>
      <x:c r="E16" s="10"/>
      <x:c r="F16" s="10"/>
      <x:c r="G16" s="10"/>
      <x:c r="H16" s="10"/>
      <x:c r="I16" s="10"/>
      <x:c r="J16" s="10"/>
    </x:row>
    <x:row r="17" ht="24" customHeight="1">
      <x:c r="A17" s="9" t="n">
        <x:v>16</x:v>
      </x:c>
      <x:c r="B17" s="9" t="inlineStr">
        <x:is>
          <x:t xml:space="preserve">3. Люди</x:t>
        </x:is>
      </x:c>
      <x:c r="C17" s="9" t="inlineStr">
        <x:is>
          <x:t xml:space="preserve">Проживание и питание персонала</x:t>
        </x:is>
      </x:c>
      <x:c r="D17" s="10"/>
      <x:c r="E17" s="10"/>
      <x:c r="F17" s="10"/>
      <x:c r="G17" s="10"/>
      <x:c r="H17" s="10"/>
      <x:c r="I17" s="10"/>
      <x:c r="J17" s="10"/>
    </x:row>
    <x:row r="18" ht="24" customHeight="1">
      <x:c r="A18" s="9" t="n">
        <x:v>17</x:v>
      </x:c>
      <x:c r="B18" s="9" t="inlineStr">
        <x:is>
          <x:t xml:space="preserve">3. Люди</x:t>
        </x:is>
      </x:c>
      <x:c r="C18" s="9" t="inlineStr">
        <x:is>
          <x:t xml:space="preserve">Инструктажи и обучение по требованиям площадки</x:t>
        </x:is>
      </x:c>
      <x:c r="D18" s="10"/>
      <x:c r="E18" s="10"/>
      <x:c r="F18" s="10"/>
      <x:c r="G18" s="10"/>
      <x:c r="H18" s="10"/>
      <x:c r="I18" s="10"/>
      <x:c r="J18" s="10"/>
    </x:row>
    <x:row r="19" ht="24" customHeight="1">
      <x:c r="A19" s="9" t="n">
        <x:v>18</x:v>
      </x:c>
      <x:c r="B19" s="9" t="inlineStr">
        <x:is>
          <x:t xml:space="preserve">3. Люди</x:t>
        </x:is>
      </x:c>
      <x:c r="C19" s="9" t="inlineStr">
        <x:is>
          <x:t xml:space="preserve">Аттестации, допуски, удостоверения</x:t>
        </x:is>
      </x:c>
      <x:c r="D19" s="10"/>
      <x:c r="E19" s="10"/>
      <x:c r="F19" s="10"/>
      <x:c r="G19" s="10"/>
      <x:c r="H19" s="10"/>
      <x:c r="I19" s="10"/>
      <x:c r="J19" s="10"/>
    </x:row>
    <x:row r="20" ht="24" customHeight="1">
      <x:c r="A20" s="9" t="n">
        <x:v>19</x:v>
      </x:c>
      <x:c r="B20" s="9" t="inlineStr">
        <x:is>
          <x:t xml:space="preserve">3. Люди</x:t>
        </x:is>
      </x:c>
      <x:c r="C20" s="9" t="inlineStr">
        <x:is>
          <x:t xml:space="preserve">Медицинские осмотры</x:t>
        </x:is>
      </x:c>
      <x:c r="D20" s="10"/>
      <x:c r="E20" s="10"/>
      <x:c r="F20" s="10"/>
      <x:c r="G20" s="10"/>
      <x:c r="H20" s="10"/>
      <x:c r="I20" s="10"/>
      <x:c r="J20" s="10"/>
    </x:row>
    <x:row r="21" ht="24" customHeight="1">
      <x:c r="A21" s="9" t="n">
        <x:v>20</x:v>
      </x:c>
      <x:c r="B21" s="9" t="inlineStr">
        <x:is>
          <x:t xml:space="preserve">3. Люди</x:t>
        </x:is>
      </x:c>
      <x:c r="C21" s="9" t="inlineStr">
        <x:is>
          <x:t xml:space="preserve">Средства индивидуальной защиты и спецодежда</x:t>
        </x:is>
      </x:c>
      <x:c r="D21" s="10"/>
      <x:c r="E21" s="10"/>
      <x:c r="F21" s="10"/>
      <x:c r="G21" s="10"/>
      <x:c r="H21" s="10"/>
      <x:c r="I21" s="10"/>
      <x:c r="J21" s="10"/>
    </x:row>
    <x:row r="22" ht="24" customHeight="1">
      <x:c r="A22" s="9" t="n">
        <x:v>21</x:v>
      </x:c>
      <x:c r="B22" s="9" t="inlineStr">
        <x:is>
          <x:t xml:space="preserve">3. Люди</x:t>
        </x:is>
      </x:c>
      <x:c r="C22" s="9" t="inlineStr">
        <x:is>
          <x:t xml:space="preserve">Простой по причинам, не зависящим от подрядчика</x:t>
        </x:is>
      </x:c>
      <x:c r="D22" s="10"/>
      <x:c r="E22" s="10"/>
      <x:c r="F22" s="10"/>
      <x:c r="G22" s="10"/>
      <x:c r="H22" s="10"/>
      <x:c r="I22" s="10"/>
      <x:c r="J22" s="10"/>
    </x:row>
    <x:row r="23" ht="24" customHeight="1">
      <x:c r="A23" s="9" t="n">
        <x:v>22</x:v>
      </x:c>
      <x:c r="B23" s="9" t="inlineStr">
        <x:is>
          <x:t xml:space="preserve">4. Технология и стыки</x:t>
        </x:is>
      </x:c>
      <x:c r="C23" s="9" t="inlineStr">
        <x:is>
          <x:t xml:space="preserve">Подготовительные и вспомогательные операции</x:t>
        </x:is>
      </x:c>
      <x:c r="D23" s="10"/>
      <x:c r="E23" s="10"/>
      <x:c r="F23" s="10"/>
      <x:c r="G23" s="10"/>
      <x:c r="H23" s="10"/>
      <x:c r="I23" s="10"/>
      <x:c r="J23" s="10"/>
    </x:row>
    <x:row r="24" ht="24" customHeight="1">
      <x:c r="A24" s="9" t="n">
        <x:v>23</x:v>
      </x:c>
      <x:c r="B24" s="9" t="inlineStr">
        <x:is>
          <x:t xml:space="preserve">4. Технология и стыки</x:t>
        </x:is>
      </x:c>
      <x:c r="C24" s="9" t="inlineStr">
        <x:is>
          <x:t xml:space="preserve">Леса и средства подмащивания</x:t>
        </x:is>
      </x:c>
      <x:c r="D24" s="10"/>
      <x:c r="E24" s="10"/>
      <x:c r="F24" s="10"/>
      <x:c r="G24" s="10"/>
      <x:c r="H24" s="10"/>
      <x:c r="I24" s="10"/>
      <x:c r="J24" s="10"/>
    </x:row>
    <x:row r="25" ht="24" customHeight="1">
      <x:c r="A25" s="9" t="n">
        <x:v>24</x:v>
      </x:c>
      <x:c r="B25" s="9" t="inlineStr">
        <x:is>
          <x:t xml:space="preserve">4. Технология и стыки</x:t>
        </x:is>
      </x:c>
      <x:c r="C25" s="9" t="inlineStr">
        <x:is>
          <x:t xml:space="preserve">Работа в стеснённых условиях и на высоте</x:t>
        </x:is>
      </x:c>
      <x:c r="D25" s="10"/>
      <x:c r="E25" s="10"/>
      <x:c r="F25" s="10"/>
      <x:c r="G25" s="10"/>
      <x:c r="H25" s="10"/>
      <x:c r="I25" s="10"/>
      <x:c r="J25" s="10"/>
    </x:row>
    <x:row r="26" ht="24" customHeight="1">
      <x:c r="A26" s="9" t="n">
        <x:v>25</x:v>
      </x:c>
      <x:c r="B26" s="9" t="inlineStr">
        <x:is>
          <x:t xml:space="preserve">4. Технология и стыки</x:t>
        </x:is>
      </x:c>
      <x:c r="C26" s="9" t="inlineStr">
        <x:is>
          <x:t xml:space="preserve">Примыкания и стыки со смежниками</x:t>
        </x:is>
      </x:c>
      <x:c r="D26" s="10"/>
      <x:c r="E26" s="10"/>
      <x:c r="F26" s="10"/>
      <x:c r="G26" s="10"/>
      <x:c r="H26" s="10"/>
      <x:c r="I26" s="10"/>
      <x:c r="J26" s="10"/>
    </x:row>
    <x:row r="27" ht="24" customHeight="1">
      <x:c r="A27" s="9" t="n">
        <x:v>26</x:v>
      </x:c>
      <x:c r="B27" s="9" t="inlineStr">
        <x:is>
          <x:t xml:space="preserve">4. Технология и стыки</x:t>
        </x:is>
      </x:c>
      <x:c r="C27" s="9" t="inlineStr">
        <x:is>
          <x:t xml:space="preserve">Восстановление повреждённого смежниками</x:t>
        </x:is>
      </x:c>
      <x:c r="D27" s="10"/>
      <x:c r="E27" s="10"/>
      <x:c r="F27" s="10"/>
      <x:c r="G27" s="10"/>
      <x:c r="H27" s="10"/>
      <x:c r="I27" s="10"/>
      <x:c r="J27" s="10"/>
    </x:row>
    <x:row r="28" ht="24" customHeight="1">
      <x:c r="A28" s="9" t="n">
        <x:v>27</x:v>
      </x:c>
      <x:c r="B28" s="9" t="inlineStr">
        <x:is>
          <x:t xml:space="preserve">4. Технология и стыки</x:t>
        </x:is>
      </x:c>
      <x:c r="C28" s="9" t="inlineStr">
        <x:is>
          <x:t xml:space="preserve">Защита выполненного до сдачи</x:t>
        </x:is>
      </x:c>
      <x:c r="D28" s="10"/>
      <x:c r="E28" s="10"/>
      <x:c r="F28" s="10"/>
      <x:c r="G28" s="10"/>
      <x:c r="H28" s="10"/>
      <x:c r="I28" s="10"/>
      <x:c r="J28" s="10"/>
    </x:row>
    <x:row r="29" ht="24" customHeight="1">
      <x:c r="A29" s="9" t="n">
        <x:v>28</x:v>
      </x:c>
      <x:c r="B29" s="9" t="inlineStr">
        <x:is>
          <x:t xml:space="preserve">5. Сезон и режим</x:t>
        </x:is>
      </x:c>
      <x:c r="C29" s="9" t="inlineStr">
        <x:is>
          <x:t xml:space="preserve">Работы в зимний период</x:t>
        </x:is>
      </x:c>
      <x:c r="D29" s="10"/>
      <x:c r="E29" s="10"/>
      <x:c r="F29" s="10"/>
      <x:c r="G29" s="10"/>
      <x:c r="H29" s="10"/>
      <x:c r="I29" s="10"/>
      <x:c r="J29" s="10"/>
    </x:row>
    <x:row r="30" ht="24" customHeight="1">
      <x:c r="A30" s="9" t="n">
        <x:v>29</x:v>
      </x:c>
      <x:c r="B30" s="9" t="inlineStr">
        <x:is>
          <x:t xml:space="preserve">5. Сезон и режим</x:t>
        </x:is>
      </x:c>
      <x:c r="C30" s="9" t="inlineStr">
        <x:is>
          <x:t xml:space="preserve">Обогрев, тепляки, прогрев материалов</x:t>
        </x:is>
      </x:c>
      <x:c r="D30" s="10"/>
      <x:c r="E30" s="10"/>
      <x:c r="F30" s="10"/>
      <x:c r="G30" s="10"/>
      <x:c r="H30" s="10"/>
      <x:c r="I30" s="10"/>
      <x:c r="J30" s="10"/>
    </x:row>
    <x:row r="31" ht="24" customHeight="1">
      <x:c r="A31" s="9" t="n">
        <x:v>30</x:v>
      </x:c>
      <x:c r="B31" s="9" t="inlineStr">
        <x:is>
          <x:t xml:space="preserve">5. Сезон и режим</x:t>
        </x:is>
      </x:c>
      <x:c r="C31" s="9" t="inlineStr">
        <x:is>
          <x:t xml:space="preserve">Снегоочистка зоны работ и подходов</x:t>
        </x:is>
      </x:c>
      <x:c r="D31" s="10"/>
      <x:c r="E31" s="10"/>
      <x:c r="F31" s="10"/>
      <x:c r="G31" s="10"/>
      <x:c r="H31" s="10"/>
      <x:c r="I31" s="10"/>
      <x:c r="J31" s="10"/>
    </x:row>
    <x:row r="32" ht="24" customHeight="1">
      <x:c r="A32" s="9" t="n">
        <x:v>31</x:v>
      </x:c>
      <x:c r="B32" s="9" t="inlineStr">
        <x:is>
          <x:t xml:space="preserve">5. Сезон и режим</x:t>
        </x:is>
      </x:c>
      <x:c r="C32" s="9" t="inlineStr">
        <x:is>
          <x:t xml:space="preserve">Ночные смены, выходные и праздники</x:t>
        </x:is>
      </x:c>
      <x:c r="D32" s="10"/>
      <x:c r="E32" s="10"/>
      <x:c r="F32" s="10"/>
      <x:c r="G32" s="10"/>
      <x:c r="H32" s="10"/>
      <x:c r="I32" s="10"/>
      <x:c r="J32" s="10"/>
    </x:row>
    <x:row r="33" ht="24" customHeight="1">
      <x:c r="A33" s="9" t="n">
        <x:v>32</x:v>
      </x:c>
      <x:c r="B33" s="9" t="inlineStr">
        <x:is>
          <x:t xml:space="preserve">5. Сезон и режим</x:t>
        </x:is>
      </x:c>
      <x:c r="C33" s="9" t="inlineStr">
        <x:is>
          <x:t xml:space="preserve">Ускорение работ по требованию второй стороны</x:t>
        </x:is>
      </x:c>
      <x:c r="D33" s="10"/>
      <x:c r="E33" s="10"/>
      <x:c r="F33" s="10"/>
      <x:c r="G33" s="10"/>
      <x:c r="H33" s="10"/>
      <x:c r="I33" s="10"/>
      <x:c r="J33" s="10"/>
    </x:row>
    <x:row r="34" ht="24" customHeight="1">
      <x:c r="A34" s="9" t="n">
        <x:v>33</x:v>
      </x:c>
      <x:c r="B34" s="9" t="inlineStr">
        <x:is>
          <x:t xml:space="preserve">6. Отходы и уборка</x:t>
        </x:is>
      </x:c>
      <x:c r="C34" s="9" t="inlineStr">
        <x:is>
          <x:t xml:space="preserve">Сбор мусора в зоне работ</x:t>
        </x:is>
      </x:c>
      <x:c r="D34" s="10"/>
      <x:c r="E34" s="10"/>
      <x:c r="F34" s="10"/>
      <x:c r="G34" s="10"/>
      <x:c r="H34" s="10"/>
      <x:c r="I34" s="10"/>
      <x:c r="J34" s="10"/>
    </x:row>
    <x:row r="35" ht="24" customHeight="1">
      <x:c r="A35" s="9" t="n">
        <x:v>34</x:v>
      </x:c>
      <x:c r="B35" s="9" t="inlineStr">
        <x:is>
          <x:t xml:space="preserve">6. Отходы и уборка</x:t>
        </x:is>
      </x:c>
      <x:c r="C35" s="9" t="inlineStr">
        <x:is>
          <x:t xml:space="preserve">Вынос мусора до места накопления</x:t>
        </x:is>
      </x:c>
      <x:c r="D35" s="10"/>
      <x:c r="E35" s="10"/>
      <x:c r="F35" s="10"/>
      <x:c r="G35" s="10"/>
      <x:c r="H35" s="10"/>
      <x:c r="I35" s="10"/>
      <x:c r="J35" s="10"/>
    </x:row>
    <x:row r="36" ht="24" customHeight="1">
      <x:c r="A36" s="9" t="n">
        <x:v>35</x:v>
      </x:c>
      <x:c r="B36" s="9" t="inlineStr">
        <x:is>
          <x:t xml:space="preserve">6. Отходы и уборка</x:t>
        </x:is>
      </x:c>
      <x:c r="C36" s="9" t="inlineStr">
        <x:is>
          <x:t xml:space="preserve">Контейнер и вывоз</x:t>
        </x:is>
      </x:c>
      <x:c r="D36" s="10"/>
      <x:c r="E36" s="10"/>
      <x:c r="F36" s="10"/>
      <x:c r="G36" s="10"/>
      <x:c r="H36" s="10"/>
      <x:c r="I36" s="10"/>
      <x:c r="J36" s="10"/>
    </x:row>
    <x:row r="37" ht="24" customHeight="1">
      <x:c r="A37" s="9" t="n">
        <x:v>36</x:v>
      </x:c>
      <x:c r="B37" s="9" t="inlineStr">
        <x:is>
          <x:t xml:space="preserve">6. Отходы и уборка</x:t>
        </x:is>
      </x:c>
      <x:c r="C37" s="9" t="inlineStr">
        <x:is>
          <x:t xml:space="preserve">Размещение отходов и подтверждающие документы</x:t>
        </x:is>
      </x:c>
      <x:c r="D37" s="10"/>
      <x:c r="E37" s="10"/>
      <x:c r="F37" s="10"/>
      <x:c r="G37" s="10"/>
      <x:c r="H37" s="10"/>
      <x:c r="I37" s="10"/>
      <x:c r="J37" s="10"/>
    </x:row>
    <x:row r="38" ht="24" customHeight="1">
      <x:c r="A38" s="9" t="n">
        <x:v>37</x:v>
      </x:c>
      <x:c r="B38" s="9" t="inlineStr">
        <x:is>
          <x:t xml:space="preserve">6. Отходы и уборка</x:t>
        </x:is>
      </x:c>
      <x:c r="C38" s="9" t="inlineStr">
        <x:is>
          <x:t xml:space="preserve">Ежедневная и финальная уборка</x:t>
        </x:is>
      </x:c>
      <x:c r="D38" s="10"/>
      <x:c r="E38" s="10"/>
      <x:c r="F38" s="10"/>
      <x:c r="G38" s="10"/>
      <x:c r="H38" s="10"/>
      <x:c r="I38" s="10"/>
      <x:c r="J38" s="10"/>
    </x:row>
    <x:row r="39" ht="24" customHeight="1">
      <x:c r="A39" s="9" t="n">
        <x:v>38</x:v>
      </x:c>
      <x:c r="B39" s="9" t="inlineStr">
        <x:is>
          <x:t xml:space="preserve">7. Документы и приёмка</x:t>
        </x:is>
      </x:c>
      <x:c r="C39" s="9" t="inlineStr">
        <x:is>
          <x:t xml:space="preserve">Ведение исполнительной документации</x:t>
        </x:is>
      </x:c>
      <x:c r="D39" s="10"/>
      <x:c r="E39" s="10"/>
      <x:c r="F39" s="10"/>
      <x:c r="G39" s="10"/>
      <x:c r="H39" s="10"/>
      <x:c r="I39" s="10"/>
      <x:c r="J39" s="10"/>
    </x:row>
    <x:row r="40" ht="24" customHeight="1">
      <x:c r="A40" s="9" t="n">
        <x:v>39</x:v>
      </x:c>
      <x:c r="B40" s="9" t="inlineStr">
        <x:is>
          <x:t xml:space="preserve">7. Документы и приёмка</x:t>
        </x:is>
      </x:c>
      <x:c r="C40" s="9" t="inlineStr">
        <x:is>
          <x:t xml:space="preserve">Геодезические работы</x:t>
        </x:is>
      </x:c>
      <x:c r="D40" s="10"/>
      <x:c r="E40" s="10"/>
      <x:c r="F40" s="10"/>
      <x:c r="G40" s="10"/>
      <x:c r="H40" s="10"/>
      <x:c r="I40" s="10"/>
      <x:c r="J40" s="10"/>
    </x:row>
    <x:row r="41" ht="24" customHeight="1">
      <x:c r="A41" s="9" t="n">
        <x:v>40</x:v>
      </x:c>
      <x:c r="B41" s="9" t="inlineStr">
        <x:is>
          <x:t xml:space="preserve">7. Документы и приёмка</x:t>
        </x:is>
      </x:c>
      <x:c r="C41" s="9" t="inlineStr">
        <x:is>
          <x:t xml:space="preserve">Лабораторные испытания и заключения</x:t>
        </x:is>
      </x:c>
      <x:c r="D41" s="10"/>
      <x:c r="E41" s="10"/>
      <x:c r="F41" s="10"/>
      <x:c r="G41" s="10"/>
      <x:c r="H41" s="10"/>
      <x:c r="I41" s="10"/>
      <x:c r="J41" s="10"/>
    </x:row>
    <x:row r="42" ht="24" customHeight="1">
      <x:c r="A42" s="9" t="n">
        <x:v>41</x:v>
      </x:c>
      <x:c r="B42" s="9" t="inlineStr">
        <x:is>
          <x:t xml:space="preserve">7. Документы и приёмка</x:t>
        </x:is>
      </x:c>
      <x:c r="C42" s="9" t="inlineStr">
        <x:is>
          <x:t xml:space="preserve">Освидетельствование скрытых работ, повторные вызовы</x:t>
        </x:is>
      </x:c>
      <x:c r="D42" s="10"/>
      <x:c r="E42" s="10"/>
      <x:c r="F42" s="10"/>
      <x:c r="G42" s="10"/>
      <x:c r="H42" s="10"/>
      <x:c r="I42" s="10"/>
      <x:c r="J42" s="10"/>
    </x:row>
    <x:row r="43" ht="24" customHeight="1">
      <x:c r="A43" s="9" t="n">
        <x:v>42</x:v>
      </x:c>
      <x:c r="B43" s="9" t="inlineStr">
        <x:is>
          <x:t xml:space="preserve">7. Документы и приёмка</x:t>
        </x:is>
      </x:c>
      <x:c r="C43" s="9" t="inlineStr">
        <x:is>
          <x:t xml:space="preserve">Копирование, печать, передача комплектов</x:t>
        </x:is>
      </x:c>
      <x:c r="D43" s="10"/>
      <x:c r="E43" s="10"/>
      <x:c r="F43" s="10"/>
      <x:c r="G43" s="10"/>
      <x:c r="H43" s="10"/>
      <x:c r="I43" s="10"/>
      <x:c r="J43" s="10"/>
    </x:row>
    <x:row r="44" ht="24" customHeight="1">
      <x:c r="A44" s="9" t="n">
        <x:v>43</x:v>
      </x:c>
      <x:c r="B44" s="9" t="inlineStr">
        <x:is>
          <x:t xml:space="preserve">7. Документы и приёмка</x:t>
        </x:is>
      </x:c>
      <x:c r="C44" s="9" t="inlineStr">
        <x:is>
          <x:t xml:space="preserve">Участие в комиссиях и приёмке</x:t>
        </x:is>
      </x:c>
      <x:c r="D44" s="10"/>
      <x:c r="E44" s="10"/>
      <x:c r="F44" s="10"/>
      <x:c r="G44" s="10"/>
      <x:c r="H44" s="10"/>
      <x:c r="I44" s="10"/>
      <x:c r="J44" s="10"/>
    </x:row>
    <x:row r="45" ht="24" customHeight="1">
      <x:c r="A45" s="9" t="n">
        <x:v>44</x:v>
      </x:c>
      <x:c r="B45" s="9" t="inlineStr">
        <x:is>
          <x:t xml:space="preserve">8. Деньги и обеспечение</x:t>
        </x:is>
      </x:c>
      <x:c r="C45" s="9" t="inlineStr">
        <x:is>
          <x:t xml:space="preserve">Услуги генподряда</x:t>
        </x:is>
      </x:c>
      <x:c r="D45" s="10"/>
      <x:c r="E45" s="10"/>
      <x:c r="F45" s="10"/>
      <x:c r="G45" s="10"/>
      <x:c r="H45" s="10"/>
      <x:c r="I45" s="10"/>
      <x:c r="J45" s="10"/>
    </x:row>
    <x:row r="46" ht="24" customHeight="1">
      <x:c r="A46" s="9" t="n">
        <x:v>45</x:v>
      </x:c>
      <x:c r="B46" s="9" t="inlineStr">
        <x:is>
          <x:t xml:space="preserve">8. Деньги и обеспечение</x:t>
        </x:is>
      </x:c>
      <x:c r="C46" s="9" t="inlineStr">
        <x:is>
          <x:t xml:space="preserve">Гарантийное удержание</x:t>
        </x:is>
      </x:c>
      <x:c r="D46" s="10"/>
      <x:c r="E46" s="10"/>
      <x:c r="F46" s="10"/>
      <x:c r="G46" s="10"/>
      <x:c r="H46" s="10"/>
      <x:c r="I46" s="10"/>
      <x:c r="J46" s="10"/>
    </x:row>
    <x:row r="47" ht="24" customHeight="1">
      <x:c r="A47" s="9" t="n">
        <x:v>46</x:v>
      </x:c>
      <x:c r="B47" s="9" t="inlineStr">
        <x:is>
          <x:t xml:space="preserve">8. Деньги и обеспечение</x:t>
        </x:is>
      </x:c>
      <x:c r="C47" s="9" t="inlineStr">
        <x:is>
          <x:t xml:space="preserve">Обеспечение исполнения договора</x:t>
        </x:is>
      </x:c>
      <x:c r="D47" s="10"/>
      <x:c r="E47" s="10"/>
      <x:c r="F47" s="10"/>
      <x:c r="G47" s="10"/>
      <x:c r="H47" s="10"/>
      <x:c r="I47" s="10"/>
      <x:c r="J47" s="10"/>
    </x:row>
    <x:row r="48" ht="24" customHeight="1">
      <x:c r="A48" s="9" t="n">
        <x:v>47</x:v>
      </x:c>
      <x:c r="B48" s="9" t="inlineStr">
        <x:is>
          <x:t xml:space="preserve">8. Деньги и обеспечение</x:t>
        </x:is>
      </x:c>
      <x:c r="C48" s="9" t="inlineStr">
        <x:is>
          <x:t xml:space="preserve">Стоимость банковской гарантии</x:t>
        </x:is>
      </x:c>
      <x:c r="D48" s="10"/>
      <x:c r="E48" s="10"/>
      <x:c r="F48" s="10"/>
      <x:c r="G48" s="10"/>
      <x:c r="H48" s="10"/>
      <x:c r="I48" s="10"/>
      <x:c r="J48" s="10"/>
    </x:row>
    <x:row r="49" ht="24" customHeight="1">
      <x:c r="A49" s="9" t="n">
        <x:v>48</x:v>
      </x:c>
      <x:c r="B49" s="9" t="inlineStr">
        <x:is>
          <x:t xml:space="preserve">8. Деньги и обеспечение</x:t>
        </x:is>
      </x:c>
      <x:c r="C49" s="9" t="inlineStr">
        <x:is>
          <x:t xml:space="preserve">Страхование</x:t>
        </x:is>
      </x:c>
      <x:c r="D49" s="10"/>
      <x:c r="E49" s="10"/>
      <x:c r="F49" s="10"/>
      <x:c r="G49" s="10"/>
      <x:c r="H49" s="10"/>
      <x:c r="I49" s="10"/>
      <x:c r="J49" s="10"/>
    </x:row>
    <x:row r="50" ht="24" customHeight="1">
      <x:c r="A50" s="9" t="n">
        <x:v>49</x:v>
      </x:c>
      <x:c r="B50" s="9" t="inlineStr">
        <x:is>
          <x:t xml:space="preserve">8. Деньги и обеспечение</x:t>
        </x:is>
      </x:c>
      <x:c r="C50" s="9" t="inlineStr">
        <x:is>
          <x:t xml:space="preserve">Отсрочка платежа: стоимость денег до оплаты</x:t>
        </x:is>
      </x:c>
      <x:c r="D50" s="10"/>
      <x:c r="E50" s="10"/>
      <x:c r="F50" s="10"/>
      <x:c r="G50" s="10"/>
      <x:c r="H50" s="10"/>
      <x:c r="I50" s="10"/>
      <x:c r="J50" s="10"/>
    </x:row>
    <x:row r="51" ht="24" customHeight="1">
      <x:c r="A51" s="9" t="n">
        <x:v>50</x:v>
      </x:c>
      <x:c r="B51" s="9" t="inlineStr">
        <x:is>
          <x:t xml:space="preserve">9. Непредвиденное</x:t>
        </x:is>
      </x:c>
      <x:c r="C51" s="9" t="inlineStr">
        <x:is>
          <x:t xml:space="preserve">Резерв на непредвиденные работы</x:t>
        </x:is>
      </x:c>
      <x:c r="D51" s="10"/>
      <x:c r="E51" s="10"/>
      <x:c r="F51" s="10"/>
      <x:c r="G51" s="10"/>
      <x:c r="H51" s="10"/>
      <x:c r="I51" s="10"/>
      <x:c r="J51" s="10"/>
    </x:row>
    <x:row r="52" ht="24" customHeight="1">
      <x:c r="A52" s="9" t="n">
        <x:v>51</x:v>
      </x:c>
      <x:c r="B52" s="9" t="inlineStr">
        <x:is>
          <x:t xml:space="preserve">9. Непредвиденное</x:t>
        </x:is>
      </x:c>
      <x:c r="C52" s="9" t="inlineStr">
        <x:is>
          <x:t xml:space="preserve">Работы, выявленные в ходе исполнения</x:t>
        </x:is>
      </x:c>
      <x:c r="D52" s="10"/>
      <x:c r="E52" s="10"/>
      <x:c r="F52" s="10"/>
      <x:c r="G52" s="10"/>
      <x:c r="H52" s="10"/>
      <x:c r="I52" s="10"/>
      <x:c r="J52" s="10"/>
    </x:row>
    <x:row r="53" ht="22" customHeight="1">
      <x:c r="C53" s="19" t="str">
        <x:f>IF(COUNTBLANK(D2:D52)&gt;0,"Заполните покрытие всех 51 строк; неприменимые отметьте явно",IF(COUNTBLANK(I2:I52)&gt;0,"Заполните статус каждой строки",IF(SUMPRODUCT((I2:I52&lt;&gt;"покрыто, проверено")*(I2:I52&lt;&gt;"принято")*(I2:I52&lt;&gt;"не применяется")*(ISNUMBER(H2:H52)=FALSE))&gt;0,"Есть непокрытые затраты без числовой оценки",IF(SUMPRODUCT(((I2:I52="покрыто, проверено")+(I2:I52="принято"))*(G2:G52=""))&gt;0,"Укажите документы покрытия для закрытых позиций","Проверка заполнена; решение о цене принимает руководитель"))))</x:f>
        <x:v>Заполните покрытие всех 51 строк; неприменимые отметьте явно</x:v>
      </x:c>
      <x:c r="D53" s="19"/>
      <x:c r="E53" s="19"/>
      <x:c r="F53" s="19"/>
      <x:c r="G53" s="19"/>
      <x:c r="H53" s="19"/>
      <x:c r="I53" s="19"/>
      <x:c r="J53" s="19"/>
    </x:row>
    <x:row r="54">
      <x:c r="C54" s="14" t="str">
        <x:v>Предварительно не покрыто ценой:</x:v>
      </x:c>
      <x:c r="H54" s="12" t="n">
        <x:f>SUMIFS(H2:H52,I2:I52,"&lt;&gt;покрыто, проверено",I2:I52,"&lt;&gt;принято",I2:I52,"&lt;&gt;не применяется")</x:f>
        <x:v>0</x:v>
      </x:c>
    </x:row>
    <x:row r="55">
      <x:c r="C55" s="15" t="inlineStr">
        <x:is>
          <x:t xml:space="preserve">Плановая прибыль по объекту:</x:t>
        </x:is>
      </x:c>
      <x:c r="H55" s="11"/>
    </x:row>
    <x:row r="56">
      <x:c r="C56" s="15" t="str">
        <x:v>Непокрытая сумма / плановая прибыль:</x:v>
      </x:c>
      <x:c r="H56" s="13" t="str">
        <x:f>IF(OR(H55="",H55&lt;=0),"",H54/H55)</x:f>
      </x:c>
    </x:row>
  </x:sheetData>
  <x:mergeCells>
    <x:mergeCell ref="C53:J53"/>
  </x:mergeCells>
  <x:dataValidations count="5">
    <x:dataValidation type="list" sqref="D2:D52">
      <x:formula1>"да,частично,нет,уточнить,не применяется"</x:formula1>
    </x:dataValidation>
    <x:dataValidation type="list" sqref="F2:F52">
      <x:formula1>"подрядчик,генподрядчик,заказчик,не распределено"</x:formula1>
    </x:dataValidation>
    <x:dataValidation type="list" sqref="I2:I52">
      <x:formula1>'Как заполнять'!$D$2:$D$8</x:formula1>
    </x:dataValidation>
    <x:dataValidation type="decimal" operator="greaterThanOrEqual" sqref="H2:H52">
      <x:formula1>0</x:formula1>
    </x:dataValidation>
    <x:dataValidation type="decimal" operator="greaterThanOrEqual" sqref="H55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96" customWidth="1"/>
  </x:cols>
  <x:sheetData>
    <x:row r="1">
      <x:c r="A1" s="16" t="inlineStr">
        <x:is>
          <x:t xml:space="preserve">Графа</x:t>
        </x:is>
      </x:c>
      <x:c r="B1" s="16" t="inlineStr">
        <x:is>
          <x:t xml:space="preserve">Что вписать</x:t>
        </x:is>
      </x:c>
      <x:c r="D1" t="str">
        <x:v>Статусы реестра</x:v>
      </x:c>
    </x:row>
    <x:row r="2" ht="38" customHeight="1">
      <x:c r="A2" s="17" t="inlineStr">
        <x:is>
          <x:t xml:space="preserve">Учтено в смете</x:t>
        </x:is>
      </x:c>
      <x:c r="B2" s="18" t="str">
        <x:v>Укажите «да», «частично», «нет», «уточнить» или «не применяется». Проверяйте покрытие расценкой, ресурсом и начислениями. Все 51 строки требуют отметки.</x:v>
      </x:c>
      <x:c r="D2" t="str">
        <x:v>проверить</x:v>
      </x:c>
    </x:row>
    <x:row r="3" ht="28" customHeight="1">
      <x:c r="A3" s="17" t="inlineStr">
        <x:is>
          <x:t xml:space="preserve">Позиция сметы №</x:t>
        </x:is>
      </x:c>
      <x:c r="B3" s="18" t="str">
        <x:v>Номер позиции или раздела расчёта, которым расход покрыт полностью либо частично. При отсутствии покрытия оставьте пустым.</x:v>
      </x:c>
      <x:c r="D3" t="str">
        <x:v>в запросе</x:v>
      </x:c>
    </x:row>
    <x:row r="4" ht="38" customHeight="1">
      <x:c r="A4" s="17" t="inlineStr">
        <x:is>
          <x:t xml:space="preserve">Чья зона</x:t>
        </x:is>
      </x:c>
      <x:c r="B4" s="18" t="str">
        <x:v>Укажите подрядчика, генподрядчика, заказчика либо «не распределено»; сошлитесь на договор, проект или письменное решение.</x:v>
      </x:c>
      <x:c r="D4" t="str">
        <x:v>в протоколе разногласий</x:v>
      </x:c>
    </x:row>
    <x:row r="5" ht="38" customHeight="1">
      <x:c r="A5" s="17" t="inlineStr">
        <x:is>
          <x:t xml:space="preserve">Чем подтверждено</x:t>
        </x:is>
      </x:c>
      <x:c r="B5" s="18" t="str">
        <x:v>Реквизиты документа и пункта о распределении расхода или его покрытии. Для «покрыто, проверено» и «принято» документ обязателен.</x:v>
      </x:c>
      <x:c r="D5" t="str">
        <x:v>покрыто, проверено</x:v>
      </x:c>
    </x:row>
    <x:row r="6" ht="38" customHeight="1">
      <x:c r="A6" s="17" t="str">
        <x:v>Непокрытая часть, ₽</x:v>
      </x:c>
      <x:c r="B6" s="18" t="str">
        <x:v>Введите только оценку непокрытой части расхода на весь объём работ. Ноль означает проверенное отсутствие остатка. Пустая клетка — оценка отсутствует.</x:v>
      </x:c>
      <x:c r="D6" t="str">
        <x:v>принято</x:v>
      </x:c>
    </x:row>
    <x:row r="7" ht="58" customHeight="1">
      <x:c r="A7" s="17" t="inlineStr">
        <x:is>
          <x:t xml:space="preserve">Статус</x:t>
        </x:is>
      </x:c>
      <x:c r="B7" s="18" t="str">
        <x:v>«проверить», «в запросе», «в протоколе разногласий», «риск принят» входят в предварительный итог. «покрыто, проверено», «принято», «не применяется» исключаются из него. «Риск принят» означает, что компания согласилась нести непокрытый расход.</x:v>
      </x:c>
      <x:c r="D7" t="str">
        <x:v>не применяется</x:v>
      </x:c>
    </x:row>
    <x:row r="8" ht="48" customHeight="1">
      <x:c r="A8" s="17" t="inlineStr">
        <x:is>
          <x:t xml:space="preserve">ИТОГО и доля прибыли</x:t>
        </x:is>
      </x:c>
      <x:c r="B8" s="18" t="str">
        <x:v>H54 суммирует непокрытую часть с учётом статуса. H55 — плановая прибыль компании по объекту до этих расходов. H56 показывает долю прибыли при положительном H55. Проверяйте сообщение над итогом и незаполненные оценки.</x:v>
      </x:c>
      <x:c r="D8" t="str">
        <x:v>риск принят</x:v>
      </x:c>
    </x:row>
    <x:row r="9" ht="58" customHeight="1">
      <x:c r="A9" s="17" t="inlineStr">
        <x:is>
          <x:t xml:space="preserve">Порядок работы</x:t>
        </x:is>
      </x:c>
      <x:c r="B9" s="18" t="str">
        <x:v>Для новой затраты используйте подходящую строку с расшифровкой в комментарии и без повторного счёта. Формулы охватывают строки 2–52. Строки ниже итогов в расчёт не входят. До подписания подтвердите полноту проверки и согласуйте остаток риска.</x:v>
      </x:c>
    </x:row>
  </x:sheetData>
  <x:pageMargins left="0.7" right="0.7" top="0.75" bottom="0.75" header="0.3" footer="0.3"/>
</x:worksheet>
</file>