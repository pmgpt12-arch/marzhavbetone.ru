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p1-395-numeric-four-20261013-v1\"/>
    </mc:Choice>
  </mc:AlternateContent>
  <bookViews>
    <workbookView xWindow="0" yWindow="0" windowWidth="19710" windowHeight="6810"/>
  </bookViews>
  <sheets>
    <sheet name="Входные данные" sheetId="1" r:id="rId1"/>
    <sheet name="Расчёт" sheetId="2" r:id="rId2"/>
    <sheet name="Итог для документа" sheetId="3" r:id="rId3"/>
    <sheet name="Пример заполнения" sheetId="4" r:id="rId4"/>
  </sheets>
  <definedNames>
    <definedName name="Print_Area" localSheetId="2">'Итог для документа'!$A$1:$B$19</definedName>
  </definedNames>
  <calcPr calcId="162913"/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H45" i="2"/>
  <c r="H43" i="2"/>
  <c r="F43" i="2"/>
  <c r="E43" i="2"/>
  <c r="D43" i="2"/>
  <c r="C43" i="2"/>
  <c r="H42" i="2"/>
  <c r="F42" i="2"/>
  <c r="E42" i="2"/>
  <c r="D42" i="2"/>
  <c r="C42" i="2"/>
  <c r="H41" i="2"/>
  <c r="F41" i="2"/>
  <c r="E41" i="2"/>
  <c r="D41" i="2"/>
  <c r="C41" i="2"/>
  <c r="H40" i="2"/>
  <c r="F40" i="2"/>
  <c r="E40" i="2"/>
  <c r="D40" i="2"/>
  <c r="C40" i="2"/>
  <c r="G40" i="2" s="1"/>
  <c r="H39" i="2"/>
  <c r="F39" i="2"/>
  <c r="E39" i="2"/>
  <c r="D39" i="2"/>
  <c r="C39" i="2"/>
  <c r="H38" i="2"/>
  <c r="F38" i="2"/>
  <c r="E38" i="2"/>
  <c r="D38" i="2"/>
  <c r="C38" i="2"/>
  <c r="H37" i="2"/>
  <c r="F37" i="2"/>
  <c r="E37" i="2"/>
  <c r="D37" i="2"/>
  <c r="C37" i="2"/>
  <c r="H36" i="2"/>
  <c r="F36" i="2"/>
  <c r="E36" i="2"/>
  <c r="D36" i="2"/>
  <c r="C36" i="2"/>
  <c r="G36" i="2" s="1"/>
  <c r="H35" i="2"/>
  <c r="F35" i="2"/>
  <c r="E35" i="2"/>
  <c r="D35" i="2"/>
  <c r="C35" i="2"/>
  <c r="H34" i="2"/>
  <c r="F34" i="2"/>
  <c r="E34" i="2"/>
  <c r="D34" i="2"/>
  <c r="C34" i="2"/>
  <c r="H33" i="2"/>
  <c r="F33" i="2"/>
  <c r="E33" i="2"/>
  <c r="D33" i="2"/>
  <c r="C33" i="2"/>
  <c r="H32" i="2"/>
  <c r="F32" i="2"/>
  <c r="E32" i="2"/>
  <c r="D32" i="2"/>
  <c r="C32" i="2"/>
  <c r="G32" i="2" s="1"/>
  <c r="H31" i="2"/>
  <c r="F31" i="2"/>
  <c r="E31" i="2"/>
  <c r="D31" i="2"/>
  <c r="C31" i="2"/>
  <c r="H30" i="2"/>
  <c r="F30" i="2"/>
  <c r="E30" i="2"/>
  <c r="D30" i="2"/>
  <c r="C30" i="2"/>
  <c r="H29" i="2"/>
  <c r="F29" i="2"/>
  <c r="E29" i="2"/>
  <c r="D29" i="2"/>
  <c r="C29" i="2"/>
  <c r="H28" i="2"/>
  <c r="F28" i="2"/>
  <c r="E28" i="2"/>
  <c r="D28" i="2"/>
  <c r="C28" i="2"/>
  <c r="G28" i="2" s="1"/>
  <c r="H27" i="2"/>
  <c r="F27" i="2"/>
  <c r="E27" i="2"/>
  <c r="D27" i="2"/>
  <c r="C27" i="2"/>
  <c r="H26" i="2"/>
  <c r="F26" i="2"/>
  <c r="E26" i="2"/>
  <c r="D26" i="2"/>
  <c r="C26" i="2"/>
  <c r="H25" i="2"/>
  <c r="F25" i="2"/>
  <c r="E25" i="2"/>
  <c r="D25" i="2"/>
  <c r="C25" i="2"/>
  <c r="H24" i="2"/>
  <c r="F24" i="2"/>
  <c r="E24" i="2"/>
  <c r="D24" i="2"/>
  <c r="C24" i="2"/>
  <c r="G24" i="2" s="1"/>
  <c r="H23" i="2"/>
  <c r="F23" i="2"/>
  <c r="E23" i="2"/>
  <c r="D23" i="2"/>
  <c r="C23" i="2"/>
  <c r="H22" i="2"/>
  <c r="F22" i="2"/>
  <c r="E22" i="2"/>
  <c r="D22" i="2"/>
  <c r="C22" i="2"/>
  <c r="H21" i="2"/>
  <c r="F21" i="2"/>
  <c r="E21" i="2"/>
  <c r="D21" i="2"/>
  <c r="C21" i="2"/>
  <c r="H20" i="2"/>
  <c r="F20" i="2"/>
  <c r="E20" i="2"/>
  <c r="D20" i="2"/>
  <c r="C20" i="2"/>
  <c r="G20" i="2" s="1"/>
  <c r="H19" i="2"/>
  <c r="F19" i="2"/>
  <c r="E19" i="2"/>
  <c r="D19" i="2"/>
  <c r="C19" i="2"/>
  <c r="H18" i="2"/>
  <c r="F18" i="2"/>
  <c r="E18" i="2"/>
  <c r="D18" i="2"/>
  <c r="C18" i="2"/>
  <c r="H17" i="2"/>
  <c r="F17" i="2"/>
  <c r="E17" i="2"/>
  <c r="D17" i="2"/>
  <c r="C17" i="2"/>
  <c r="H16" i="2"/>
  <c r="F16" i="2"/>
  <c r="E16" i="2"/>
  <c r="D16" i="2"/>
  <c r="C16" i="2"/>
  <c r="G16" i="2" s="1"/>
  <c r="H15" i="2"/>
  <c r="F15" i="2"/>
  <c r="E15" i="2"/>
  <c r="D15" i="2"/>
  <c r="C15" i="2"/>
  <c r="H14" i="2"/>
  <c r="F14" i="2"/>
  <c r="E14" i="2"/>
  <c r="D14" i="2"/>
  <c r="C14" i="2"/>
  <c r="H13" i="2"/>
  <c r="F13" i="2"/>
  <c r="E13" i="2"/>
  <c r="D13" i="2"/>
  <c r="C13" i="2"/>
  <c r="H12" i="2"/>
  <c r="F12" i="2"/>
  <c r="E12" i="2"/>
  <c r="D12" i="2"/>
  <c r="C12" i="2"/>
  <c r="G12" i="2" s="1"/>
  <c r="H11" i="2"/>
  <c r="F11" i="2"/>
  <c r="E11" i="2"/>
  <c r="D11" i="2"/>
  <c r="C11" i="2"/>
  <c r="H10" i="2"/>
  <c r="F10" i="2"/>
  <c r="E10" i="2"/>
  <c r="D10" i="2"/>
  <c r="C10" i="2"/>
  <c r="H9" i="2"/>
  <c r="F9" i="2"/>
  <c r="E9" i="2"/>
  <c r="D9" i="2"/>
  <c r="C9" i="2"/>
  <c r="H8" i="2"/>
  <c r="F8" i="2"/>
  <c r="E8" i="2"/>
  <c r="D8" i="2"/>
  <c r="C8" i="2"/>
  <c r="G8" i="2" s="1"/>
  <c r="H7" i="2"/>
  <c r="F7" i="2"/>
  <c r="E7" i="2"/>
  <c r="D7" i="2"/>
  <c r="C7" i="2"/>
  <c r="H6" i="2"/>
  <c r="F6" i="2"/>
  <c r="E6" i="2"/>
  <c r="D6" i="2"/>
  <c r="C6" i="2"/>
  <c r="H5" i="2"/>
  <c r="F5" i="2"/>
  <c r="E5" i="2"/>
  <c r="D5" i="2"/>
  <c r="C5" i="2"/>
  <c r="H4" i="2"/>
  <c r="F4" i="2"/>
  <c r="E4" i="2"/>
  <c r="D4" i="2"/>
  <c r="C4" i="2"/>
  <c r="G4" i="2" s="1"/>
  <c r="G5" i="2" l="1"/>
  <c r="G9" i="2"/>
  <c r="G13" i="2"/>
  <c r="G17" i="2"/>
  <c r="G21" i="2"/>
  <c r="G25" i="2"/>
  <c r="G29" i="2"/>
  <c r="G33" i="2"/>
  <c r="G37" i="2"/>
  <c r="G41" i="2"/>
  <c r="G7" i="2"/>
  <c r="G11" i="2"/>
  <c r="G15" i="2"/>
  <c r="G19" i="2"/>
  <c r="G23" i="2"/>
  <c r="G27" i="2"/>
  <c r="G31" i="2"/>
  <c r="G35" i="2"/>
  <c r="G39" i="2"/>
  <c r="G43" i="2"/>
  <c r="G6" i="2"/>
  <c r="G10" i="2"/>
  <c r="G14" i="2"/>
  <c r="G18" i="2"/>
  <c r="G22" i="2"/>
  <c r="G26" i="2"/>
  <c r="G30" i="2"/>
  <c r="G34" i="2"/>
  <c r="G38" i="2"/>
  <c r="G42" i="2"/>
  <c r="G45" i="2" l="1"/>
  <c r="G46" i="2"/>
  <c r="B11" i="3" s="1"/>
  <c r="B10" i="3"/>
</calcChain>
</file>

<file path=xl/comments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r>
          <rPr>
            <sz val="11"/>
            <color theme="1"/>
            <rFont val="Calibri"/>
            <family val="2"/>
            <scheme val="minor"/>
          </rPr>
          <t>Даты вносите по возрастанию: формула ищет ближайшую ставку сверху вниз и на неотсортированном списке даст неверный результат.</t>
        </r>
      </text>
    </comment>
  </commentList>
</comments>
</file>

<file path=xl/sharedStrings.xml><?xml version="1.0" encoding="utf-8"?>
<sst xmlns="http://schemas.openxmlformats.org/spreadsheetml/2006/main" count="91" uniqueCount="64">
  <si>
    <t>Расчёт процентов по ст. 395 ГК РФ</t>
  </si>
  <si>
    <t>Заполните ячейки со светло-золотистой заливкой. Остальные ячейки содержат подписи и формулы.</t>
  </si>
  <si>
    <t>Сумма долга, руб.</t>
  </si>
  <si>
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</si>
  <si>
    <t>Дата начала просрочки</t>
  </si>
  <si>
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</si>
  <si>
    <t>Дата окончания расчёта</t>
  </si>
  <si>
    <t>Дата претензии или иска. Для требования «по день фактической уплаты» — дата составления документа.</t>
  </si>
  <si>
    <t>Ключевая ставка Банка России</t>
  </si>
  <si>
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</si>
  <si>
    <t>Действует с</t>
  </si>
  <si>
    <t>Ставка, % годовых</t>
  </si>
  <si>
    <t>Частичные оплаты</t>
  </si>
  <si>
    <t>Дата</t>
  </si>
  <si>
    <t>Сумма, руб.</t>
  </si>
  <si>
    <t>Предупреждение о частичных оплатах</t>
  </si>
  <si>
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</si>
  <si>
    <t>Одна строка — один период, в котором неизменны и ставка, и база долга</t>
  </si>
  <si>
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</si>
  <si>
    <t>Начало периода</t>
  </si>
  <si>
    <t>Конец периода</t>
  </si>
  <si>
    <t>Дней в периоде</t>
  </si>
  <si>
    <t>База долга, руб.</t>
  </si>
  <si>
    <t>Дней в году</t>
  </si>
  <si>
    <t>Проценты за период, руб.</t>
  </si>
  <si>
    <t>Проверка</t>
  </si>
  <si>
    <t>Проценты по ст. 395 ГК РФ, всего:</t>
  </si>
  <si>
    <t>Долг плюс проценты:</t>
  </si>
  <si>
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</si>
  <si>
    <t>Проверьте себя перед отправкой</t>
  </si>
  <si>
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</si>
  <si>
    <t>Готовый блок для претензии или иска</t>
  </si>
  <si>
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</si>
  <si>
    <t>Сумма долга на начало расчёта, руб.</t>
  </si>
  <si>
    <t>Учтено частичных оплат, руб.</t>
  </si>
  <si>
    <t>Основной долг к взысканию, руб.</t>
  </si>
  <si>
    <t>Период начисления с</t>
  </si>
  <si>
    <t>Период начисления по</t>
  </si>
  <si>
    <t>Всего дней просрочки</t>
  </si>
  <si>
    <t>Проценты по ст. 395 ГК РФ, руб.</t>
  </si>
  <si>
    <t>Итого к взысканию, руб.</t>
  </si>
  <si>
    <t>Фраза для документа</t>
  </si>
  <si>
    <t>Проценты подлежат начислению по день фактической уплаты долга (п. 3 ст. 395 ГК РФ).</t>
  </si>
  <si>
    <t>Условия применения расчёта</t>
  </si>
  <si>
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</si>
  <si>
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</si>
  <si>
    <t>— Подготовьте расчёт и подтверждающие документы: договор, акты, сведения об оплате, период просрочки и применённые ставки.</t>
  </si>
  <si>
    <t>— Сверьте применимые условия договора, фактические обстоятельства и нормативные основания начисления процентов.</t>
  </si>
  <si>
    <t>Пример: как выглядят заполненные поля</t>
  </si>
  <si>
    <t>Здесь показан формат ввода, а не ваш расчёт. Цифры вымышленные, ставки — условные: реальные берите на cbr.ru. Ничего отсюда не переносите в документ.</t>
  </si>
  <si>
    <t>Входные данные</t>
  </si>
  <si>
    <t>1 250 000,00</t>
  </si>
  <si>
    <t>15.03.2026</t>
  </si>
  <si>
    <t>30.07.2026</t>
  </si>
  <si>
    <t>Таблица ставок</t>
  </si>
  <si>
    <t>условная 1</t>
  </si>
  <si>
    <t>28.04.2026</t>
  </si>
  <si>
    <t>условная 2</t>
  </si>
  <si>
    <t>Строки листа «Расчёт»</t>
  </si>
  <si>
    <t>27.04.2026</t>
  </si>
  <si>
    <t>считается</t>
  </si>
  <si>
    <t>подставится</t>
  </si>
  <si>
    <t>пусто, если всё верно</t>
  </si>
  <si>
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</si>
</sst>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dd\.mm\.yyyy;;"/>
  </numFmts>
  <fonts count="8" x14ac:knownFonts="1">
    <font>
      <sz val="11"/>
      <color theme="1"/>
      <name val="Calibri"/>
      <family val="2"/>
      <scheme val="minor"/>
    </font>
    <font>
      <b/>
      <sz val="14"/>
      <color rgb="FF343638"/>
      <name val="Times New Roman"/>
    </font>
    <font>
      <i/>
      <sz val="10"/>
      <color rgb="FF595959"/>
      <name val="Times New Roman"/>
    </font>
    <font>
      <b/>
      <sz val="11"/>
      <color rgb="FF343638"/>
      <name val="Times New Roman"/>
    </font>
    <font>
      <sz val="11"/>
      <color rgb="FF343638"/>
      <name val="Times New Roman"/>
    </font>
    <font>
      <sz val="10"/>
      <color rgb="FFC00000"/>
      <name val="Times New Roman"/>
    </font>
    <font>
      <b/>
      <sz val="10"/>
      <color rgb="FFC00000"/>
      <name val="Times New Roman"/>
    </font>
    <font>
      <i/>
      <sz val="10"/>
      <color rgb="FFC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3EEDF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4" fontId="4" fillId="2" borderId="1" xfId="0" applyNumberFormat="1" applyFont="1" applyFill="1" applyBorder="1"/>
    <xf numFmtId="0" fontId="2" fillId="0" borderId="0" xfId="0" applyFont="1" applyAlignment="1">
      <alignment vertical="top" wrapText="1"/>
    </xf>
    <xf numFmtId="164" fontId="4" fillId="2" borderId="1" xfId="0" applyNumberFormat="1" applyFont="1" applyFill="1" applyBorder="1"/>
    <xf numFmtId="0" fontId="3" fillId="3" borderId="1" xfId="0" applyFont="1" applyFill="1" applyBorder="1"/>
    <xf numFmtId="2" fontId="4" fillId="2" borderId="1" xfId="0" applyNumberFormat="1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/>
    <xf numFmtId="4" fontId="4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/>
    <xf numFmtId="0" fontId="3" fillId="0" borderId="0" xfId="0" applyFont="1" applyAlignment="1">
      <alignment horizontal="right"/>
    </xf>
    <xf numFmtId="4" fontId="3" fillId="0" borderId="1" xfId="0" applyNumberFormat="1" applyFont="1" applyBorder="1"/>
    <xf numFmtId="0" fontId="6" fillId="0" borderId="1" xfId="0" applyFont="1" applyBorder="1"/>
    <xf numFmtId="0" fontId="3" fillId="0" borderId="1" xfId="0" applyFont="1" applyBorder="1"/>
    <xf numFmtId="165" fontId="4" fillId="0" borderId="1" xfId="0" applyNumberFormat="1" applyFont="1" applyBorder="1"/>
    <xf numFmtId="1" fontId="4" fillId="0" borderId="1" xfId="0" applyNumberFormat="1" applyFont="1" applyBorder="1"/>
    <xf numFmtId="0" fontId="4" fillId="0" borderId="0" xfId="0" applyFont="1"/>
    <xf numFmtId="0" fontId="3" fillId="3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showGridLines="0" tabSelected="1" workbookViewId="0"/>
  </sheetViews>
  <sheetFormatPr defaultRowHeight="15" x14ac:dyDescent="0.25"/>
  <cols>
    <col min="1" max="1" width="42" customWidth="1"/>
    <col min="2" max="2" width="24" customWidth="1"/>
    <col min="3" max="3" width="70" customWidth="1"/>
  </cols>
  <sheetData>
    <row r="1" spans="1:3" ht="18.75" x14ac:dyDescent="0.3">
      <c r="A1" s="1" t="s">
        <v>0</v>
      </c>
    </row>
    <row r="2" spans="1:3" ht="62.1" customHeight="1" x14ac:dyDescent="0.25">
      <c r="A2" s="2" t="s">
        <v>1</v>
      </c>
    </row>
    <row r="4" spans="1:3" ht="45.95" customHeight="1" x14ac:dyDescent="0.25">
      <c r="A4" s="3" t="s">
        <v>2</v>
      </c>
      <c r="B4" s="4">
        <v>1000000</v>
      </c>
      <c r="C4" s="5" t="s">
        <v>3</v>
      </c>
    </row>
    <row r="5" spans="1:3" ht="51" x14ac:dyDescent="0.25">
      <c r="A5" s="3" t="s">
        <v>4</v>
      </c>
      <c r="B5" s="6">
        <v>45658</v>
      </c>
      <c r="C5" s="5" t="s">
        <v>5</v>
      </c>
    </row>
    <row r="6" spans="1:3" ht="25.5" x14ac:dyDescent="0.25">
      <c r="A6" s="3" t="s">
        <v>6</v>
      </c>
      <c r="B6" s="6">
        <v>45667</v>
      </c>
      <c r="C6" s="5" t="s">
        <v>7</v>
      </c>
    </row>
    <row r="8" spans="1:3" x14ac:dyDescent="0.25">
      <c r="A8" s="3" t="s">
        <v>8</v>
      </c>
    </row>
    <row r="9" spans="1:3" ht="72" customHeight="1" x14ac:dyDescent="0.25">
      <c r="A9" s="24" t="s">
        <v>9</v>
      </c>
      <c r="B9" s="25"/>
      <c r="C9" s="25"/>
    </row>
    <row r="11" spans="1:3" x14ac:dyDescent="0.25">
      <c r="A11" s="7" t="s">
        <v>10</v>
      </c>
      <c r="B11" s="7" t="s">
        <v>11</v>
      </c>
    </row>
    <row r="12" spans="1:3" x14ac:dyDescent="0.25">
      <c r="A12" s="6">
        <v>45658</v>
      </c>
      <c r="B12" s="8">
        <v>10</v>
      </c>
    </row>
    <row r="13" spans="1:3" x14ac:dyDescent="0.25">
      <c r="A13" s="6"/>
      <c r="B13" s="8"/>
    </row>
    <row r="14" spans="1:3" x14ac:dyDescent="0.25">
      <c r="A14" s="6"/>
      <c r="B14" s="8"/>
    </row>
    <row r="15" spans="1:3" x14ac:dyDescent="0.25">
      <c r="A15" s="6"/>
      <c r="B15" s="8"/>
    </row>
    <row r="16" spans="1:3" x14ac:dyDescent="0.25">
      <c r="A16" s="6"/>
      <c r="B16" s="8"/>
    </row>
    <row r="17" spans="1:2" x14ac:dyDescent="0.25">
      <c r="A17" s="6"/>
      <c r="B17" s="8"/>
    </row>
    <row r="18" spans="1:2" x14ac:dyDescent="0.25">
      <c r="A18" s="6"/>
      <c r="B18" s="8"/>
    </row>
    <row r="19" spans="1:2" x14ac:dyDescent="0.25">
      <c r="A19" s="6"/>
      <c r="B19" s="8"/>
    </row>
    <row r="20" spans="1:2" x14ac:dyDescent="0.25">
      <c r="A20" s="6"/>
      <c r="B20" s="8"/>
    </row>
    <row r="21" spans="1:2" x14ac:dyDescent="0.25">
      <c r="A21" s="6"/>
      <c r="B21" s="8"/>
    </row>
    <row r="22" spans="1:2" x14ac:dyDescent="0.25">
      <c r="A22" s="6"/>
      <c r="B22" s="8"/>
    </row>
    <row r="23" spans="1:2" x14ac:dyDescent="0.25">
      <c r="A23" s="6"/>
      <c r="B23" s="8"/>
    </row>
    <row r="24" spans="1:2" x14ac:dyDescent="0.25">
      <c r="A24" s="6"/>
      <c r="B24" s="8"/>
    </row>
    <row r="25" spans="1:2" x14ac:dyDescent="0.25">
      <c r="A25" s="6"/>
      <c r="B25" s="8"/>
    </row>
    <row r="26" spans="1:2" x14ac:dyDescent="0.25">
      <c r="A26" s="6"/>
      <c r="B26" s="8"/>
    </row>
    <row r="27" spans="1:2" x14ac:dyDescent="0.25">
      <c r="A27" s="6"/>
      <c r="B27" s="8"/>
    </row>
    <row r="28" spans="1:2" x14ac:dyDescent="0.25">
      <c r="A28" s="6"/>
      <c r="B28" s="8"/>
    </row>
    <row r="29" spans="1:2" x14ac:dyDescent="0.25">
      <c r="A29" s="6"/>
      <c r="B29" s="8"/>
    </row>
    <row r="30" spans="1:2" x14ac:dyDescent="0.25">
      <c r="A30" s="6"/>
      <c r="B30" s="8"/>
    </row>
    <row r="31" spans="1:2" x14ac:dyDescent="0.25">
      <c r="A31" s="6"/>
      <c r="B31" s="8"/>
    </row>
    <row r="33" spans="1:3" x14ac:dyDescent="0.25">
      <c r="A33" s="3" t="s">
        <v>12</v>
      </c>
    </row>
    <row r="34" spans="1:3" x14ac:dyDescent="0.25">
      <c r="A34" s="7" t="s">
        <v>13</v>
      </c>
      <c r="B34" s="7" t="s">
        <v>14</v>
      </c>
    </row>
    <row r="35" spans="1:3" x14ac:dyDescent="0.25">
      <c r="A35" s="6"/>
      <c r="B35" s="4"/>
    </row>
    <row r="36" spans="1:3" x14ac:dyDescent="0.25">
      <c r="A36" s="6"/>
      <c r="B36" s="4"/>
    </row>
    <row r="37" spans="1:3" x14ac:dyDescent="0.25">
      <c r="A37" s="6"/>
      <c r="B37" s="4"/>
    </row>
    <row r="38" spans="1:3" x14ac:dyDescent="0.25">
      <c r="A38" s="6"/>
      <c r="B38" s="4"/>
    </row>
    <row r="39" spans="1:3" x14ac:dyDescent="0.25">
      <c r="A39" s="6"/>
      <c r="B39" s="4"/>
    </row>
    <row r="40" spans="1:3" x14ac:dyDescent="0.25">
      <c r="A40" s="6"/>
      <c r="B40" s="4"/>
    </row>
    <row r="41" spans="1:3" x14ac:dyDescent="0.25">
      <c r="A41" s="6"/>
      <c r="B41" s="4"/>
    </row>
    <row r="42" spans="1:3" x14ac:dyDescent="0.25">
      <c r="A42" s="6"/>
      <c r="B42" s="4"/>
    </row>
    <row r="43" spans="1:3" x14ac:dyDescent="0.25">
      <c r="A43" s="6"/>
      <c r="B43" s="4"/>
    </row>
    <row r="44" spans="1:3" x14ac:dyDescent="0.25">
      <c r="A44" s="6"/>
      <c r="B44" s="4"/>
    </row>
    <row r="46" spans="1:3" x14ac:dyDescent="0.25">
      <c r="A46" s="3" t="s">
        <v>15</v>
      </c>
    </row>
    <row r="47" spans="1:3" ht="98.1" customHeight="1" x14ac:dyDescent="0.25">
      <c r="A47" s="24" t="s">
        <v>16</v>
      </c>
      <c r="B47" s="25"/>
      <c r="C47" s="25"/>
    </row>
  </sheetData>
  <mergeCells count="2">
    <mergeCell ref="A9:C9"/>
    <mergeCell ref="A47:C47"/>
  </mergeCells>
  <pageMargins left="0.7" right="0.7" top="0.75" bottom="0.75" header="0.3" footer="0.3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/>
  </sheetViews>
  <sheetFormatPr defaultRowHeight="15" x14ac:dyDescent="0.25"/>
  <cols>
    <col min="1" max="2" width="18" customWidth="1"/>
    <col min="3" max="3" width="15" customWidth="1"/>
    <col min="4" max="5" width="18" customWidth="1"/>
    <col min="6" max="6" width="14" customWidth="1"/>
    <col min="7" max="7" width="22" customWidth="1"/>
    <col min="8" max="8" width="46" customWidth="1"/>
  </cols>
  <sheetData>
    <row r="1" spans="1:8" ht="18.75" x14ac:dyDescent="0.3">
      <c r="A1" s="1" t="s">
        <v>17</v>
      </c>
    </row>
    <row r="2" spans="1:8" x14ac:dyDescent="0.25">
      <c r="A2" s="9" t="s">
        <v>18</v>
      </c>
    </row>
    <row r="3" spans="1:8" ht="28.5" x14ac:dyDescent="0.25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11</v>
      </c>
      <c r="F3" s="10" t="s">
        <v>23</v>
      </c>
      <c r="G3" s="10" t="s">
        <v>24</v>
      </c>
      <c r="H3" s="10" t="s">
        <v>25</v>
      </c>
    </row>
    <row r="4" spans="1:8" x14ac:dyDescent="0.25">
      <c r="A4" s="6">
        <v>45658</v>
      </c>
      <c r="B4" s="6">
        <v>45667</v>
      </c>
      <c r="C4" s="11">
        <f t="shared" ref="C4:C43" si="0">IF(OR($A4="",$B4=""),"",$B4-$A4+1)</f>
        <v>10</v>
      </c>
      <c r="D4" s="12">
        <f>IF($A4="","",'Входные данные'!$B$4-SUMIF('Входные данные'!$A$35:$A$44,"&lt;"&amp;$A4,'Входные данные'!$B$35:$B$44))</f>
        <v>1000000</v>
      </c>
      <c r="E4" s="13">
        <f>IF($A4="","",IFERROR(INDEX('Входные данные'!$B$12:$B$31,MATCH($A4,'Входные данные'!$A$12:$A$31,1)),""))</f>
        <v>10</v>
      </c>
      <c r="F4" s="11">
        <f t="shared" ref="F4:F43" si="1">IF($A4="","",IF(DAY(DATE(YEAR($A4),2,29))=29,366,365))</f>
        <v>365</v>
      </c>
      <c r="G4" s="12">
        <f t="shared" ref="G4:G43" si="2">IF(OR($A4="",$E4="",$C4=""),"",ROUND($D4*$E4/100*$C4/$F4,2))</f>
        <v>2739.73</v>
      </c>
      <c r="H4" s="14" t="str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 spans="1:8" x14ac:dyDescent="0.25">
      <c r="A5" s="6"/>
      <c r="B5" s="6"/>
      <c r="C5" s="11" t="str">
        <f t="shared" si="0"/>
        <v/>
      </c>
      <c r="D5" s="12" t="str">
        <f>IF($A5="","",'Входные данные'!$B$4-SUMIF('Входные данные'!$A$35:$A$44,"&lt;"&amp;$A5,'Входные данные'!$B$35:$B$44))</f>
        <v/>
      </c>
      <c r="E5" s="13" t="str">
        <f>IF($A5="","",IFERROR(INDEX('Входные данные'!$B$12:$B$31,MATCH($A5,'Входные данные'!$A$12:$A$31,1)),""))</f>
        <v/>
      </c>
      <c r="F5" s="11" t="str">
        <f t="shared" si="1"/>
        <v/>
      </c>
      <c r="G5" s="12" t="str">
        <f t="shared" si="2"/>
        <v/>
      </c>
      <c r="H5" s="14" t="str">
        <f t="shared" ref="H5:H43" si="3"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 spans="1:8" x14ac:dyDescent="0.25">
      <c r="A6" s="6"/>
      <c r="B6" s="6"/>
      <c r="C6" s="11" t="str">
        <f t="shared" si="0"/>
        <v/>
      </c>
      <c r="D6" s="12" t="str">
        <f>IF($A6="","",'Входные данные'!$B$4-SUMIF('Входные данные'!$A$35:$A$44,"&lt;"&amp;$A6,'Входные данные'!$B$35:$B$44))</f>
        <v/>
      </c>
      <c r="E6" s="13" t="str">
        <f>IF($A6="","",IFERROR(INDEX('Входные данные'!$B$12:$B$31,MATCH($A6,'Входные данные'!$A$12:$A$31,1)),""))</f>
        <v/>
      </c>
      <c r="F6" s="11" t="str">
        <f t="shared" si="1"/>
        <v/>
      </c>
      <c r="G6" s="12" t="str">
        <f t="shared" si="2"/>
        <v/>
      </c>
      <c r="H6" s="14" t="str">
        <f t="shared" si="3"/>
        <v/>
      </c>
    </row>
    <row r="7" spans="1:8" x14ac:dyDescent="0.25">
      <c r="A7" s="6"/>
      <c r="B7" s="6"/>
      <c r="C7" s="11" t="str">
        <f t="shared" si="0"/>
        <v/>
      </c>
      <c r="D7" s="12" t="str">
        <f>IF($A7="","",'Входные данные'!$B$4-SUMIF('Входные данные'!$A$35:$A$44,"&lt;"&amp;$A7,'Входные данные'!$B$35:$B$44))</f>
        <v/>
      </c>
      <c r="E7" s="13" t="str">
        <f>IF($A7="","",IFERROR(INDEX('Входные данные'!$B$12:$B$31,MATCH($A7,'Входные данные'!$A$12:$A$31,1)),""))</f>
        <v/>
      </c>
      <c r="F7" s="11" t="str">
        <f t="shared" si="1"/>
        <v/>
      </c>
      <c r="G7" s="12" t="str">
        <f t="shared" si="2"/>
        <v/>
      </c>
      <c r="H7" s="14" t="str">
        <f t="shared" si="3"/>
        <v/>
      </c>
    </row>
    <row r="8" spans="1:8" x14ac:dyDescent="0.25">
      <c r="A8" s="6"/>
      <c r="B8" s="6"/>
      <c r="C8" s="11" t="str">
        <f t="shared" si="0"/>
        <v/>
      </c>
      <c r="D8" s="12" t="str">
        <f>IF($A8="","",'Входные данные'!$B$4-SUMIF('Входные данные'!$A$35:$A$44,"&lt;"&amp;$A8,'Входные данные'!$B$35:$B$44))</f>
        <v/>
      </c>
      <c r="E8" s="13" t="str">
        <f>IF($A8="","",IFERROR(INDEX('Входные данные'!$B$12:$B$31,MATCH($A8,'Входные данные'!$A$12:$A$31,1)),""))</f>
        <v/>
      </c>
      <c r="F8" s="11" t="str">
        <f t="shared" si="1"/>
        <v/>
      </c>
      <c r="G8" s="12" t="str">
        <f t="shared" si="2"/>
        <v/>
      </c>
      <c r="H8" s="14" t="str">
        <f t="shared" si="3"/>
        <v/>
      </c>
    </row>
    <row r="9" spans="1:8" x14ac:dyDescent="0.25">
      <c r="A9" s="6"/>
      <c r="B9" s="6"/>
      <c r="C9" s="11" t="str">
        <f t="shared" si="0"/>
        <v/>
      </c>
      <c r="D9" s="12" t="str">
        <f>IF($A9="","",'Входные данные'!$B$4-SUMIF('Входные данные'!$A$35:$A$44,"&lt;"&amp;$A9,'Входные данные'!$B$35:$B$44))</f>
        <v/>
      </c>
      <c r="E9" s="13" t="str">
        <f>IF($A9="","",IFERROR(INDEX('Входные данные'!$B$12:$B$31,MATCH($A9,'Входные данные'!$A$12:$A$31,1)),""))</f>
        <v/>
      </c>
      <c r="F9" s="11" t="str">
        <f t="shared" si="1"/>
        <v/>
      </c>
      <c r="G9" s="12" t="str">
        <f t="shared" si="2"/>
        <v/>
      </c>
      <c r="H9" s="14" t="str">
        <f t="shared" si="3"/>
        <v/>
      </c>
    </row>
    <row r="10" spans="1:8" x14ac:dyDescent="0.25">
      <c r="A10" s="6"/>
      <c r="B10" s="6"/>
      <c r="C10" s="11" t="str">
        <f t="shared" si="0"/>
        <v/>
      </c>
      <c r="D10" s="12" t="str">
        <f>IF($A10="","",'Входные данные'!$B$4-SUMIF('Входные данные'!$A$35:$A$44,"&lt;"&amp;$A10,'Входные данные'!$B$35:$B$44))</f>
        <v/>
      </c>
      <c r="E10" s="13" t="str">
        <f>IF($A10="","",IFERROR(INDEX('Входные данные'!$B$12:$B$31,MATCH($A10,'Входные данные'!$A$12:$A$31,1)),""))</f>
        <v/>
      </c>
      <c r="F10" s="11" t="str">
        <f t="shared" si="1"/>
        <v/>
      </c>
      <c r="G10" s="12" t="str">
        <f t="shared" si="2"/>
        <v/>
      </c>
      <c r="H10" s="14" t="str">
        <f t="shared" si="3"/>
        <v/>
      </c>
    </row>
    <row r="11" spans="1:8" x14ac:dyDescent="0.25">
      <c r="A11" s="6"/>
      <c r="B11" s="6"/>
      <c r="C11" s="11" t="str">
        <f t="shared" si="0"/>
        <v/>
      </c>
      <c r="D11" s="12" t="str">
        <f>IF($A11="","",'Входные данные'!$B$4-SUMIF('Входные данные'!$A$35:$A$44,"&lt;"&amp;$A11,'Входные данные'!$B$35:$B$44))</f>
        <v/>
      </c>
      <c r="E11" s="13" t="str">
        <f>IF($A11="","",IFERROR(INDEX('Входные данные'!$B$12:$B$31,MATCH($A11,'Входные данные'!$A$12:$A$31,1)),""))</f>
        <v/>
      </c>
      <c r="F11" s="11" t="str">
        <f t="shared" si="1"/>
        <v/>
      </c>
      <c r="G11" s="12" t="str">
        <f t="shared" si="2"/>
        <v/>
      </c>
      <c r="H11" s="14" t="str">
        <f t="shared" si="3"/>
        <v/>
      </c>
    </row>
    <row r="12" spans="1:8" x14ac:dyDescent="0.25">
      <c r="A12" s="6"/>
      <c r="B12" s="6"/>
      <c r="C12" s="11" t="str">
        <f t="shared" si="0"/>
        <v/>
      </c>
      <c r="D12" s="12" t="str">
        <f>IF($A12="","",'Входные данные'!$B$4-SUMIF('Входные данные'!$A$35:$A$44,"&lt;"&amp;$A12,'Входные данные'!$B$35:$B$44))</f>
        <v/>
      </c>
      <c r="E12" s="13" t="str">
        <f>IF($A12="","",IFERROR(INDEX('Входные данные'!$B$12:$B$31,MATCH($A12,'Входные данные'!$A$12:$A$31,1)),""))</f>
        <v/>
      </c>
      <c r="F12" s="11" t="str">
        <f t="shared" si="1"/>
        <v/>
      </c>
      <c r="G12" s="12" t="str">
        <f t="shared" si="2"/>
        <v/>
      </c>
      <c r="H12" s="14" t="str">
        <f t="shared" si="3"/>
        <v/>
      </c>
    </row>
    <row r="13" spans="1:8" x14ac:dyDescent="0.25">
      <c r="A13" s="6"/>
      <c r="B13" s="6"/>
      <c r="C13" s="11" t="str">
        <f t="shared" si="0"/>
        <v/>
      </c>
      <c r="D13" s="12" t="str">
        <f>IF($A13="","",'Входные данные'!$B$4-SUMIF('Входные данные'!$A$35:$A$44,"&lt;"&amp;$A13,'Входные данные'!$B$35:$B$44))</f>
        <v/>
      </c>
      <c r="E13" s="13" t="str">
        <f>IF($A13="","",IFERROR(INDEX('Входные данные'!$B$12:$B$31,MATCH($A13,'Входные данные'!$A$12:$A$31,1)),""))</f>
        <v/>
      </c>
      <c r="F13" s="11" t="str">
        <f t="shared" si="1"/>
        <v/>
      </c>
      <c r="G13" s="12" t="str">
        <f t="shared" si="2"/>
        <v/>
      </c>
      <c r="H13" s="14" t="str">
        <f t="shared" si="3"/>
        <v/>
      </c>
    </row>
    <row r="14" spans="1:8" x14ac:dyDescent="0.25">
      <c r="A14" s="6"/>
      <c r="B14" s="6"/>
      <c r="C14" s="11" t="str">
        <f t="shared" si="0"/>
        <v/>
      </c>
      <c r="D14" s="12" t="str">
        <f>IF($A14="","",'Входные данные'!$B$4-SUMIF('Входные данные'!$A$35:$A$44,"&lt;"&amp;$A14,'Входные данные'!$B$35:$B$44))</f>
        <v/>
      </c>
      <c r="E14" s="13" t="str">
        <f>IF($A14="","",IFERROR(INDEX('Входные данные'!$B$12:$B$31,MATCH($A14,'Входные данные'!$A$12:$A$31,1)),""))</f>
        <v/>
      </c>
      <c r="F14" s="11" t="str">
        <f t="shared" si="1"/>
        <v/>
      </c>
      <c r="G14" s="12" t="str">
        <f t="shared" si="2"/>
        <v/>
      </c>
      <c r="H14" s="14" t="str">
        <f t="shared" si="3"/>
        <v/>
      </c>
    </row>
    <row r="15" spans="1:8" x14ac:dyDescent="0.25">
      <c r="A15" s="6"/>
      <c r="B15" s="6"/>
      <c r="C15" s="11" t="str">
        <f t="shared" si="0"/>
        <v/>
      </c>
      <c r="D15" s="12" t="str">
        <f>IF($A15="","",'Входные данные'!$B$4-SUMIF('Входные данные'!$A$35:$A$44,"&lt;"&amp;$A15,'Входные данные'!$B$35:$B$44))</f>
        <v/>
      </c>
      <c r="E15" s="13" t="str">
        <f>IF($A15="","",IFERROR(INDEX('Входные данные'!$B$12:$B$31,MATCH($A15,'Входные данные'!$A$12:$A$31,1)),""))</f>
        <v/>
      </c>
      <c r="F15" s="11" t="str">
        <f t="shared" si="1"/>
        <v/>
      </c>
      <c r="G15" s="12" t="str">
        <f t="shared" si="2"/>
        <v/>
      </c>
      <c r="H15" s="14" t="str">
        <f t="shared" si="3"/>
        <v/>
      </c>
    </row>
    <row r="16" spans="1:8" x14ac:dyDescent="0.25">
      <c r="A16" s="6"/>
      <c r="B16" s="6"/>
      <c r="C16" s="11" t="str">
        <f t="shared" si="0"/>
        <v/>
      </c>
      <c r="D16" s="12" t="str">
        <f>IF($A16="","",'Входные данные'!$B$4-SUMIF('Входные данные'!$A$35:$A$44,"&lt;"&amp;$A16,'Входные данные'!$B$35:$B$44))</f>
        <v/>
      </c>
      <c r="E16" s="13" t="str">
        <f>IF($A16="","",IFERROR(INDEX('Входные данные'!$B$12:$B$31,MATCH($A16,'Входные данные'!$A$12:$A$31,1)),""))</f>
        <v/>
      </c>
      <c r="F16" s="11" t="str">
        <f t="shared" si="1"/>
        <v/>
      </c>
      <c r="G16" s="12" t="str">
        <f t="shared" si="2"/>
        <v/>
      </c>
      <c r="H16" s="14" t="str">
        <f t="shared" si="3"/>
        <v/>
      </c>
    </row>
    <row r="17" spans="1:8" x14ac:dyDescent="0.25">
      <c r="A17" s="6"/>
      <c r="B17" s="6"/>
      <c r="C17" s="11" t="str">
        <f t="shared" si="0"/>
        <v/>
      </c>
      <c r="D17" s="12" t="str">
        <f>IF($A17="","",'Входные данные'!$B$4-SUMIF('Входные данные'!$A$35:$A$44,"&lt;"&amp;$A17,'Входные данные'!$B$35:$B$44))</f>
        <v/>
      </c>
      <c r="E17" s="13" t="str">
        <f>IF($A17="","",IFERROR(INDEX('Входные данные'!$B$12:$B$31,MATCH($A17,'Входные данные'!$A$12:$A$31,1)),""))</f>
        <v/>
      </c>
      <c r="F17" s="11" t="str">
        <f t="shared" si="1"/>
        <v/>
      </c>
      <c r="G17" s="12" t="str">
        <f t="shared" si="2"/>
        <v/>
      </c>
      <c r="H17" s="14" t="str">
        <f t="shared" si="3"/>
        <v/>
      </c>
    </row>
    <row r="18" spans="1:8" x14ac:dyDescent="0.25">
      <c r="A18" s="6"/>
      <c r="B18" s="6"/>
      <c r="C18" s="11" t="str">
        <f t="shared" si="0"/>
        <v/>
      </c>
      <c r="D18" s="12" t="str">
        <f>IF($A18="","",'Входные данные'!$B$4-SUMIF('Входные данные'!$A$35:$A$44,"&lt;"&amp;$A18,'Входные данные'!$B$35:$B$44))</f>
        <v/>
      </c>
      <c r="E18" s="13" t="str">
        <f>IF($A18="","",IFERROR(INDEX('Входные данные'!$B$12:$B$31,MATCH($A18,'Входные данные'!$A$12:$A$31,1)),""))</f>
        <v/>
      </c>
      <c r="F18" s="11" t="str">
        <f t="shared" si="1"/>
        <v/>
      </c>
      <c r="G18" s="12" t="str">
        <f t="shared" si="2"/>
        <v/>
      </c>
      <c r="H18" s="14" t="str">
        <f t="shared" si="3"/>
        <v/>
      </c>
    </row>
    <row r="19" spans="1:8" x14ac:dyDescent="0.25">
      <c r="A19" s="6"/>
      <c r="B19" s="6"/>
      <c r="C19" s="11" t="str">
        <f t="shared" si="0"/>
        <v/>
      </c>
      <c r="D19" s="12" t="str">
        <f>IF($A19="","",'Входные данные'!$B$4-SUMIF('Входные данные'!$A$35:$A$44,"&lt;"&amp;$A19,'Входные данные'!$B$35:$B$44))</f>
        <v/>
      </c>
      <c r="E19" s="13" t="str">
        <f>IF($A19="","",IFERROR(INDEX('Входные данные'!$B$12:$B$31,MATCH($A19,'Входные данные'!$A$12:$A$31,1)),""))</f>
        <v/>
      </c>
      <c r="F19" s="11" t="str">
        <f t="shared" si="1"/>
        <v/>
      </c>
      <c r="G19" s="12" t="str">
        <f t="shared" si="2"/>
        <v/>
      </c>
      <c r="H19" s="14" t="str">
        <f t="shared" si="3"/>
        <v/>
      </c>
    </row>
    <row r="20" spans="1:8" x14ac:dyDescent="0.25">
      <c r="A20" s="6"/>
      <c r="B20" s="6"/>
      <c r="C20" s="11" t="str">
        <f t="shared" si="0"/>
        <v/>
      </c>
      <c r="D20" s="12" t="str">
        <f>IF($A20="","",'Входные данные'!$B$4-SUMIF('Входные данные'!$A$35:$A$44,"&lt;"&amp;$A20,'Входные данные'!$B$35:$B$44))</f>
        <v/>
      </c>
      <c r="E20" s="13" t="str">
        <f>IF($A20="","",IFERROR(INDEX('Входные данные'!$B$12:$B$31,MATCH($A20,'Входные данные'!$A$12:$A$31,1)),""))</f>
        <v/>
      </c>
      <c r="F20" s="11" t="str">
        <f t="shared" si="1"/>
        <v/>
      </c>
      <c r="G20" s="12" t="str">
        <f t="shared" si="2"/>
        <v/>
      </c>
      <c r="H20" s="14" t="str">
        <f t="shared" si="3"/>
        <v/>
      </c>
    </row>
    <row r="21" spans="1:8" x14ac:dyDescent="0.25">
      <c r="A21" s="6"/>
      <c r="B21" s="6"/>
      <c r="C21" s="11" t="str">
        <f t="shared" si="0"/>
        <v/>
      </c>
      <c r="D21" s="12" t="str">
        <f>IF($A21="","",'Входные данные'!$B$4-SUMIF('Входные данные'!$A$35:$A$44,"&lt;"&amp;$A21,'Входные данные'!$B$35:$B$44))</f>
        <v/>
      </c>
      <c r="E21" s="13" t="str">
        <f>IF($A21="","",IFERROR(INDEX('Входные данные'!$B$12:$B$31,MATCH($A21,'Входные данные'!$A$12:$A$31,1)),""))</f>
        <v/>
      </c>
      <c r="F21" s="11" t="str">
        <f t="shared" si="1"/>
        <v/>
      </c>
      <c r="G21" s="12" t="str">
        <f t="shared" si="2"/>
        <v/>
      </c>
      <c r="H21" s="14" t="str">
        <f t="shared" si="3"/>
        <v/>
      </c>
    </row>
    <row r="22" spans="1:8" x14ac:dyDescent="0.25">
      <c r="A22" s="6"/>
      <c r="B22" s="6"/>
      <c r="C22" s="11" t="str">
        <f t="shared" si="0"/>
        <v/>
      </c>
      <c r="D22" s="12" t="str">
        <f>IF($A22="","",'Входные данные'!$B$4-SUMIF('Входные данные'!$A$35:$A$44,"&lt;"&amp;$A22,'Входные данные'!$B$35:$B$44))</f>
        <v/>
      </c>
      <c r="E22" s="13" t="str">
        <f>IF($A22="","",IFERROR(INDEX('Входные данные'!$B$12:$B$31,MATCH($A22,'Входные данные'!$A$12:$A$31,1)),""))</f>
        <v/>
      </c>
      <c r="F22" s="11" t="str">
        <f t="shared" si="1"/>
        <v/>
      </c>
      <c r="G22" s="12" t="str">
        <f t="shared" si="2"/>
        <v/>
      </c>
      <c r="H22" s="14" t="str">
        <f t="shared" si="3"/>
        <v/>
      </c>
    </row>
    <row r="23" spans="1:8" x14ac:dyDescent="0.25">
      <c r="A23" s="6"/>
      <c r="B23" s="6"/>
      <c r="C23" s="11" t="str">
        <f t="shared" si="0"/>
        <v/>
      </c>
      <c r="D23" s="12" t="str">
        <f>IF($A23="","",'Входные данные'!$B$4-SUMIF('Входные данные'!$A$35:$A$44,"&lt;"&amp;$A23,'Входные данные'!$B$35:$B$44))</f>
        <v/>
      </c>
      <c r="E23" s="13" t="str">
        <f>IF($A23="","",IFERROR(INDEX('Входные данные'!$B$12:$B$31,MATCH($A23,'Входные данные'!$A$12:$A$31,1)),""))</f>
        <v/>
      </c>
      <c r="F23" s="11" t="str">
        <f t="shared" si="1"/>
        <v/>
      </c>
      <c r="G23" s="12" t="str">
        <f t="shared" si="2"/>
        <v/>
      </c>
      <c r="H23" s="14" t="str">
        <f t="shared" si="3"/>
        <v/>
      </c>
    </row>
    <row r="24" spans="1:8" x14ac:dyDescent="0.25">
      <c r="A24" s="6"/>
      <c r="B24" s="6"/>
      <c r="C24" s="11" t="str">
        <f t="shared" si="0"/>
        <v/>
      </c>
      <c r="D24" s="12" t="str">
        <f>IF($A24="","",'Входные данные'!$B$4-SUMIF('Входные данные'!$A$35:$A$44,"&lt;"&amp;$A24,'Входные данные'!$B$35:$B$44))</f>
        <v/>
      </c>
      <c r="E24" s="13" t="str">
        <f>IF($A24="","",IFERROR(INDEX('Входные данные'!$B$12:$B$31,MATCH($A24,'Входные данные'!$A$12:$A$31,1)),""))</f>
        <v/>
      </c>
      <c r="F24" s="11" t="str">
        <f t="shared" si="1"/>
        <v/>
      </c>
      <c r="G24" s="12" t="str">
        <f t="shared" si="2"/>
        <v/>
      </c>
      <c r="H24" s="14" t="str">
        <f t="shared" si="3"/>
        <v/>
      </c>
    </row>
    <row r="25" spans="1:8" x14ac:dyDescent="0.25">
      <c r="A25" s="6"/>
      <c r="B25" s="6"/>
      <c r="C25" s="11" t="str">
        <f t="shared" si="0"/>
        <v/>
      </c>
      <c r="D25" s="12" t="str">
        <f>IF($A25="","",'Входные данные'!$B$4-SUMIF('Входные данные'!$A$35:$A$44,"&lt;"&amp;$A25,'Входные данные'!$B$35:$B$44))</f>
        <v/>
      </c>
      <c r="E25" s="13" t="str">
        <f>IF($A25="","",IFERROR(INDEX('Входные данные'!$B$12:$B$31,MATCH($A25,'Входные данные'!$A$12:$A$31,1)),""))</f>
        <v/>
      </c>
      <c r="F25" s="11" t="str">
        <f t="shared" si="1"/>
        <v/>
      </c>
      <c r="G25" s="12" t="str">
        <f t="shared" si="2"/>
        <v/>
      </c>
      <c r="H25" s="14" t="str">
        <f t="shared" si="3"/>
        <v/>
      </c>
    </row>
    <row r="26" spans="1:8" x14ac:dyDescent="0.25">
      <c r="A26" s="6"/>
      <c r="B26" s="6"/>
      <c r="C26" s="11" t="str">
        <f t="shared" si="0"/>
        <v/>
      </c>
      <c r="D26" s="12" t="str">
        <f>IF($A26="","",'Входные данные'!$B$4-SUMIF('Входные данные'!$A$35:$A$44,"&lt;"&amp;$A26,'Входные данные'!$B$35:$B$44))</f>
        <v/>
      </c>
      <c r="E26" s="13" t="str">
        <f>IF($A26="","",IFERROR(INDEX('Входные данные'!$B$12:$B$31,MATCH($A26,'Входные данные'!$A$12:$A$31,1)),""))</f>
        <v/>
      </c>
      <c r="F26" s="11" t="str">
        <f t="shared" si="1"/>
        <v/>
      </c>
      <c r="G26" s="12" t="str">
        <f t="shared" si="2"/>
        <v/>
      </c>
      <c r="H26" s="14" t="str">
        <f t="shared" si="3"/>
        <v/>
      </c>
    </row>
    <row r="27" spans="1:8" x14ac:dyDescent="0.25">
      <c r="A27" s="6"/>
      <c r="B27" s="6"/>
      <c r="C27" s="11" t="str">
        <f t="shared" si="0"/>
        <v/>
      </c>
      <c r="D27" s="12" t="str">
        <f>IF($A27="","",'Входные данные'!$B$4-SUMIF('Входные данные'!$A$35:$A$44,"&lt;"&amp;$A27,'Входные данные'!$B$35:$B$44))</f>
        <v/>
      </c>
      <c r="E27" s="13" t="str">
        <f>IF($A27="","",IFERROR(INDEX('Входные данные'!$B$12:$B$31,MATCH($A27,'Входные данные'!$A$12:$A$31,1)),""))</f>
        <v/>
      </c>
      <c r="F27" s="11" t="str">
        <f t="shared" si="1"/>
        <v/>
      </c>
      <c r="G27" s="12" t="str">
        <f t="shared" si="2"/>
        <v/>
      </c>
      <c r="H27" s="14" t="str">
        <f t="shared" si="3"/>
        <v/>
      </c>
    </row>
    <row r="28" spans="1:8" x14ac:dyDescent="0.25">
      <c r="A28" s="6"/>
      <c r="B28" s="6"/>
      <c r="C28" s="11" t="str">
        <f t="shared" si="0"/>
        <v/>
      </c>
      <c r="D28" s="12" t="str">
        <f>IF($A28="","",'Входные данные'!$B$4-SUMIF('Входные данные'!$A$35:$A$44,"&lt;"&amp;$A28,'Входные данные'!$B$35:$B$44))</f>
        <v/>
      </c>
      <c r="E28" s="13" t="str">
        <f>IF($A28="","",IFERROR(INDEX('Входные данные'!$B$12:$B$31,MATCH($A28,'Входные данные'!$A$12:$A$31,1)),""))</f>
        <v/>
      </c>
      <c r="F28" s="11" t="str">
        <f t="shared" si="1"/>
        <v/>
      </c>
      <c r="G28" s="12" t="str">
        <f t="shared" si="2"/>
        <v/>
      </c>
      <c r="H28" s="14" t="str">
        <f t="shared" si="3"/>
        <v/>
      </c>
    </row>
    <row r="29" spans="1:8" x14ac:dyDescent="0.25">
      <c r="A29" s="6"/>
      <c r="B29" s="6"/>
      <c r="C29" s="11" t="str">
        <f t="shared" si="0"/>
        <v/>
      </c>
      <c r="D29" s="12" t="str">
        <f>IF($A29="","",'Входные данные'!$B$4-SUMIF('Входные данные'!$A$35:$A$44,"&lt;"&amp;$A29,'Входные данные'!$B$35:$B$44))</f>
        <v/>
      </c>
      <c r="E29" s="13" t="str">
        <f>IF($A29="","",IFERROR(INDEX('Входные данные'!$B$12:$B$31,MATCH($A29,'Входные данные'!$A$12:$A$31,1)),""))</f>
        <v/>
      </c>
      <c r="F29" s="11" t="str">
        <f t="shared" si="1"/>
        <v/>
      </c>
      <c r="G29" s="12" t="str">
        <f t="shared" si="2"/>
        <v/>
      </c>
      <c r="H29" s="14" t="str">
        <f t="shared" si="3"/>
        <v/>
      </c>
    </row>
    <row r="30" spans="1:8" x14ac:dyDescent="0.25">
      <c r="A30" s="6"/>
      <c r="B30" s="6"/>
      <c r="C30" s="11" t="str">
        <f t="shared" si="0"/>
        <v/>
      </c>
      <c r="D30" s="12" t="str">
        <f>IF($A30="","",'Входные данные'!$B$4-SUMIF('Входные данные'!$A$35:$A$44,"&lt;"&amp;$A30,'Входные данные'!$B$35:$B$44))</f>
        <v/>
      </c>
      <c r="E30" s="13" t="str">
        <f>IF($A30="","",IFERROR(INDEX('Входные данные'!$B$12:$B$31,MATCH($A30,'Входные данные'!$A$12:$A$31,1)),""))</f>
        <v/>
      </c>
      <c r="F30" s="11" t="str">
        <f t="shared" si="1"/>
        <v/>
      </c>
      <c r="G30" s="12" t="str">
        <f t="shared" si="2"/>
        <v/>
      </c>
      <c r="H30" s="14" t="str">
        <f t="shared" si="3"/>
        <v/>
      </c>
    </row>
    <row r="31" spans="1:8" x14ac:dyDescent="0.25">
      <c r="A31" s="6"/>
      <c r="B31" s="6"/>
      <c r="C31" s="11" t="str">
        <f t="shared" si="0"/>
        <v/>
      </c>
      <c r="D31" s="12" t="str">
        <f>IF($A31="","",'Входные данные'!$B$4-SUMIF('Входные данные'!$A$35:$A$44,"&lt;"&amp;$A31,'Входные данные'!$B$35:$B$44))</f>
        <v/>
      </c>
      <c r="E31" s="13" t="str">
        <f>IF($A31="","",IFERROR(INDEX('Входные данные'!$B$12:$B$31,MATCH($A31,'Входные данные'!$A$12:$A$31,1)),""))</f>
        <v/>
      </c>
      <c r="F31" s="11" t="str">
        <f t="shared" si="1"/>
        <v/>
      </c>
      <c r="G31" s="12" t="str">
        <f t="shared" si="2"/>
        <v/>
      </c>
      <c r="H31" s="14" t="str">
        <f t="shared" si="3"/>
        <v/>
      </c>
    </row>
    <row r="32" spans="1:8" x14ac:dyDescent="0.25">
      <c r="A32" s="6"/>
      <c r="B32" s="6"/>
      <c r="C32" s="11" t="str">
        <f t="shared" si="0"/>
        <v/>
      </c>
      <c r="D32" s="12" t="str">
        <f>IF($A32="","",'Входные данные'!$B$4-SUMIF('Входные данные'!$A$35:$A$44,"&lt;"&amp;$A32,'Входные данные'!$B$35:$B$44))</f>
        <v/>
      </c>
      <c r="E32" s="13" t="str">
        <f>IF($A32="","",IFERROR(INDEX('Входные данные'!$B$12:$B$31,MATCH($A32,'Входные данные'!$A$12:$A$31,1)),""))</f>
        <v/>
      </c>
      <c r="F32" s="11" t="str">
        <f t="shared" si="1"/>
        <v/>
      </c>
      <c r="G32" s="12" t="str">
        <f t="shared" si="2"/>
        <v/>
      </c>
      <c r="H32" s="14" t="str">
        <f t="shared" si="3"/>
        <v/>
      </c>
    </row>
    <row r="33" spans="1:8" x14ac:dyDescent="0.25">
      <c r="A33" s="6"/>
      <c r="B33" s="6"/>
      <c r="C33" s="11" t="str">
        <f t="shared" si="0"/>
        <v/>
      </c>
      <c r="D33" s="12" t="str">
        <f>IF($A33="","",'Входные данные'!$B$4-SUMIF('Входные данные'!$A$35:$A$44,"&lt;"&amp;$A33,'Входные данные'!$B$35:$B$44))</f>
        <v/>
      </c>
      <c r="E33" s="13" t="str">
        <f>IF($A33="","",IFERROR(INDEX('Входные данные'!$B$12:$B$31,MATCH($A33,'Входные данные'!$A$12:$A$31,1)),""))</f>
        <v/>
      </c>
      <c r="F33" s="11" t="str">
        <f t="shared" si="1"/>
        <v/>
      </c>
      <c r="G33" s="12" t="str">
        <f t="shared" si="2"/>
        <v/>
      </c>
      <c r="H33" s="14" t="str">
        <f t="shared" si="3"/>
        <v/>
      </c>
    </row>
    <row r="34" spans="1:8" x14ac:dyDescent="0.25">
      <c r="A34" s="6"/>
      <c r="B34" s="6"/>
      <c r="C34" s="11" t="str">
        <f t="shared" si="0"/>
        <v/>
      </c>
      <c r="D34" s="12" t="str">
        <f>IF($A34="","",'Входные данные'!$B$4-SUMIF('Входные данные'!$A$35:$A$44,"&lt;"&amp;$A34,'Входные данные'!$B$35:$B$44))</f>
        <v/>
      </c>
      <c r="E34" s="13" t="str">
        <f>IF($A34="","",IFERROR(INDEX('Входные данные'!$B$12:$B$31,MATCH($A34,'Входные данные'!$A$12:$A$31,1)),""))</f>
        <v/>
      </c>
      <c r="F34" s="11" t="str">
        <f t="shared" si="1"/>
        <v/>
      </c>
      <c r="G34" s="12" t="str">
        <f t="shared" si="2"/>
        <v/>
      </c>
      <c r="H34" s="14" t="str">
        <f t="shared" si="3"/>
        <v/>
      </c>
    </row>
    <row r="35" spans="1:8" x14ac:dyDescent="0.25">
      <c r="A35" s="6"/>
      <c r="B35" s="6"/>
      <c r="C35" s="11" t="str">
        <f t="shared" si="0"/>
        <v/>
      </c>
      <c r="D35" s="12" t="str">
        <f>IF($A35="","",'Входные данные'!$B$4-SUMIF('Входные данные'!$A$35:$A$44,"&lt;"&amp;$A35,'Входные данные'!$B$35:$B$44))</f>
        <v/>
      </c>
      <c r="E35" s="13" t="str">
        <f>IF($A35="","",IFERROR(INDEX('Входные данные'!$B$12:$B$31,MATCH($A35,'Входные данные'!$A$12:$A$31,1)),""))</f>
        <v/>
      </c>
      <c r="F35" s="11" t="str">
        <f t="shared" si="1"/>
        <v/>
      </c>
      <c r="G35" s="12" t="str">
        <f t="shared" si="2"/>
        <v/>
      </c>
      <c r="H35" s="14" t="str">
        <f t="shared" si="3"/>
        <v/>
      </c>
    </row>
    <row r="36" spans="1:8" x14ac:dyDescent="0.25">
      <c r="A36" s="6"/>
      <c r="B36" s="6"/>
      <c r="C36" s="11" t="str">
        <f t="shared" si="0"/>
        <v/>
      </c>
      <c r="D36" s="12" t="str">
        <f>IF($A36="","",'Входные данные'!$B$4-SUMIF('Входные данные'!$A$35:$A$44,"&lt;"&amp;$A36,'Входные данные'!$B$35:$B$44))</f>
        <v/>
      </c>
      <c r="E36" s="13" t="str">
        <f>IF($A36="","",IFERROR(INDEX('Входные данные'!$B$12:$B$31,MATCH($A36,'Входные данные'!$A$12:$A$31,1)),""))</f>
        <v/>
      </c>
      <c r="F36" s="11" t="str">
        <f t="shared" si="1"/>
        <v/>
      </c>
      <c r="G36" s="12" t="str">
        <f t="shared" si="2"/>
        <v/>
      </c>
      <c r="H36" s="14" t="str">
        <f t="shared" si="3"/>
        <v/>
      </c>
    </row>
    <row r="37" spans="1:8" x14ac:dyDescent="0.25">
      <c r="A37" s="6"/>
      <c r="B37" s="6"/>
      <c r="C37" s="11" t="str">
        <f t="shared" si="0"/>
        <v/>
      </c>
      <c r="D37" s="12" t="str">
        <f>IF($A37="","",'Входные данные'!$B$4-SUMIF('Входные данные'!$A$35:$A$44,"&lt;"&amp;$A37,'Входные данные'!$B$35:$B$44))</f>
        <v/>
      </c>
      <c r="E37" s="13" t="str">
        <f>IF($A37="","",IFERROR(INDEX('Входные данные'!$B$12:$B$31,MATCH($A37,'Входные данные'!$A$12:$A$31,1)),""))</f>
        <v/>
      </c>
      <c r="F37" s="11" t="str">
        <f t="shared" si="1"/>
        <v/>
      </c>
      <c r="G37" s="12" t="str">
        <f t="shared" si="2"/>
        <v/>
      </c>
      <c r="H37" s="14" t="str">
        <f t="shared" si="3"/>
        <v/>
      </c>
    </row>
    <row r="38" spans="1:8" x14ac:dyDescent="0.25">
      <c r="A38" s="6"/>
      <c r="B38" s="6"/>
      <c r="C38" s="11" t="str">
        <f t="shared" si="0"/>
        <v/>
      </c>
      <c r="D38" s="12" t="str">
        <f>IF($A38="","",'Входные данные'!$B$4-SUMIF('Входные данные'!$A$35:$A$44,"&lt;"&amp;$A38,'Входные данные'!$B$35:$B$44))</f>
        <v/>
      </c>
      <c r="E38" s="13" t="str">
        <f>IF($A38="","",IFERROR(INDEX('Входные данные'!$B$12:$B$31,MATCH($A38,'Входные данные'!$A$12:$A$31,1)),""))</f>
        <v/>
      </c>
      <c r="F38" s="11" t="str">
        <f t="shared" si="1"/>
        <v/>
      </c>
      <c r="G38" s="12" t="str">
        <f t="shared" si="2"/>
        <v/>
      </c>
      <c r="H38" s="14" t="str">
        <f t="shared" si="3"/>
        <v/>
      </c>
    </row>
    <row r="39" spans="1:8" x14ac:dyDescent="0.25">
      <c r="A39" s="6"/>
      <c r="B39" s="6"/>
      <c r="C39" s="11" t="str">
        <f t="shared" si="0"/>
        <v/>
      </c>
      <c r="D39" s="12" t="str">
        <f>IF($A39="","",'Входные данные'!$B$4-SUMIF('Входные данные'!$A$35:$A$44,"&lt;"&amp;$A39,'Входные данные'!$B$35:$B$44))</f>
        <v/>
      </c>
      <c r="E39" s="13" t="str">
        <f>IF($A39="","",IFERROR(INDEX('Входные данные'!$B$12:$B$31,MATCH($A39,'Входные данные'!$A$12:$A$31,1)),""))</f>
        <v/>
      </c>
      <c r="F39" s="11" t="str">
        <f t="shared" si="1"/>
        <v/>
      </c>
      <c r="G39" s="12" t="str">
        <f t="shared" si="2"/>
        <v/>
      </c>
      <c r="H39" s="14" t="str">
        <f t="shared" si="3"/>
        <v/>
      </c>
    </row>
    <row r="40" spans="1:8" x14ac:dyDescent="0.25">
      <c r="A40" s="6"/>
      <c r="B40" s="6"/>
      <c r="C40" s="11" t="str">
        <f t="shared" si="0"/>
        <v/>
      </c>
      <c r="D40" s="12" t="str">
        <f>IF($A40="","",'Входные данные'!$B$4-SUMIF('Входные данные'!$A$35:$A$44,"&lt;"&amp;$A40,'Входные данные'!$B$35:$B$44))</f>
        <v/>
      </c>
      <c r="E40" s="13" t="str">
        <f>IF($A40="","",IFERROR(INDEX('Входные данные'!$B$12:$B$31,MATCH($A40,'Входные данные'!$A$12:$A$31,1)),""))</f>
        <v/>
      </c>
      <c r="F40" s="11" t="str">
        <f t="shared" si="1"/>
        <v/>
      </c>
      <c r="G40" s="12" t="str">
        <f t="shared" si="2"/>
        <v/>
      </c>
      <c r="H40" s="14" t="str">
        <f t="shared" si="3"/>
        <v/>
      </c>
    </row>
    <row r="41" spans="1:8" x14ac:dyDescent="0.25">
      <c r="A41" s="6"/>
      <c r="B41" s="6"/>
      <c r="C41" s="11" t="str">
        <f t="shared" si="0"/>
        <v/>
      </c>
      <c r="D41" s="12" t="str">
        <f>IF($A41="","",'Входные данные'!$B$4-SUMIF('Входные данные'!$A$35:$A$44,"&lt;"&amp;$A41,'Входные данные'!$B$35:$B$44))</f>
        <v/>
      </c>
      <c r="E41" s="13" t="str">
        <f>IF($A41="","",IFERROR(INDEX('Входные данные'!$B$12:$B$31,MATCH($A41,'Входные данные'!$A$12:$A$31,1)),""))</f>
        <v/>
      </c>
      <c r="F41" s="11" t="str">
        <f t="shared" si="1"/>
        <v/>
      </c>
      <c r="G41" s="12" t="str">
        <f t="shared" si="2"/>
        <v/>
      </c>
      <c r="H41" s="14" t="str">
        <f t="shared" si="3"/>
        <v/>
      </c>
    </row>
    <row r="42" spans="1:8" x14ac:dyDescent="0.25">
      <c r="A42" s="6"/>
      <c r="B42" s="6"/>
      <c r="C42" s="11" t="str">
        <f t="shared" si="0"/>
        <v/>
      </c>
      <c r="D42" s="12" t="str">
        <f>IF($A42="","",'Входные данные'!$B$4-SUMIF('Входные данные'!$A$35:$A$44,"&lt;"&amp;$A42,'Входные данные'!$B$35:$B$44))</f>
        <v/>
      </c>
      <c r="E42" s="13" t="str">
        <f>IF($A42="","",IFERROR(INDEX('Входные данные'!$B$12:$B$31,MATCH($A42,'Входные данные'!$A$12:$A$31,1)),""))</f>
        <v/>
      </c>
      <c r="F42" s="11" t="str">
        <f t="shared" si="1"/>
        <v/>
      </c>
      <c r="G42" s="12" t="str">
        <f t="shared" si="2"/>
        <v/>
      </c>
      <c r="H42" s="14" t="str">
        <f t="shared" si="3"/>
        <v/>
      </c>
    </row>
    <row r="43" spans="1:8" x14ac:dyDescent="0.25">
      <c r="A43" s="6"/>
      <c r="B43" s="6"/>
      <c r="C43" s="11" t="str">
        <f t="shared" si="0"/>
        <v/>
      </c>
      <c r="D43" s="12" t="str">
        <f>IF($A43="","",'Входные данные'!$B$4-SUMIF('Входные данные'!$A$35:$A$44,"&lt;"&amp;$A43,'Входные данные'!$B$35:$B$44))</f>
        <v/>
      </c>
      <c r="E43" s="13" t="str">
        <f>IF($A43="","",IFERROR(INDEX('Входные данные'!$B$12:$B$31,MATCH($A43,'Входные данные'!$A$12:$A$31,1)),""))</f>
        <v/>
      </c>
      <c r="F43" s="11" t="str">
        <f t="shared" si="1"/>
        <v/>
      </c>
      <c r="G43" s="12" t="str">
        <f t="shared" si="2"/>
        <v/>
      </c>
      <c r="H43" s="14" t="str">
        <f t="shared" si="3"/>
        <v/>
      </c>
    </row>
    <row r="45" spans="1:8" x14ac:dyDescent="0.25">
      <c r="F45" s="15" t="s">
        <v>26</v>
      </c>
      <c r="G45" s="16">
        <f>ROUND(SUM($G$4:$G$43),2)</f>
        <v>2739.73</v>
      </c>
      <c r="H45" s="17" t="str">
        <f>IF(COUNT($A$4:$A$43)=0,"",IF(MAX($B$4:$B$43)&lt;&gt;'Входные данные'!$B$6,"Последний период не совпадает с датой окончания",""))</f>
        <v/>
      </c>
    </row>
    <row r="46" spans="1:8" x14ac:dyDescent="0.25">
      <c r="F46" s="15" t="s">
        <v>27</v>
      </c>
      <c r="G46" s="16">
        <f>ROUND('Входные данные'!$B$4-SUM('Входные данные'!$B$35:$B$44)+$G$45,2)</f>
        <v>1002739.73</v>
      </c>
    </row>
    <row r="48" spans="1:8" ht="45.95" customHeight="1" x14ac:dyDescent="0.25">
      <c r="A48" s="24" t="s">
        <v>28</v>
      </c>
      <c r="B48" s="25"/>
      <c r="C48" s="25"/>
      <c r="D48" s="25"/>
      <c r="E48" s="25"/>
      <c r="F48" s="25"/>
      <c r="G48" s="25"/>
      <c r="H48" s="25"/>
    </row>
    <row r="50" spans="1:8" x14ac:dyDescent="0.25">
      <c r="A50" s="3" t="s">
        <v>29</v>
      </c>
    </row>
    <row r="51" spans="1:8" ht="45.95" customHeight="1" x14ac:dyDescent="0.25">
      <c r="A51" s="24" t="s">
        <v>30</v>
      </c>
      <c r="B51" s="25"/>
      <c r="C51" s="25"/>
      <c r="D51" s="25"/>
      <c r="E51" s="25"/>
      <c r="F51" s="25"/>
      <c r="G51" s="25"/>
      <c r="H51" s="25"/>
    </row>
  </sheetData>
  <mergeCells count="2">
    <mergeCell ref="A48:H48"/>
    <mergeCell ref="A51:H51"/>
  </mergeCell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showGridLines="0" workbookViewId="0"/>
  </sheetViews>
  <sheetFormatPr defaultRowHeight="15" x14ac:dyDescent="0.25"/>
  <cols>
    <col min="1" max="1" width="40" customWidth="1"/>
    <col min="2" max="2" width="34" customWidth="1"/>
  </cols>
  <sheetData>
    <row r="1" spans="1:2" ht="18.75" x14ac:dyDescent="0.3">
      <c r="A1" s="1" t="s">
        <v>31</v>
      </c>
    </row>
    <row r="2" spans="1:2" ht="45.95" customHeight="1" x14ac:dyDescent="0.25">
      <c r="A2" s="24" t="s">
        <v>32</v>
      </c>
      <c r="B2" s="25"/>
    </row>
    <row r="4" spans="1:2" x14ac:dyDescent="0.25">
      <c r="A4" s="18" t="s">
        <v>33</v>
      </c>
      <c r="B4" s="12">
        <f>'Входные данные'!$B$4</f>
        <v>1000000</v>
      </c>
    </row>
    <row r="5" spans="1:2" x14ac:dyDescent="0.25">
      <c r="A5" s="18" t="s">
        <v>34</v>
      </c>
      <c r="B5" s="12">
        <f>ROUND(SUM('Входные данные'!$B$35:$B$44),2)</f>
        <v>0</v>
      </c>
    </row>
    <row r="6" spans="1:2" x14ac:dyDescent="0.25">
      <c r="A6" s="18" t="s">
        <v>35</v>
      </c>
      <c r="B6" s="12">
        <f>ROUND('Входные данные'!$B$4-SUM('Входные данные'!$B$35:$B$44),2)</f>
        <v>1000000</v>
      </c>
    </row>
    <row r="7" spans="1:2" x14ac:dyDescent="0.25">
      <c r="A7" s="18" t="s">
        <v>36</v>
      </c>
      <c r="B7" s="19">
        <f>'Входные данные'!$B$5</f>
        <v>45658</v>
      </c>
    </row>
    <row r="8" spans="1:2" x14ac:dyDescent="0.25">
      <c r="A8" s="18" t="s">
        <v>37</v>
      </c>
      <c r="B8" s="19">
        <f>'Входные данные'!$B$6</f>
        <v>45667</v>
      </c>
    </row>
    <row r="9" spans="1:2" x14ac:dyDescent="0.25">
      <c r="A9" s="18" t="s">
        <v>38</v>
      </c>
      <c r="B9" s="20">
        <f>IF(OR('Входные данные'!$B$5="",'Входные данные'!$B$6=""),"",'Входные данные'!$B$6-'Входные данные'!$B$5+1)</f>
        <v>10</v>
      </c>
    </row>
    <row r="10" spans="1:2" x14ac:dyDescent="0.25">
      <c r="A10" s="18" t="s">
        <v>39</v>
      </c>
      <c r="B10" s="12">
        <f>Расчёт!$G$45</f>
        <v>2739.73</v>
      </c>
    </row>
    <row r="11" spans="1:2" x14ac:dyDescent="0.25">
      <c r="A11" s="18" t="s">
        <v>40</v>
      </c>
      <c r="B11" s="12">
        <f>Расчёт!$G$46</f>
        <v>1002739.73</v>
      </c>
    </row>
    <row r="12" spans="1:2" x14ac:dyDescent="0.25">
      <c r="A12" s="3" t="s">
        <v>41</v>
      </c>
    </row>
    <row r="13" spans="1:2" ht="30" customHeight="1" x14ac:dyDescent="0.25">
      <c r="A13" s="26" t="s">
        <v>42</v>
      </c>
      <c r="B13" s="25"/>
    </row>
    <row r="15" spans="1:2" x14ac:dyDescent="0.25">
      <c r="A15" s="3" t="s">
        <v>43</v>
      </c>
    </row>
    <row r="16" spans="1:2" ht="45.95" customHeight="1" x14ac:dyDescent="0.25">
      <c r="A16" s="24" t="s">
        <v>44</v>
      </c>
      <c r="B16" s="25"/>
    </row>
    <row r="17" spans="1:2" ht="45.95" customHeight="1" x14ac:dyDescent="0.25">
      <c r="A17" s="24" t="s">
        <v>45</v>
      </c>
      <c r="B17" s="25"/>
    </row>
    <row r="18" spans="1:2" ht="45.95" customHeight="1" x14ac:dyDescent="0.25">
      <c r="A18" s="24" t="s">
        <v>46</v>
      </c>
      <c r="B18" s="25"/>
    </row>
    <row r="19" spans="1:2" ht="45.95" customHeight="1" x14ac:dyDescent="0.25">
      <c r="A19" s="24" t="s">
        <v>47</v>
      </c>
      <c r="B19" s="25"/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showGridLines="0" workbookViewId="0"/>
  </sheetViews>
  <sheetFormatPr defaultRowHeight="15" x14ac:dyDescent="0.25"/>
  <cols>
    <col min="1" max="1" width="26" customWidth="1"/>
    <col min="2" max="3" width="16" customWidth="1"/>
    <col min="4" max="4" width="14" customWidth="1"/>
    <col min="5" max="5" width="16" customWidth="1"/>
    <col min="6" max="6" width="14" customWidth="1"/>
    <col min="7" max="7" width="12" customWidth="1"/>
    <col min="8" max="8" width="20" customWidth="1"/>
  </cols>
  <sheetData>
    <row r="1" spans="1:8" ht="18.75" x14ac:dyDescent="0.3">
      <c r="A1" s="1" t="s">
        <v>48</v>
      </c>
    </row>
    <row r="2" spans="1:8" x14ac:dyDescent="0.25">
      <c r="A2" s="27" t="s">
        <v>49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50</v>
      </c>
    </row>
    <row r="5" spans="1:8" x14ac:dyDescent="0.25">
      <c r="A5" s="21" t="s">
        <v>2</v>
      </c>
      <c r="B5" s="21" t="s">
        <v>51</v>
      </c>
    </row>
    <row r="6" spans="1:8" x14ac:dyDescent="0.25">
      <c r="A6" s="21" t="s">
        <v>4</v>
      </c>
      <c r="B6" s="21" t="s">
        <v>52</v>
      </c>
    </row>
    <row r="7" spans="1:8" x14ac:dyDescent="0.25">
      <c r="A7" s="21" t="s">
        <v>6</v>
      </c>
      <c r="B7" s="21" t="s">
        <v>53</v>
      </c>
    </row>
    <row r="9" spans="1:8" x14ac:dyDescent="0.25">
      <c r="A9" s="3" t="s">
        <v>54</v>
      </c>
    </row>
    <row r="10" spans="1:8" x14ac:dyDescent="0.25">
      <c r="A10" s="3" t="s">
        <v>10</v>
      </c>
      <c r="B10" s="3" t="s">
        <v>11</v>
      </c>
    </row>
    <row r="11" spans="1:8" x14ac:dyDescent="0.25">
      <c r="A11" s="21" t="s">
        <v>52</v>
      </c>
      <c r="B11" s="21" t="s">
        <v>55</v>
      </c>
    </row>
    <row r="12" spans="1:8" x14ac:dyDescent="0.25">
      <c r="A12" s="21" t="s">
        <v>56</v>
      </c>
      <c r="B12" s="21" t="s">
        <v>57</v>
      </c>
    </row>
    <row r="14" spans="1:8" x14ac:dyDescent="0.25">
      <c r="A14" s="3" t="s">
        <v>58</v>
      </c>
    </row>
    <row r="15" spans="1:8" ht="54" customHeight="1" x14ac:dyDescent="0.25">
      <c r="A15" s="22" t="s">
        <v>19</v>
      </c>
      <c r="B15" s="22" t="s">
        <v>20</v>
      </c>
      <c r="C15" s="22" t="s">
        <v>21</v>
      </c>
      <c r="D15" s="22" t="s">
        <v>22</v>
      </c>
      <c r="E15" s="22" t="s">
        <v>11</v>
      </c>
      <c r="F15" s="22" t="s">
        <v>23</v>
      </c>
      <c r="G15" s="22" t="s">
        <v>24</v>
      </c>
      <c r="H15" s="22" t="s">
        <v>25</v>
      </c>
    </row>
    <row r="16" spans="1:8" x14ac:dyDescent="0.25">
      <c r="A16" s="11" t="s">
        <v>52</v>
      </c>
      <c r="B16" s="11" t="s">
        <v>59</v>
      </c>
      <c r="C16" s="23" t="s">
        <v>60</v>
      </c>
      <c r="D16" s="23" t="s">
        <v>60</v>
      </c>
      <c r="E16" s="23" t="s">
        <v>61</v>
      </c>
      <c r="F16" s="23" t="s">
        <v>60</v>
      </c>
      <c r="G16" s="23" t="s">
        <v>60</v>
      </c>
      <c r="H16" s="23" t="s">
        <v>62</v>
      </c>
    </row>
    <row r="17" spans="1:8" x14ac:dyDescent="0.25">
      <c r="A17" s="11" t="s">
        <v>56</v>
      </c>
      <c r="B17" s="11" t="s">
        <v>53</v>
      </c>
      <c r="C17" s="23" t="s">
        <v>60</v>
      </c>
      <c r="D17" s="23" t="s">
        <v>60</v>
      </c>
      <c r="E17" s="23" t="s">
        <v>61</v>
      </c>
      <c r="F17" s="23" t="s">
        <v>60</v>
      </c>
      <c r="G17" s="23" t="s">
        <v>60</v>
      </c>
      <c r="H17" s="23" t="s">
        <v>62</v>
      </c>
    </row>
    <row r="19" spans="1:8" ht="45.95" customHeight="1" x14ac:dyDescent="0.25">
      <c r="A19" s="24" t="s">
        <v>63</v>
      </c>
      <c r="B19" s="25"/>
      <c r="C19" s="25"/>
      <c r="D19" s="25"/>
      <c r="E19" s="25"/>
      <c r="F19" s="25"/>
      <c r="G19" s="25"/>
      <c r="H19" s="25"/>
    </row>
  </sheetData>
  <mergeCells count="2">
    <mergeCell ref="A19:H19"/>
    <mergeCell ref="A2:H2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Входные данные</vt:lpstr>
      <vt:lpstr>Расчёт</vt:lpstr>
      <vt:lpstr>Итог для документа</vt:lpstr>
      <vt:lpstr>Пример заполнения</vt:lpstr>
      <vt:lpstr>'Итог для документа'!Print_Area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dcterms:created xsi:type="dcterms:W3CDTF">2026-10-08T08:12:16Z</dcterms:created>
  <dcterms:modified xsi:type="dcterms:W3CDTF">2026-10-13T04:18:53Z</dcterms:modified>
</cp:coreProperties>
</file>