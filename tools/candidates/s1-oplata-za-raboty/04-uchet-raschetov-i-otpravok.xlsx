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заиморасчёты" sheetId="1" state="visible" r:id="rId1"/>
    <sheet xmlns:r="http://schemas.openxmlformats.org/officeDocument/2006/relationships" name="Долг по актам" sheetId="2" state="visible" r:id="rId2"/>
    <sheet xmlns:r="http://schemas.openxmlformats.org/officeDocument/2006/relationships" name="Реестр передачи" sheetId="3" state="visible" r:id="rId3"/>
    <sheet xmlns:r="http://schemas.openxmlformats.org/officeDocument/2006/relationships" name="Реестр приложений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4">
    <font>
      <name val="Calibri"/>
      <family val="2"/>
      <color theme="1"/>
      <sz val="11"/>
      <scheme val="minor"/>
    </font>
    <font>
      <b val="1"/>
    </font>
    <font>
      <b val="1"/>
      <sz val="13"/>
    </font>
    <font>
      <color rgb="001F4E79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3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4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504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36" customWidth="1" min="3" max="3"/>
    <col width="30" customWidth="1" min="4" max="4"/>
    <col width="16" customWidth="1" min="5" max="5"/>
    <col width="26" customWidth="1" min="6" max="6"/>
    <col width="16" customWidth="1" min="7" max="7"/>
    <col width="16" customWidth="1" min="8" max="8"/>
    <col width="62" customWidth="1" min="9" max="9"/>
    <col width="18" customWidth="1" min="10" max="10"/>
    <col width="46" customWidth="1" min="12" max="12"/>
    <col width="30" customWidth="1" min="13" max="13"/>
  </cols>
  <sheetData>
    <row r="1" ht="18" customHeight="1">
      <c r="A1" s="1" t="inlineStr">
        <is>
          <t>Реестр взаиморасчётов</t>
        </is>
      </c>
    </row>
    <row r="2" ht="48" customHeight="1">
      <c r="A2" s="2" t="inlineStr">
        <is>
          <t>Одна строка — одна операция. Начисления вводите положительными суммами, оплаты и зачёты — тоже положительными: знак ставит тип операции. Каждая операция, влияющая на долг, относится к конкретному акту: идентификатор акта в колонке F должен совпадать со строкой листа «Долг по актам». Система не распределяет платежи между актами сама — очередность зачёта определяется назначением платежа и договором, и правовой вывод за вас никто не делает. Строк 500; записи ниже таблицы блокируют итог, а не отбрасываются.</t>
        </is>
      </c>
    </row>
    <row r="4">
      <c r="A4" s="3" t="inlineStr">
        <is>
          <t>№</t>
        </is>
      </c>
      <c r="B4" s="3" t="inlineStr">
        <is>
          <t>Дата</t>
        </is>
      </c>
      <c r="C4" s="3" t="inlineStr">
        <is>
          <t>Тип операции</t>
        </is>
      </c>
      <c r="D4" s="3" t="inlineStr">
        <is>
          <t>Документ (№, дата)</t>
        </is>
      </c>
      <c r="E4" s="3" t="inlineStr">
        <is>
          <t>Сумма, руб.</t>
        </is>
      </c>
      <c r="F4" s="3" t="inlineStr">
        <is>
          <t>Акт (идентификатор, как в «Долг по актам»)</t>
        </is>
      </c>
      <c r="G4" s="3" t="inlineStr">
        <is>
          <t>Влияние на бесспорный долг</t>
        </is>
      </c>
      <c r="H4" s="3" t="inlineStr">
        <is>
          <t>Спорная сумма (граница B2)</t>
        </is>
      </c>
      <c r="I4" s="3" t="inlineStr">
        <is>
          <t>Проверка строки</t>
        </is>
      </c>
      <c r="J4" s="3" t="inlineStr">
        <is>
          <t>Бесспорный долг нарастающим итогом</t>
        </is>
      </c>
      <c r="L4" s="4" t="inlineStr">
        <is>
          <t>Начислено по актам</t>
        </is>
      </c>
      <c r="M4" s="5">
        <f>SUMIF(C5:C504,"Начисление по акту",E5:E504)</f>
        <v/>
      </c>
    </row>
    <row r="5">
      <c r="A5" s="6" t="n">
        <v>1</v>
      </c>
      <c r="B5" s="7" t="n"/>
      <c r="C5" s="8" t="n"/>
      <c r="D5" s="8" t="n"/>
      <c r="E5" s="9" t="n"/>
      <c r="F5" s="8" t="n"/>
      <c r="G5" s="5">
        <f>IF(OR(C5="",E5=""),0,IF(C5="Начисление по акту",E5,IF(OR(C5="Оплата",C5="Зачёт аванса по договору"),-E5,IF(C5="Корректировка (подписана обеими сторонами)",E5,0))))</f>
        <v/>
      </c>
      <c r="H5" s="5">
        <f>IF(OR(C5="Удержание",C5="Зачёт встречного требования",C5="Неустойка заявлена"),N(E5),0)</f>
        <v/>
      </c>
      <c r="I5" s="6">
        <f>IF(AND(B5="",C5="",D5="",E5="",F5=""),"",IF(OR(B5="",C5="",E5=""),"БЛОК: нужны дата, тип операции и сумма",IF(N(E5)&lt;=0,"БЛОК: сумма должна быть больше нуля",IF(AND(G5&lt;&gt;0,F5=""),"БЛОК: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нельзя",IF(AND(F5&lt;&gt;"",COUNTIF('Долг по актам'!$B$5:$B$34,F5)=0),"БЛОК: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договору")&gt;0)*($C$5:$C$504&lt;&gt;C5)*($E$5:$E$504=E5)*(($D$5:$D$504=D5)*(D5&lt;&gt;"")+($B$5:$B$504=B5)*(B5&lt;&gt;"")&gt;0))&gt;0,"БЛОК: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5" s="5">
        <f>IF(AND(B5="",C5="",E5=""),"",SUM($G$5:G5))</f>
        <v/>
      </c>
      <c r="L5" s="4" t="inlineStr">
        <is>
          <t>Оплачено</t>
        </is>
      </c>
      <c r="M5" s="5">
        <f>SUMIF(C5:C504,"Оплата",E5:E504)</f>
        <v/>
      </c>
    </row>
    <row r="6">
      <c r="A6" s="6" t="n">
        <v>2</v>
      </c>
      <c r="B6" s="7" t="n"/>
      <c r="C6" s="8" t="n"/>
      <c r="D6" s="8" t="n"/>
      <c r="E6" s="9" t="n"/>
      <c r="F6" s="8" t="n"/>
      <c r="G6" s="5">
        <f>IF(OR(C6="",E6=""),0,IF(C6="Начисление по акту",E6,IF(OR(C6="Оплата",C6="Зачёт аванса по договору"),-E6,IF(C6="Корректировка (подписана обеими сторонами)",E6,0))))</f>
        <v/>
      </c>
      <c r="H6" s="5">
        <f>IF(OR(C6="Удержание",C6="Зачёт встречного требования",C6="Неустойка заявлена"),N(E6),0)</f>
        <v/>
      </c>
      <c r="I6" s="6">
        <f>IF(AND(B6="",C6="",D6="",E6="",F6=""),"",IF(OR(B6="",C6="",E6=""),"БЛОК: нужны дата, тип операции и сумма",IF(N(E6)&lt;=0,"БЛОК: сумма должна быть больше нуля",IF(AND(G6&lt;&gt;0,F6=""),"БЛОК: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нельзя",IF(AND(F6&lt;&gt;"",COUNTIF('Долг по актам'!$B$5:$B$34,F6)=0),"БЛОК: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договору")&gt;0)*($C$5:$C$504&lt;&gt;C6)*($E$5:$E$504=E6)*(($D$5:$D$504=D6)*(D6&lt;&gt;"")+($B$5:$B$504=B6)*(B6&lt;&gt;"")&gt;0))&gt;0,"БЛОК: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6" s="5">
        <f>IF(AND(B6="",C6="",E6=""),"",SUM($G$5:G6))</f>
        <v/>
      </c>
      <c r="L6" s="4" t="inlineStr">
        <is>
          <t>Зачтён аванс</t>
        </is>
      </c>
      <c r="M6" s="5">
        <f>SUMIF(C5:C504,"Зачёт аванса по договору",E5:E504)</f>
        <v/>
      </c>
    </row>
    <row r="7">
      <c r="A7" s="6" t="n">
        <v>3</v>
      </c>
      <c r="B7" s="7" t="n"/>
      <c r="C7" s="8" t="n"/>
      <c r="D7" s="8" t="n"/>
      <c r="E7" s="9" t="n"/>
      <c r="F7" s="8" t="n"/>
      <c r="G7" s="5">
        <f>IF(OR(C7="",E7=""),0,IF(C7="Начисление по акту",E7,IF(OR(C7="Оплата",C7="Зачёт аванса по договору"),-E7,IF(C7="Корректировка (подписана обеими сторонами)",E7,0))))</f>
        <v/>
      </c>
      <c r="H7" s="5">
        <f>IF(OR(C7="Удержание",C7="Зачёт встречного требования",C7="Неустойка заявлена"),N(E7),0)</f>
        <v/>
      </c>
      <c r="I7" s="6">
        <f>IF(AND(B7="",C7="",D7="",E7="",F7=""),"",IF(OR(B7="",C7="",E7=""),"БЛОК: нужны дата, тип операции и сумма",IF(N(E7)&lt;=0,"БЛОК: сумма должна быть больше нуля",IF(AND(G7&lt;&gt;0,F7=""),"БЛОК: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нельзя",IF(AND(F7&lt;&gt;"",COUNTIF('Долг по актам'!$B$5:$B$34,F7)=0),"БЛОК: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договору")&gt;0)*($C$5:$C$504&lt;&gt;C7)*($E$5:$E$504=E7)*(($D$5:$D$504=D7)*(D7&lt;&gt;"")+($B$5:$B$504=B7)*(B7&lt;&gt;"")&gt;0))&gt;0,"БЛОК: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7" s="5">
        <f>IF(AND(B7="",C7="",E7=""),"",SUM($G$5:G7))</f>
        <v/>
      </c>
      <c r="L7" s="4" t="inlineStr">
        <is>
          <t>Корректировки</t>
        </is>
      </c>
      <c r="M7" s="5">
        <f>SUMIF(C5:C504,"Корректировка (подписана обеими сторонами)",E5:E504)</f>
        <v/>
      </c>
    </row>
    <row r="8">
      <c r="A8" s="6" t="n">
        <v>4</v>
      </c>
      <c r="B8" s="7" t="n"/>
      <c r="C8" s="8" t="n"/>
      <c r="D8" s="8" t="n"/>
      <c r="E8" s="9" t="n"/>
      <c r="F8" s="8" t="n"/>
      <c r="G8" s="5">
        <f>IF(OR(C8="",E8=""),0,IF(C8="Начисление по акту",E8,IF(OR(C8="Оплата",C8="Зачёт аванса по договору"),-E8,IF(C8="Корректировка (подписана обеими сторонами)",E8,0))))</f>
        <v/>
      </c>
      <c r="H8" s="5">
        <f>IF(OR(C8="Удержание",C8="Зачёт встречного требования",C8="Неустойка заявлена"),N(E8),0)</f>
        <v/>
      </c>
      <c r="I8" s="6">
        <f>IF(AND(B8="",C8="",D8="",E8="",F8=""),"",IF(OR(B8="",C8="",E8=""),"БЛОК: нужны дата, тип операции и сумма",IF(N(E8)&lt;=0,"БЛОК: сумма должна быть больше нуля",IF(AND(G8&lt;&gt;0,F8=""),"БЛОК: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нельзя",IF(AND(F8&lt;&gt;"",COUNTIF('Долг по актам'!$B$5:$B$34,F8)=0),"БЛОК: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договору")&gt;0)*($C$5:$C$504&lt;&gt;C8)*($E$5:$E$504=E8)*(($D$5:$D$504=D8)*(D8&lt;&gt;"")+($B$5:$B$504=B8)*(B8&lt;&gt;"")&gt;0))&gt;0,"БЛОК: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8" s="5">
        <f>IF(AND(B8="",C8="",E8=""),"",SUM($G$5:G8))</f>
        <v/>
      </c>
      <c r="L8" s="4" t="inlineStr">
        <is>
          <t>Спорные операции (удержание, зачёт, неустойка)</t>
        </is>
      </c>
      <c r="M8" s="5">
        <f>SUM(H5:H504)</f>
        <v/>
      </c>
    </row>
    <row r="9">
      <c r="A9" s="6" t="n">
        <v>5</v>
      </c>
      <c r="B9" s="7" t="n"/>
      <c r="C9" s="8" t="n"/>
      <c r="D9" s="8" t="n"/>
      <c r="E9" s="9" t="n"/>
      <c r="F9" s="8" t="n"/>
      <c r="G9" s="5">
        <f>IF(OR(C9="",E9=""),0,IF(C9="Начисление по акту",E9,IF(OR(C9="Оплата",C9="Зачёт аванса по договору"),-E9,IF(C9="Корректировка (подписана обеими сторонами)",E9,0))))</f>
        <v/>
      </c>
      <c r="H9" s="5">
        <f>IF(OR(C9="Удержание",C9="Зачёт встречного требования",C9="Неустойка заявлена"),N(E9),0)</f>
        <v/>
      </c>
      <c r="I9" s="6">
        <f>IF(AND(B9="",C9="",D9="",E9="",F9=""),"",IF(OR(B9="",C9="",E9=""),"БЛОК: нужны дата, тип операции и сумма",IF(N(E9)&lt;=0,"БЛОК: сумма должна быть больше нуля",IF(AND(G9&lt;&gt;0,F9=""),"БЛОК: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нельзя",IF(AND(F9&lt;&gt;"",COUNTIF('Долг по актам'!$B$5:$B$34,F9)=0),"БЛОК: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договору")&gt;0)*($C$5:$C$504&lt;&gt;C9)*($E$5:$E$504=E9)*(($D$5:$D$504=D9)*(D9&lt;&gt;"")+($B$5:$B$504=B9)*(B9&lt;&gt;"")&gt;0))&gt;0,"БЛОК: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9" s="5">
        <f>IF(AND(B9="",C9="",E9=""),"",SUM($G$5:G9))</f>
        <v/>
      </c>
      <c r="L9" s="4" t="inlineStr">
        <is>
          <t>Операций ниже таблицы (не учтены)</t>
        </is>
      </c>
      <c r="M9" s="5">
        <f>COUNTA(A505:J3000)</f>
        <v/>
      </c>
    </row>
    <row r="10">
      <c r="A10" s="6" t="n">
        <v>6</v>
      </c>
      <c r="B10" s="7" t="n"/>
      <c r="C10" s="8" t="n"/>
      <c r="D10" s="8" t="n"/>
      <c r="E10" s="9" t="n"/>
      <c r="F10" s="8" t="n"/>
      <c r="G10" s="5">
        <f>IF(OR(C10="",E10=""),0,IF(C10="Начисление по акту",E10,IF(OR(C10="Оплата",C10="Зачёт аванса по договору"),-E10,IF(C10="Корректировка (подписана обеими сторонами)",E10,0))))</f>
        <v/>
      </c>
      <c r="H10" s="5">
        <f>IF(OR(C10="Удержание",C10="Зачёт встречного требования",C10="Неустойка заявлена"),N(E10),0)</f>
        <v/>
      </c>
      <c r="I10" s="6">
        <f>IF(AND(B10="",C10="",D10="",E10="",F10=""),"",IF(OR(B10="",C10="",E10=""),"БЛОК: нужны дата, тип операции и сумма",IF(N(E10)&lt;=0,"БЛОК: сумма должна быть больше нуля",IF(AND(G10&lt;&gt;0,F10=""),"БЛОК: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нельзя",IF(AND(F10&lt;&gt;"",COUNTIF('Долг по актам'!$B$5:$B$34,F10)=0),"БЛОК: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договору")&gt;0)*($C$5:$C$504&lt;&gt;C10)*($E$5:$E$504=E10)*(($D$5:$D$504=D10)*(D10&lt;&gt;"")+($B$5:$B$504=B10)*(B10&lt;&gt;"")&gt;0))&gt;0,"БЛОК: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10" s="5">
        <f>IF(AND(B10="",C10="",E10=""),"",SUM($G$5:G10))</f>
        <v/>
      </c>
      <c r="L10" s="4" t="inlineStr">
        <is>
          <t>ТЕКУЩИЙ БЕССПОРНЫЙ ДОЛГ, руб.</t>
        </is>
      </c>
      <c r="M10" s="5">
        <f>IF(OR(M9&gt;0,M12&gt;0,M13&gt;0),"ИТОГ ЗАБЛОКИРОВАН: см. колонку «Проверка строки» и строки свода",M4-M5-M6+M7)</f>
        <v/>
      </c>
    </row>
    <row r="11">
      <c r="A11" s="6" t="n">
        <v>7</v>
      </c>
      <c r="B11" s="7" t="n"/>
      <c r="C11" s="8" t="n"/>
      <c r="D11" s="8" t="n"/>
      <c r="E11" s="9" t="n"/>
      <c r="F11" s="8" t="n"/>
      <c r="G11" s="5">
        <f>IF(OR(C11="",E11=""),0,IF(C11="Начисление по акту",E11,IF(OR(C11="Оплата",C11="Зачёт аванса по договору"),-E11,IF(C11="Корректировка (подписана обеими сторонами)",E11,0))))</f>
        <v/>
      </c>
      <c r="H11" s="5">
        <f>IF(OR(C11="Удержание",C11="Зачёт встречного требования",C11="Неустойка заявлена"),N(E11),0)</f>
        <v/>
      </c>
      <c r="I11" s="6">
        <f>IF(AND(B11="",C11="",D11="",E11="",F11=""),"",IF(OR(B11="",C11="",E11=""),"БЛОК: нужны дата, тип операции и сумма",IF(N(E11)&lt;=0,"БЛОК: сумма должна быть больше нуля",IF(AND(G11&lt;&gt;0,F11=""),"БЛОК: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нельзя",IF(AND(F11&lt;&gt;"",COUNTIF('Долг по актам'!$B$5:$B$34,F11)=0),"БЛОК: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договору")&gt;0)*($C$5:$C$504&lt;&gt;C11)*($E$5:$E$504=E11)*(($D$5:$D$504=D11)*(D11&lt;&gt;"")+($B$5:$B$504=B11)*(B11&lt;&gt;"")&gt;0))&gt;0,"БЛОК: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11" s="5">
        <f>IF(AND(B11="",C11="",E11=""),"",SUM($G$5:G11))</f>
        <v/>
      </c>
      <c r="L11" s="4" t="inlineStr">
        <is>
          <t>Граница</t>
        </is>
      </c>
      <c r="M11" s="5">
        <f>IF(M8&gt;0,"ГРАНИЦА B2: спорные операции на сумму "&amp;FIXED(M8,2)&amp;" руб. — к специалисту","нет")</f>
        <v/>
      </c>
    </row>
    <row r="12">
      <c r="A12" s="6" t="n">
        <v>8</v>
      </c>
      <c r="B12" s="7" t="n"/>
      <c r="C12" s="8" t="n"/>
      <c r="D12" s="8" t="n"/>
      <c r="E12" s="9" t="n"/>
      <c r="F12" s="8" t="n"/>
      <c r="G12" s="5">
        <f>IF(OR(C12="",E12=""),0,IF(C12="Начисление по акту",E12,IF(OR(C12="Оплата",C12="Зачёт аванса по договору"),-E12,IF(C12="Корректировка (подписана обеими сторонами)",E12,0))))</f>
        <v/>
      </c>
      <c r="H12" s="5">
        <f>IF(OR(C12="Удержание",C12="Зачёт встречного требования",C12="Неустойка заявлена"),N(E12),0)</f>
        <v/>
      </c>
      <c r="I12" s="6">
        <f>IF(AND(B12="",C12="",D12="",E12="",F12=""),"",IF(OR(B12="",C12="",E12=""),"БЛОК: нужны дата, тип операции и сумма",IF(N(E12)&lt;=0,"БЛОК: сумма должна быть больше нуля",IF(AND(G12&lt;&gt;0,F12=""),"БЛОК: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нельзя",IF(AND(F12&lt;&gt;"",COUNTIF('Долг по актам'!$B$5:$B$34,F12)=0),"БЛОК: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договору")&gt;0)*($C$5:$C$504&lt;&gt;C12)*($E$5:$E$504=E12)*(($D$5:$D$504=D12)*(D12&lt;&gt;"")+($B$5:$B$504=B12)*(B12&lt;&gt;"")&gt;0))&gt;0,"БЛОК: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12" s="5">
        <f>IF(AND(B12="",C12="",E12=""),"",SUM($G$5:G12))</f>
        <v/>
      </c>
      <c r="L12" s="4" t="inlineStr">
        <is>
          <t>Операций без типа или суммы</t>
        </is>
      </c>
      <c r="M12" s="5">
        <f>SUMPRODUCT((B5:B504&lt;&gt;"")*(((C5:C504="")+(E5:E504=""))&gt;0))</f>
        <v/>
      </c>
    </row>
    <row r="13">
      <c r="A13" s="6" t="n">
        <v>9</v>
      </c>
      <c r="B13" s="7" t="n"/>
      <c r="C13" s="8" t="n"/>
      <c r="D13" s="8" t="n"/>
      <c r="E13" s="9" t="n"/>
      <c r="F13" s="8" t="n"/>
      <c r="G13" s="5">
        <f>IF(OR(C13="",E13=""),0,IF(C13="Начисление по акту",E13,IF(OR(C13="Оплата",C13="Зачёт аванса по договору"),-E13,IF(C13="Корректировка (подписана обеими сторонами)",E13,0))))</f>
        <v/>
      </c>
      <c r="H13" s="5">
        <f>IF(OR(C13="Удержание",C13="Зачёт встречного требования",C13="Неустойка заявлена"),N(E13),0)</f>
        <v/>
      </c>
      <c r="I13" s="6">
        <f>IF(AND(B13="",C13="",D13="",E13="",F13=""),"",IF(OR(B13="",C13="",E13=""),"БЛОК: нужны дата, тип операции и сумма",IF(N(E13)&lt;=0,"БЛОК: сумма должна быть больше нуля",IF(AND(G13&lt;&gt;0,F13=""),"БЛОК: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нельзя",IF(AND(F13&lt;&gt;"",COUNTIF('Долг по актам'!$B$5:$B$34,F13)=0),"БЛОК: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договору")&gt;0)*($C$5:$C$504&lt;&gt;C13)*($E$5:$E$504=E13)*(($D$5:$D$504=D13)*(D13&lt;&gt;"")+($B$5:$B$504=B13)*(B13&lt;&gt;"")&gt;0))&gt;0,"БЛОК: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13" s="5">
        <f>IF(AND(B13="",C13="",E13=""),"",SUM($G$5:G13))</f>
        <v/>
      </c>
      <c r="L13" s="4" t="inlineStr">
        <is>
          <t>Строк с ошибкой в колонке «Проверка строки»</t>
        </is>
      </c>
      <c r="M13" s="5">
        <f>COUNTIF(I5:I504,"БЛОК*")</f>
        <v/>
      </c>
    </row>
    <row r="14">
      <c r="A14" s="6" t="n">
        <v>10</v>
      </c>
      <c r="B14" s="7" t="n"/>
      <c r="C14" s="8" t="n"/>
      <c r="D14" s="8" t="n"/>
      <c r="E14" s="9" t="n"/>
      <c r="F14" s="8" t="n"/>
      <c r="G14" s="5">
        <f>IF(OR(C14="",E14=""),0,IF(C14="Начисление по акту",E14,IF(OR(C14="Оплата",C14="Зачёт аванса по договору"),-E14,IF(C14="Корректировка (подписана обеими сторонами)",E14,0))))</f>
        <v/>
      </c>
      <c r="H14" s="5">
        <f>IF(OR(C14="Удержание",C14="Зачёт встречного требования",C14="Неустойка заявлена"),N(E14),0)</f>
        <v/>
      </c>
      <c r="I14" s="6">
        <f>IF(AND(B14="",C14="",D14="",E14="",F14=""),"",IF(OR(B14="",C14="",E14=""),"БЛОК: нужны дата, тип операции и сумма",IF(N(E14)&lt;=0,"БЛОК: сумма должна быть больше нуля",IF(AND(G14&lt;&gt;0,F14=""),"БЛОК: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нельзя",IF(AND(F14&lt;&gt;"",COUNTIF('Долг по актам'!$B$5:$B$34,F14)=0),"БЛОК: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договору")&gt;0)*($C$5:$C$504&lt;&gt;C14)*($E$5:$E$504=E14)*(($D$5:$D$504=D14)*(D14&lt;&gt;"")+($B$5:$B$504=B14)*(B14&lt;&gt;"")&gt;0))&gt;0,"БЛОК: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14" s="5">
        <f>IF(AND(B14="",C14="",E14=""),"",SUM($G$5:G14))</f>
        <v/>
      </c>
    </row>
    <row r="15">
      <c r="A15" s="6" t="n">
        <v>11</v>
      </c>
      <c r="B15" s="7" t="n"/>
      <c r="C15" s="8" t="n"/>
      <c r="D15" s="8" t="n"/>
      <c r="E15" s="9" t="n"/>
      <c r="F15" s="8" t="n"/>
      <c r="G15" s="5">
        <f>IF(OR(C15="",E15=""),0,IF(C15="Начисление по акту",E15,IF(OR(C15="Оплата",C15="Зачёт аванса по договору"),-E15,IF(C15="Корректировка (подписана обеими сторонами)",E15,0))))</f>
        <v/>
      </c>
      <c r="H15" s="5">
        <f>IF(OR(C15="Удержание",C15="Зачёт встречного требования",C15="Неустойка заявлена"),N(E15),0)</f>
        <v/>
      </c>
      <c r="I15" s="6">
        <f>IF(AND(B15="",C15="",D15="",E15="",F15=""),"",IF(OR(B15="",C15="",E15=""),"БЛОК: нужны дата, тип операции и сумма",IF(N(E15)&lt;=0,"БЛОК: сумма должна быть больше нуля",IF(AND(G15&lt;&gt;0,F15=""),"БЛОК: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нельзя",IF(AND(F15&lt;&gt;"",COUNTIF('Долг по актам'!$B$5:$B$34,F15)=0),"БЛОК: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договору")&gt;0)*($C$5:$C$504&lt;&gt;C15)*($E$5:$E$504=E15)*(($D$5:$D$504=D15)*(D15&lt;&gt;"")+($B$5:$B$504=B15)*(B15&lt;&gt;"")&gt;0))&gt;0,"БЛОК: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15" s="5">
        <f>IF(AND(B15="",C15="",E15=""),"",SUM($G$5:G15))</f>
        <v/>
      </c>
      <c r="L15" s="10" t="inlineStr">
        <is>
          <t>Это ТЕКУЩИЙ остаток: из него уже вычтены все оплаты, в том числе поступившие после начала просрочки. В расчёт процентов (файл 08) его переносить нельзя — там нужен долг на первый день просрочки по каждому акту. Оба числа берите на листе «Долг по актам».</t>
        </is>
      </c>
    </row>
    <row r="16">
      <c r="A16" s="6" t="n">
        <v>12</v>
      </c>
      <c r="B16" s="7" t="n"/>
      <c r="C16" s="8" t="n"/>
      <c r="D16" s="8" t="n"/>
      <c r="E16" s="9" t="n"/>
      <c r="F16" s="8" t="n"/>
      <c r="G16" s="5">
        <f>IF(OR(C16="",E16=""),0,IF(C16="Начисление по акту",E16,IF(OR(C16="Оплата",C16="Зачёт аванса по договору"),-E16,IF(C16="Корректировка (подписана обеими сторонами)",E16,0))))</f>
        <v/>
      </c>
      <c r="H16" s="5">
        <f>IF(OR(C16="Удержание",C16="Зачёт встречного требования",C16="Неустойка заявлена"),N(E16),0)</f>
        <v/>
      </c>
      <c r="I16" s="6">
        <f>IF(AND(B16="",C16="",D16="",E16="",F16=""),"",IF(OR(B16="",C16="",E16=""),"БЛОК: нужны дата, тип операции и сумма",IF(N(E16)&lt;=0,"БЛОК: сумма должна быть больше нуля",IF(AND(G16&lt;&gt;0,F16=""),"БЛОК: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нельзя",IF(AND(F16&lt;&gt;"",COUNTIF('Долг по актам'!$B$5:$B$34,F16)=0),"БЛОК: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договору")&gt;0)*($C$5:$C$504&lt;&gt;C16)*($E$5:$E$504=E16)*(($D$5:$D$504=D16)*(D16&lt;&gt;"")+($B$5:$B$504=B16)*(B16&lt;&gt;"")&gt;0))&gt;0,"БЛОК: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16" s="5">
        <f>IF(AND(B16="",C16="",E16=""),"",SUM($G$5:G16))</f>
        <v/>
      </c>
    </row>
    <row r="17">
      <c r="A17" s="6" t="n">
        <v>13</v>
      </c>
      <c r="B17" s="7" t="n"/>
      <c r="C17" s="8" t="n"/>
      <c r="D17" s="8" t="n"/>
      <c r="E17" s="9" t="n"/>
      <c r="F17" s="8" t="n"/>
      <c r="G17" s="5">
        <f>IF(OR(C17="",E17=""),0,IF(C17="Начисление по акту",E17,IF(OR(C17="Оплата",C17="Зачёт аванса по договору"),-E17,IF(C17="Корректировка (подписана обеими сторонами)",E17,0))))</f>
        <v/>
      </c>
      <c r="H17" s="5">
        <f>IF(OR(C17="Удержание",C17="Зачёт встречного требования",C17="Неустойка заявлена"),N(E17),0)</f>
        <v/>
      </c>
      <c r="I17" s="6">
        <f>IF(AND(B17="",C17="",D17="",E17="",F17=""),"",IF(OR(B17="",C17="",E17=""),"БЛОК: нужны дата, тип операции и сумма",IF(N(E17)&lt;=0,"БЛОК: сумма должна быть больше нуля",IF(AND(G17&lt;&gt;0,F17=""),"БЛОК: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нельзя",IF(AND(F17&lt;&gt;"",COUNTIF('Долг по актам'!$B$5:$B$34,F17)=0),"БЛОК: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договору")&gt;0)*($C$5:$C$504&lt;&gt;C17)*($E$5:$E$504=E17)*(($D$5:$D$504=D17)*(D17&lt;&gt;"")+($B$5:$B$504=B17)*(B17&lt;&gt;"")&gt;0))&gt;0,"БЛОК: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17" s="5">
        <f>IF(AND(B17="",C17="",E17=""),"",SUM($G$5:G17))</f>
        <v/>
      </c>
    </row>
    <row r="18">
      <c r="A18" s="6" t="n">
        <v>14</v>
      </c>
      <c r="B18" s="7" t="n"/>
      <c r="C18" s="8" t="n"/>
      <c r="D18" s="8" t="n"/>
      <c r="E18" s="9" t="n"/>
      <c r="F18" s="8" t="n"/>
      <c r="G18" s="5">
        <f>IF(OR(C18="",E18=""),0,IF(C18="Начисление по акту",E18,IF(OR(C18="Оплата",C18="Зачёт аванса по договору"),-E18,IF(C18="Корректировка (подписана обеими сторонами)",E18,0))))</f>
        <v/>
      </c>
      <c r="H18" s="5">
        <f>IF(OR(C18="Удержание",C18="Зачёт встречного требования",C18="Неустойка заявлена"),N(E18),0)</f>
        <v/>
      </c>
      <c r="I18" s="6">
        <f>IF(AND(B18="",C18="",D18="",E18="",F18=""),"",IF(OR(B18="",C18="",E18=""),"БЛОК: нужны дата, тип операции и сумма",IF(N(E18)&lt;=0,"БЛОК: сумма должна быть больше нуля",IF(AND(G18&lt;&gt;0,F18=""),"БЛОК: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нельзя",IF(AND(F18&lt;&gt;"",COUNTIF('Долг по актам'!$B$5:$B$34,F18)=0),"БЛОК: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договору")&gt;0)*($C$5:$C$504&lt;&gt;C18)*($E$5:$E$504=E18)*(($D$5:$D$504=D18)*(D18&lt;&gt;"")+($B$5:$B$504=B18)*(B18&lt;&gt;"")&gt;0))&gt;0,"БЛОК: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18" s="5">
        <f>IF(AND(B18="",C18="",E18=""),"",SUM($G$5:G18))</f>
        <v/>
      </c>
    </row>
    <row r="19">
      <c r="A19" s="6" t="n">
        <v>15</v>
      </c>
      <c r="B19" s="7" t="n"/>
      <c r="C19" s="8" t="n"/>
      <c r="D19" s="8" t="n"/>
      <c r="E19" s="9" t="n"/>
      <c r="F19" s="8" t="n"/>
      <c r="G19" s="5">
        <f>IF(OR(C19="",E19=""),0,IF(C19="Начисление по акту",E19,IF(OR(C19="Оплата",C19="Зачёт аванса по договору"),-E19,IF(C19="Корректировка (подписана обеими сторонами)",E19,0))))</f>
        <v/>
      </c>
      <c r="H19" s="5">
        <f>IF(OR(C19="Удержание",C19="Зачёт встречного требования",C19="Неустойка заявлена"),N(E19),0)</f>
        <v/>
      </c>
      <c r="I19" s="6">
        <f>IF(AND(B19="",C19="",D19="",E19="",F19=""),"",IF(OR(B19="",C19="",E19=""),"БЛОК: нужны дата, тип операции и сумма",IF(N(E19)&lt;=0,"БЛОК: сумма должна быть больше нуля",IF(AND(G19&lt;&gt;0,F19=""),"БЛОК: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нельзя",IF(AND(F19&lt;&gt;"",COUNTIF('Долг по актам'!$B$5:$B$34,F19)=0),"БЛОК: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договору")&gt;0)*($C$5:$C$504&lt;&gt;C19)*($E$5:$E$504=E19)*(($D$5:$D$504=D19)*(D19&lt;&gt;"")+($B$5:$B$504=B19)*(B19&lt;&gt;"")&gt;0))&gt;0,"БЛОК: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19" s="5">
        <f>IF(AND(B19="",C19="",E19=""),"",SUM($G$5:G19))</f>
        <v/>
      </c>
    </row>
    <row r="20">
      <c r="A20" s="6" t="n">
        <v>16</v>
      </c>
      <c r="B20" s="7" t="n"/>
      <c r="C20" s="8" t="n"/>
      <c r="D20" s="8" t="n"/>
      <c r="E20" s="9" t="n"/>
      <c r="F20" s="8" t="n"/>
      <c r="G20" s="5">
        <f>IF(OR(C20="",E20=""),0,IF(C20="Начисление по акту",E20,IF(OR(C20="Оплата",C20="Зачёт аванса по договору"),-E20,IF(C20="Корректировка (подписана обеими сторонами)",E20,0))))</f>
        <v/>
      </c>
      <c r="H20" s="5">
        <f>IF(OR(C20="Удержание",C20="Зачёт встречного требования",C20="Неустойка заявлена"),N(E20),0)</f>
        <v/>
      </c>
      <c r="I20" s="6">
        <f>IF(AND(B20="",C20="",D20="",E20="",F20=""),"",IF(OR(B20="",C20="",E20=""),"БЛОК: нужны дата, тип операции и сумма",IF(N(E20)&lt;=0,"БЛОК: сумма должна быть больше нуля",IF(AND(G20&lt;&gt;0,F20=""),"БЛОК: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нельзя",IF(AND(F20&lt;&gt;"",COUNTIF('Долг по актам'!$B$5:$B$34,F20)=0),"БЛОК: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договору")&gt;0)*($C$5:$C$504&lt;&gt;C20)*($E$5:$E$504=E20)*(($D$5:$D$504=D20)*(D20&lt;&gt;"")+($B$5:$B$504=B20)*(B20&lt;&gt;"")&gt;0))&gt;0,"БЛОК: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20" s="5">
        <f>IF(AND(B20="",C20="",E20=""),"",SUM($G$5:G20))</f>
        <v/>
      </c>
    </row>
    <row r="21">
      <c r="A21" s="6" t="n">
        <v>17</v>
      </c>
      <c r="B21" s="7" t="n"/>
      <c r="C21" s="8" t="n"/>
      <c r="D21" s="8" t="n"/>
      <c r="E21" s="9" t="n"/>
      <c r="F21" s="8" t="n"/>
      <c r="G21" s="5">
        <f>IF(OR(C21="",E21=""),0,IF(C21="Начисление по акту",E21,IF(OR(C21="Оплата",C21="Зачёт аванса по договору"),-E21,IF(C21="Корректировка (подписана обеими сторонами)",E21,0))))</f>
        <v/>
      </c>
      <c r="H21" s="5">
        <f>IF(OR(C21="Удержание",C21="Зачёт встречного требования",C21="Неустойка заявлена"),N(E21),0)</f>
        <v/>
      </c>
      <c r="I21" s="6">
        <f>IF(AND(B21="",C21="",D21="",E21="",F21=""),"",IF(OR(B21="",C21="",E21=""),"БЛОК: нужны дата, тип операции и сумма",IF(N(E21)&lt;=0,"БЛОК: сумма должна быть больше нуля",IF(AND(G21&lt;&gt;0,F21=""),"БЛОК: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нельзя",IF(AND(F21&lt;&gt;"",COUNTIF('Долг по актам'!$B$5:$B$34,F21)=0),"БЛОК: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договору")&gt;0)*($C$5:$C$504&lt;&gt;C21)*($E$5:$E$504=E21)*(($D$5:$D$504=D21)*(D21&lt;&gt;"")+($B$5:$B$504=B21)*(B21&lt;&gt;"")&gt;0))&gt;0,"БЛОК: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21" s="5">
        <f>IF(AND(B21="",C21="",E21=""),"",SUM($G$5:G21))</f>
        <v/>
      </c>
    </row>
    <row r="22">
      <c r="A22" s="6" t="n">
        <v>18</v>
      </c>
      <c r="B22" s="7" t="n"/>
      <c r="C22" s="8" t="n"/>
      <c r="D22" s="8" t="n"/>
      <c r="E22" s="9" t="n"/>
      <c r="F22" s="8" t="n"/>
      <c r="G22" s="5">
        <f>IF(OR(C22="",E22=""),0,IF(C22="Начисление по акту",E22,IF(OR(C22="Оплата",C22="Зачёт аванса по договору"),-E22,IF(C22="Корректировка (подписана обеими сторонами)",E22,0))))</f>
        <v/>
      </c>
      <c r="H22" s="5">
        <f>IF(OR(C22="Удержание",C22="Зачёт встречного требования",C22="Неустойка заявлена"),N(E22),0)</f>
        <v/>
      </c>
      <c r="I22" s="6">
        <f>IF(AND(B22="",C22="",D22="",E22="",F22=""),"",IF(OR(B22="",C22="",E22=""),"БЛОК: нужны дата, тип операции и сумма",IF(N(E22)&lt;=0,"БЛОК: сумма должна быть больше нуля",IF(AND(G22&lt;&gt;0,F22=""),"БЛОК: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нельзя",IF(AND(F22&lt;&gt;"",COUNTIF('Долг по актам'!$B$5:$B$34,F22)=0),"БЛОК: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договору")&gt;0)*($C$5:$C$504&lt;&gt;C22)*($E$5:$E$504=E22)*(($D$5:$D$504=D22)*(D22&lt;&gt;"")+($B$5:$B$504=B22)*(B22&lt;&gt;"")&gt;0))&gt;0,"БЛОК: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22" s="5">
        <f>IF(AND(B22="",C22="",E22=""),"",SUM($G$5:G22))</f>
        <v/>
      </c>
    </row>
    <row r="23">
      <c r="A23" s="6" t="n">
        <v>19</v>
      </c>
      <c r="B23" s="7" t="n"/>
      <c r="C23" s="8" t="n"/>
      <c r="D23" s="8" t="n"/>
      <c r="E23" s="9" t="n"/>
      <c r="F23" s="8" t="n"/>
      <c r="G23" s="5">
        <f>IF(OR(C23="",E23=""),0,IF(C23="Начисление по акту",E23,IF(OR(C23="Оплата",C23="Зачёт аванса по договору"),-E23,IF(C23="Корректировка (подписана обеими сторонами)",E23,0))))</f>
        <v/>
      </c>
      <c r="H23" s="5">
        <f>IF(OR(C23="Удержание",C23="Зачёт встречного требования",C23="Неустойка заявлена"),N(E23),0)</f>
        <v/>
      </c>
      <c r="I23" s="6">
        <f>IF(AND(B23="",C23="",D23="",E23="",F23=""),"",IF(OR(B23="",C23="",E23=""),"БЛОК: нужны дата, тип операции и сумма",IF(N(E23)&lt;=0,"БЛОК: сумма должна быть больше нуля",IF(AND(G23&lt;&gt;0,F23=""),"БЛОК: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нельзя",IF(AND(F23&lt;&gt;"",COUNTIF('Долг по актам'!$B$5:$B$34,F23)=0),"БЛОК: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договору")&gt;0)*($C$5:$C$504&lt;&gt;C23)*($E$5:$E$504=E23)*(($D$5:$D$504=D23)*(D23&lt;&gt;"")+($B$5:$B$504=B23)*(B23&lt;&gt;"")&gt;0))&gt;0,"БЛОК: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23" s="5">
        <f>IF(AND(B23="",C23="",E23=""),"",SUM($G$5:G23))</f>
        <v/>
      </c>
    </row>
    <row r="24">
      <c r="A24" s="6" t="n">
        <v>20</v>
      </c>
      <c r="B24" s="7" t="n"/>
      <c r="C24" s="8" t="n"/>
      <c r="D24" s="8" t="n"/>
      <c r="E24" s="9" t="n"/>
      <c r="F24" s="8" t="n"/>
      <c r="G24" s="5">
        <f>IF(OR(C24="",E24=""),0,IF(C24="Начисление по акту",E24,IF(OR(C24="Оплата",C24="Зачёт аванса по договору"),-E24,IF(C24="Корректировка (подписана обеими сторонами)",E24,0))))</f>
        <v/>
      </c>
      <c r="H24" s="5">
        <f>IF(OR(C24="Удержание",C24="Зачёт встречного требования",C24="Неустойка заявлена"),N(E24),0)</f>
        <v/>
      </c>
      <c r="I24" s="6">
        <f>IF(AND(B24="",C24="",D24="",E24="",F24=""),"",IF(OR(B24="",C24="",E24=""),"БЛОК: нужны дата, тип операции и сумма",IF(N(E24)&lt;=0,"БЛОК: сумма должна быть больше нуля",IF(AND(G24&lt;&gt;0,F24=""),"БЛОК: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нельзя",IF(AND(F24&lt;&gt;"",COUNTIF('Долг по актам'!$B$5:$B$34,F24)=0),"БЛОК: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договору")&gt;0)*($C$5:$C$504&lt;&gt;C24)*($E$5:$E$504=E24)*(($D$5:$D$504=D24)*(D24&lt;&gt;"")+($B$5:$B$504=B24)*(B24&lt;&gt;"")&gt;0))&gt;0,"БЛОК: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24" s="5">
        <f>IF(AND(B24="",C24="",E24=""),"",SUM($G$5:G24))</f>
        <v/>
      </c>
    </row>
    <row r="25">
      <c r="A25" s="6" t="n">
        <v>21</v>
      </c>
      <c r="B25" s="7" t="n"/>
      <c r="C25" s="8" t="n"/>
      <c r="D25" s="8" t="n"/>
      <c r="E25" s="9" t="n"/>
      <c r="F25" s="8" t="n"/>
      <c r="G25" s="5">
        <f>IF(OR(C25="",E25=""),0,IF(C25="Начисление по акту",E25,IF(OR(C25="Оплата",C25="Зачёт аванса по договору"),-E25,IF(C25="Корректировка (подписана обеими сторонами)",E25,0))))</f>
        <v/>
      </c>
      <c r="H25" s="5">
        <f>IF(OR(C25="Удержание",C25="Зачёт встречного требования",C25="Неустойка заявлена"),N(E25),0)</f>
        <v/>
      </c>
      <c r="I25" s="6">
        <f>IF(AND(B25="",C25="",D25="",E25="",F25=""),"",IF(OR(B25="",C25="",E25=""),"БЛОК: нужны дата, тип операции и сумма",IF(N(E25)&lt;=0,"БЛОК: сумма должна быть больше нуля",IF(AND(G25&lt;&gt;0,F25=""),"БЛОК: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нельзя",IF(AND(F25&lt;&gt;"",COUNTIF('Долг по актам'!$B$5:$B$34,F25)=0),"БЛОК: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договору")&gt;0)*($C$5:$C$504&lt;&gt;C25)*($E$5:$E$504=E25)*(($D$5:$D$504=D25)*(D25&lt;&gt;"")+($B$5:$B$504=B25)*(B25&lt;&gt;"")&gt;0))&gt;0,"БЛОК: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25" s="5">
        <f>IF(AND(B25="",C25="",E25=""),"",SUM($G$5:G25))</f>
        <v/>
      </c>
    </row>
    <row r="26">
      <c r="A26" s="6" t="n">
        <v>22</v>
      </c>
      <c r="B26" s="7" t="n"/>
      <c r="C26" s="8" t="n"/>
      <c r="D26" s="8" t="n"/>
      <c r="E26" s="9" t="n"/>
      <c r="F26" s="8" t="n"/>
      <c r="G26" s="5">
        <f>IF(OR(C26="",E26=""),0,IF(C26="Начисление по акту",E26,IF(OR(C26="Оплата",C26="Зачёт аванса по договору"),-E26,IF(C26="Корректировка (подписана обеими сторонами)",E26,0))))</f>
        <v/>
      </c>
      <c r="H26" s="5">
        <f>IF(OR(C26="Удержание",C26="Зачёт встречного требования",C26="Неустойка заявлена"),N(E26),0)</f>
        <v/>
      </c>
      <c r="I26" s="6">
        <f>IF(AND(B26="",C26="",D26="",E26="",F26=""),"",IF(OR(B26="",C26="",E26=""),"БЛОК: нужны дата, тип операции и сумма",IF(N(E26)&lt;=0,"БЛОК: сумма должна быть больше нуля",IF(AND(G26&lt;&gt;0,F26=""),"БЛОК: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нельзя",IF(AND(F26&lt;&gt;"",COUNTIF('Долг по актам'!$B$5:$B$34,F26)=0),"БЛОК: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договору")&gt;0)*($C$5:$C$504&lt;&gt;C26)*($E$5:$E$504=E26)*(($D$5:$D$504=D26)*(D26&lt;&gt;"")+($B$5:$B$504=B26)*(B26&lt;&gt;"")&gt;0))&gt;0,"БЛОК: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26" s="5">
        <f>IF(AND(B26="",C26="",E26=""),"",SUM($G$5:G26))</f>
        <v/>
      </c>
    </row>
    <row r="27">
      <c r="A27" s="6" t="n">
        <v>23</v>
      </c>
      <c r="B27" s="7" t="n"/>
      <c r="C27" s="8" t="n"/>
      <c r="D27" s="8" t="n"/>
      <c r="E27" s="9" t="n"/>
      <c r="F27" s="8" t="n"/>
      <c r="G27" s="5">
        <f>IF(OR(C27="",E27=""),0,IF(C27="Начисление по акту",E27,IF(OR(C27="Оплата",C27="Зачёт аванса по договору"),-E27,IF(C27="Корректировка (подписана обеими сторонами)",E27,0))))</f>
        <v/>
      </c>
      <c r="H27" s="5">
        <f>IF(OR(C27="Удержание",C27="Зачёт встречного требования",C27="Неустойка заявлена"),N(E27),0)</f>
        <v/>
      </c>
      <c r="I27" s="6">
        <f>IF(AND(B27="",C27="",D27="",E27="",F27=""),"",IF(OR(B27="",C27="",E27=""),"БЛОК: нужны дата, тип операции и сумма",IF(N(E27)&lt;=0,"БЛОК: сумма должна быть больше нуля",IF(AND(G27&lt;&gt;0,F27=""),"БЛОК: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нельзя",IF(AND(F27&lt;&gt;"",COUNTIF('Долг по актам'!$B$5:$B$34,F27)=0),"БЛОК: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договору")&gt;0)*($C$5:$C$504&lt;&gt;C27)*($E$5:$E$504=E27)*(($D$5:$D$504=D27)*(D27&lt;&gt;"")+($B$5:$B$504=B27)*(B27&lt;&gt;"")&gt;0))&gt;0,"БЛОК: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27" s="5">
        <f>IF(AND(B27="",C27="",E27=""),"",SUM($G$5:G27))</f>
        <v/>
      </c>
    </row>
    <row r="28">
      <c r="A28" s="6" t="n">
        <v>24</v>
      </c>
      <c r="B28" s="7" t="n"/>
      <c r="C28" s="8" t="n"/>
      <c r="D28" s="8" t="n"/>
      <c r="E28" s="9" t="n"/>
      <c r="F28" s="8" t="n"/>
      <c r="G28" s="5">
        <f>IF(OR(C28="",E28=""),0,IF(C28="Начисление по акту",E28,IF(OR(C28="Оплата",C28="Зачёт аванса по договору"),-E28,IF(C28="Корректировка (подписана обеими сторонами)",E28,0))))</f>
        <v/>
      </c>
      <c r="H28" s="5">
        <f>IF(OR(C28="Удержание",C28="Зачёт встречного требования",C28="Неустойка заявлена"),N(E28),0)</f>
        <v/>
      </c>
      <c r="I28" s="6">
        <f>IF(AND(B28="",C28="",D28="",E28="",F28=""),"",IF(OR(B28="",C28="",E28=""),"БЛОК: нужны дата, тип операции и сумма",IF(N(E28)&lt;=0,"БЛОК: сумма должна быть больше нуля",IF(AND(G28&lt;&gt;0,F28=""),"БЛОК: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нельзя",IF(AND(F28&lt;&gt;"",COUNTIF('Долг по актам'!$B$5:$B$34,F28)=0),"БЛОК: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договору")&gt;0)*($C$5:$C$504&lt;&gt;C28)*($E$5:$E$504=E28)*(($D$5:$D$504=D28)*(D28&lt;&gt;"")+($B$5:$B$504=B28)*(B28&lt;&gt;"")&gt;0))&gt;0,"БЛОК: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28" s="5">
        <f>IF(AND(B28="",C28="",E28=""),"",SUM($G$5:G28))</f>
        <v/>
      </c>
    </row>
    <row r="29">
      <c r="A29" s="6" t="n">
        <v>25</v>
      </c>
      <c r="B29" s="7" t="n"/>
      <c r="C29" s="8" t="n"/>
      <c r="D29" s="8" t="n"/>
      <c r="E29" s="9" t="n"/>
      <c r="F29" s="8" t="n"/>
      <c r="G29" s="5">
        <f>IF(OR(C29="",E29=""),0,IF(C29="Начисление по акту",E29,IF(OR(C29="Оплата",C29="Зачёт аванса по договору"),-E29,IF(C29="Корректировка (подписана обеими сторонами)",E29,0))))</f>
        <v/>
      </c>
      <c r="H29" s="5">
        <f>IF(OR(C29="Удержание",C29="Зачёт встречного требования",C29="Неустойка заявлена"),N(E29),0)</f>
        <v/>
      </c>
      <c r="I29" s="6">
        <f>IF(AND(B29="",C29="",D29="",E29="",F29=""),"",IF(OR(B29="",C29="",E29=""),"БЛОК: нужны дата, тип операции и сумма",IF(N(E29)&lt;=0,"БЛОК: сумма должна быть больше нуля",IF(AND(G29&lt;&gt;0,F29=""),"БЛОК: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нельзя",IF(AND(F29&lt;&gt;"",COUNTIF('Долг по актам'!$B$5:$B$34,F29)=0),"БЛОК: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договору")&gt;0)*($C$5:$C$504&lt;&gt;C29)*($E$5:$E$504=E29)*(($D$5:$D$504=D29)*(D29&lt;&gt;"")+($B$5:$B$504=B29)*(B29&lt;&gt;"")&gt;0))&gt;0,"БЛОК: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29" s="5">
        <f>IF(AND(B29="",C29="",E29=""),"",SUM($G$5:G29))</f>
        <v/>
      </c>
    </row>
    <row r="30">
      <c r="A30" s="6" t="n">
        <v>26</v>
      </c>
      <c r="B30" s="7" t="n"/>
      <c r="C30" s="8" t="n"/>
      <c r="D30" s="8" t="n"/>
      <c r="E30" s="9" t="n"/>
      <c r="F30" s="8" t="n"/>
      <c r="G30" s="5">
        <f>IF(OR(C30="",E30=""),0,IF(C30="Начисление по акту",E30,IF(OR(C30="Оплата",C30="Зачёт аванса по договору"),-E30,IF(C30="Корректировка (подписана обеими сторонами)",E30,0))))</f>
        <v/>
      </c>
      <c r="H30" s="5">
        <f>IF(OR(C30="Удержание",C30="Зачёт встречного требования",C30="Неустойка заявлена"),N(E30),0)</f>
        <v/>
      </c>
      <c r="I30" s="6">
        <f>IF(AND(B30="",C30="",D30="",E30="",F30=""),"",IF(OR(B30="",C30="",E30=""),"БЛОК: нужны дата, тип операции и сумма",IF(N(E30)&lt;=0,"БЛОК: сумма должна быть больше нуля",IF(AND(G30&lt;&gt;0,F30=""),"БЛОК: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нельзя",IF(AND(F30&lt;&gt;"",COUNTIF('Долг по актам'!$B$5:$B$34,F30)=0),"БЛОК: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договору")&gt;0)*($C$5:$C$504&lt;&gt;C30)*($E$5:$E$504=E30)*(($D$5:$D$504=D30)*(D30&lt;&gt;"")+($B$5:$B$504=B30)*(B30&lt;&gt;"")&gt;0))&gt;0,"БЛОК: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30" s="5">
        <f>IF(AND(B30="",C30="",E30=""),"",SUM($G$5:G30))</f>
        <v/>
      </c>
    </row>
    <row r="31">
      <c r="A31" s="6" t="n">
        <v>27</v>
      </c>
      <c r="B31" s="7" t="n"/>
      <c r="C31" s="8" t="n"/>
      <c r="D31" s="8" t="n"/>
      <c r="E31" s="9" t="n"/>
      <c r="F31" s="8" t="n"/>
      <c r="G31" s="5">
        <f>IF(OR(C31="",E31=""),0,IF(C31="Начисление по акту",E31,IF(OR(C31="Оплата",C31="Зачёт аванса по договору"),-E31,IF(C31="Корректировка (подписана обеими сторонами)",E31,0))))</f>
        <v/>
      </c>
      <c r="H31" s="5">
        <f>IF(OR(C31="Удержание",C31="Зачёт встречного требования",C31="Неустойка заявлена"),N(E31),0)</f>
        <v/>
      </c>
      <c r="I31" s="6">
        <f>IF(AND(B31="",C31="",D31="",E31="",F31=""),"",IF(OR(B31="",C31="",E31=""),"БЛОК: нужны дата, тип операции и сумма",IF(N(E31)&lt;=0,"БЛОК: сумма должна быть больше нуля",IF(AND(G31&lt;&gt;0,F31=""),"БЛОК: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нельзя",IF(AND(F31&lt;&gt;"",COUNTIF('Долг по актам'!$B$5:$B$34,F31)=0),"БЛОК: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договору")&gt;0)*($C$5:$C$504&lt;&gt;C31)*($E$5:$E$504=E31)*(($D$5:$D$504=D31)*(D31&lt;&gt;"")+($B$5:$B$504=B31)*(B31&lt;&gt;"")&gt;0))&gt;0,"БЛОК: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31" s="5">
        <f>IF(AND(B31="",C31="",E31=""),"",SUM($G$5:G31))</f>
        <v/>
      </c>
    </row>
    <row r="32">
      <c r="A32" s="6" t="n">
        <v>28</v>
      </c>
      <c r="B32" s="7" t="n"/>
      <c r="C32" s="8" t="n"/>
      <c r="D32" s="8" t="n"/>
      <c r="E32" s="9" t="n"/>
      <c r="F32" s="8" t="n"/>
      <c r="G32" s="5">
        <f>IF(OR(C32="",E32=""),0,IF(C32="Начисление по акту",E32,IF(OR(C32="Оплата",C32="Зачёт аванса по договору"),-E32,IF(C32="Корректировка (подписана обеими сторонами)",E32,0))))</f>
        <v/>
      </c>
      <c r="H32" s="5">
        <f>IF(OR(C32="Удержание",C32="Зачёт встречного требования",C32="Неустойка заявлена"),N(E32),0)</f>
        <v/>
      </c>
      <c r="I32" s="6">
        <f>IF(AND(B32="",C32="",D32="",E32="",F32=""),"",IF(OR(B32="",C32="",E32=""),"БЛОК: нужны дата, тип операции и сумма",IF(N(E32)&lt;=0,"БЛОК: сумма должна быть больше нуля",IF(AND(G32&lt;&gt;0,F32=""),"БЛОК: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нельзя",IF(AND(F32&lt;&gt;"",COUNTIF('Долг по актам'!$B$5:$B$34,F32)=0),"БЛОК: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договору")&gt;0)*($C$5:$C$504&lt;&gt;C32)*($E$5:$E$504=E32)*(($D$5:$D$504=D32)*(D32&lt;&gt;"")+($B$5:$B$504=B32)*(B32&lt;&gt;"")&gt;0))&gt;0,"БЛОК: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32" s="5">
        <f>IF(AND(B32="",C32="",E32=""),"",SUM($G$5:G32))</f>
        <v/>
      </c>
    </row>
    <row r="33">
      <c r="A33" s="6" t="n">
        <v>29</v>
      </c>
      <c r="B33" s="7" t="n"/>
      <c r="C33" s="8" t="n"/>
      <c r="D33" s="8" t="n"/>
      <c r="E33" s="9" t="n"/>
      <c r="F33" s="8" t="n"/>
      <c r="G33" s="5">
        <f>IF(OR(C33="",E33=""),0,IF(C33="Начисление по акту",E33,IF(OR(C33="Оплата",C33="Зачёт аванса по договору"),-E33,IF(C33="Корректировка (подписана обеими сторонами)",E33,0))))</f>
        <v/>
      </c>
      <c r="H33" s="5">
        <f>IF(OR(C33="Удержание",C33="Зачёт встречного требования",C33="Неустойка заявлена"),N(E33),0)</f>
        <v/>
      </c>
      <c r="I33" s="6">
        <f>IF(AND(B33="",C33="",D33="",E33="",F33=""),"",IF(OR(B33="",C33="",E33=""),"БЛОК: нужны дата, тип операции и сумма",IF(N(E33)&lt;=0,"БЛОК: сумма должна быть больше нуля",IF(AND(G33&lt;&gt;0,F33=""),"БЛОК: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нельзя",IF(AND(F33&lt;&gt;"",COUNTIF('Долг по актам'!$B$5:$B$34,F33)=0),"БЛОК: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договору")&gt;0)*($C$5:$C$504&lt;&gt;C33)*($E$5:$E$504=E33)*(($D$5:$D$504=D33)*(D33&lt;&gt;"")+($B$5:$B$504=B33)*(B33&lt;&gt;"")&gt;0))&gt;0,"БЛОК: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33" s="5">
        <f>IF(AND(B33="",C33="",E33=""),"",SUM($G$5:G33))</f>
        <v/>
      </c>
    </row>
    <row r="34">
      <c r="A34" s="6" t="n">
        <v>30</v>
      </c>
      <c r="B34" s="7" t="n"/>
      <c r="C34" s="8" t="n"/>
      <c r="D34" s="8" t="n"/>
      <c r="E34" s="9" t="n"/>
      <c r="F34" s="8" t="n"/>
      <c r="G34" s="5">
        <f>IF(OR(C34="",E34=""),0,IF(C34="Начисление по акту",E34,IF(OR(C34="Оплата",C34="Зачёт аванса по договору"),-E34,IF(C34="Корректировка (подписана обеими сторонами)",E34,0))))</f>
        <v/>
      </c>
      <c r="H34" s="5">
        <f>IF(OR(C34="Удержание",C34="Зачёт встречного требования",C34="Неустойка заявлена"),N(E34),0)</f>
        <v/>
      </c>
      <c r="I34" s="6">
        <f>IF(AND(B34="",C34="",D34="",E34="",F34=""),"",IF(OR(B34="",C34="",E34=""),"БЛОК: нужны дата, тип операции и сумма",IF(N(E34)&lt;=0,"БЛОК: сумма должна быть больше нуля",IF(AND(G34&lt;&gt;0,F34=""),"БЛОК: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нельзя",IF(AND(F34&lt;&gt;"",COUNTIF('Долг по актам'!$B$5:$B$34,F34)=0),"БЛОК: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договору")&gt;0)*($C$5:$C$504&lt;&gt;C34)*($E$5:$E$504=E34)*(($D$5:$D$504=D34)*(D34&lt;&gt;"")+($B$5:$B$504=B34)*(B34&lt;&gt;"")&gt;0))&gt;0,"БЛОК: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34" s="5">
        <f>IF(AND(B34="",C34="",E34=""),"",SUM($G$5:G34))</f>
        <v/>
      </c>
    </row>
    <row r="35">
      <c r="A35" s="6" t="n">
        <v>31</v>
      </c>
      <c r="B35" s="7" t="n"/>
      <c r="C35" s="8" t="n"/>
      <c r="D35" s="8" t="n"/>
      <c r="E35" s="9" t="n"/>
      <c r="F35" s="8" t="n"/>
      <c r="G35" s="5">
        <f>IF(OR(C35="",E35=""),0,IF(C35="Начисление по акту",E35,IF(OR(C35="Оплата",C35="Зачёт аванса по договору"),-E35,IF(C35="Корректировка (подписана обеими сторонами)",E35,0))))</f>
        <v/>
      </c>
      <c r="H35" s="5">
        <f>IF(OR(C35="Удержание",C35="Зачёт встречного требования",C35="Неустойка заявлена"),N(E35),0)</f>
        <v/>
      </c>
      <c r="I35" s="6">
        <f>IF(AND(B35="",C35="",D35="",E35="",F35=""),"",IF(OR(B35="",C35="",E35=""),"БЛОК: нужны дата, тип операции и сумма",IF(N(E35)&lt;=0,"БЛОК: сумма должна быть больше нуля",IF(AND(G35&lt;&gt;0,F35=""),"БЛОК: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нельзя",IF(AND(F35&lt;&gt;"",COUNTIF('Долг по актам'!$B$5:$B$34,F35)=0),"БЛОК: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договору")&gt;0)*($C$5:$C$504&lt;&gt;C35)*($E$5:$E$504=E35)*(($D$5:$D$504=D35)*(D35&lt;&gt;"")+($B$5:$B$504=B35)*(B35&lt;&gt;"")&gt;0))&gt;0,"БЛОК: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35" s="5">
        <f>IF(AND(B35="",C35="",E35=""),"",SUM($G$5:G35))</f>
        <v/>
      </c>
    </row>
    <row r="36">
      <c r="A36" s="6" t="n">
        <v>32</v>
      </c>
      <c r="B36" s="7" t="n"/>
      <c r="C36" s="8" t="n"/>
      <c r="D36" s="8" t="n"/>
      <c r="E36" s="9" t="n"/>
      <c r="F36" s="8" t="n"/>
      <c r="G36" s="5">
        <f>IF(OR(C36="",E36=""),0,IF(C36="Начисление по акту",E36,IF(OR(C36="Оплата",C36="Зачёт аванса по договору"),-E36,IF(C36="Корректировка (подписана обеими сторонами)",E36,0))))</f>
        <v/>
      </c>
      <c r="H36" s="5">
        <f>IF(OR(C36="Удержание",C36="Зачёт встречного требования",C36="Неустойка заявлена"),N(E36),0)</f>
        <v/>
      </c>
      <c r="I36" s="6">
        <f>IF(AND(B36="",C36="",D36="",E36="",F36=""),"",IF(OR(B36="",C36="",E36=""),"БЛОК: нужны дата, тип операции и сумма",IF(N(E36)&lt;=0,"БЛОК: сумма должна быть больше нуля",IF(AND(G36&lt;&gt;0,F36=""),"БЛОК: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нельзя",IF(AND(F36&lt;&gt;"",COUNTIF('Долг по актам'!$B$5:$B$34,F36)=0),"БЛОК: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договору")&gt;0)*($C$5:$C$504&lt;&gt;C36)*($E$5:$E$504=E36)*(($D$5:$D$504=D36)*(D36&lt;&gt;"")+($B$5:$B$504=B36)*(B36&lt;&gt;"")&gt;0))&gt;0,"БЛОК: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36" s="5">
        <f>IF(AND(B36="",C36="",E36=""),"",SUM($G$5:G36))</f>
        <v/>
      </c>
    </row>
    <row r="37">
      <c r="A37" s="6" t="n">
        <v>33</v>
      </c>
      <c r="B37" s="7" t="n"/>
      <c r="C37" s="8" t="n"/>
      <c r="D37" s="8" t="n"/>
      <c r="E37" s="9" t="n"/>
      <c r="F37" s="8" t="n"/>
      <c r="G37" s="5">
        <f>IF(OR(C37="",E37=""),0,IF(C37="Начисление по акту",E37,IF(OR(C37="Оплата",C37="Зачёт аванса по договору"),-E37,IF(C37="Корректировка (подписана обеими сторонами)",E37,0))))</f>
        <v/>
      </c>
      <c r="H37" s="5">
        <f>IF(OR(C37="Удержание",C37="Зачёт встречного требования",C37="Неустойка заявлена"),N(E37),0)</f>
        <v/>
      </c>
      <c r="I37" s="6">
        <f>IF(AND(B37="",C37="",D37="",E37="",F37=""),"",IF(OR(B37="",C37="",E37=""),"БЛОК: нужны дата, тип операции и сумма",IF(N(E37)&lt;=0,"БЛОК: сумма должна быть больше нуля",IF(AND(G37&lt;&gt;0,F37=""),"БЛОК: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нельзя",IF(AND(F37&lt;&gt;"",COUNTIF('Долг по актам'!$B$5:$B$34,F37)=0),"БЛОК: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договору")&gt;0)*($C$5:$C$504&lt;&gt;C37)*($E$5:$E$504=E37)*(($D$5:$D$504=D37)*(D37&lt;&gt;"")+($B$5:$B$504=B37)*(B37&lt;&gt;"")&gt;0))&gt;0,"БЛОК: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37" s="5">
        <f>IF(AND(B37="",C37="",E37=""),"",SUM($G$5:G37))</f>
        <v/>
      </c>
    </row>
    <row r="38">
      <c r="A38" s="6" t="n">
        <v>34</v>
      </c>
      <c r="B38" s="7" t="n"/>
      <c r="C38" s="8" t="n"/>
      <c r="D38" s="8" t="n"/>
      <c r="E38" s="9" t="n"/>
      <c r="F38" s="8" t="n"/>
      <c r="G38" s="5">
        <f>IF(OR(C38="",E38=""),0,IF(C38="Начисление по акту",E38,IF(OR(C38="Оплата",C38="Зачёт аванса по договору"),-E38,IF(C38="Корректировка (подписана обеими сторонами)",E38,0))))</f>
        <v/>
      </c>
      <c r="H38" s="5">
        <f>IF(OR(C38="Удержание",C38="Зачёт встречного требования",C38="Неустойка заявлена"),N(E38),0)</f>
        <v/>
      </c>
      <c r="I38" s="6">
        <f>IF(AND(B38="",C38="",D38="",E38="",F38=""),"",IF(OR(B38="",C38="",E38=""),"БЛОК: нужны дата, тип операции и сумма",IF(N(E38)&lt;=0,"БЛОК: сумма должна быть больше нуля",IF(AND(G38&lt;&gt;0,F38=""),"БЛОК: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нельзя",IF(AND(F38&lt;&gt;"",COUNTIF('Долг по актам'!$B$5:$B$34,F38)=0),"БЛОК: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договору")&gt;0)*($C$5:$C$504&lt;&gt;C38)*($E$5:$E$504=E38)*(($D$5:$D$504=D38)*(D38&lt;&gt;"")+($B$5:$B$504=B38)*(B38&lt;&gt;"")&gt;0))&gt;0,"БЛОК: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38" s="5">
        <f>IF(AND(B38="",C38="",E38=""),"",SUM($G$5:G38))</f>
        <v/>
      </c>
    </row>
    <row r="39">
      <c r="A39" s="6" t="n">
        <v>35</v>
      </c>
      <c r="B39" s="7" t="n"/>
      <c r="C39" s="8" t="n"/>
      <c r="D39" s="8" t="n"/>
      <c r="E39" s="9" t="n"/>
      <c r="F39" s="8" t="n"/>
      <c r="G39" s="5">
        <f>IF(OR(C39="",E39=""),0,IF(C39="Начисление по акту",E39,IF(OR(C39="Оплата",C39="Зачёт аванса по договору"),-E39,IF(C39="Корректировка (подписана обеими сторонами)",E39,0))))</f>
        <v/>
      </c>
      <c r="H39" s="5">
        <f>IF(OR(C39="Удержание",C39="Зачёт встречного требования",C39="Неустойка заявлена"),N(E39),0)</f>
        <v/>
      </c>
      <c r="I39" s="6">
        <f>IF(AND(B39="",C39="",D39="",E39="",F39=""),"",IF(OR(B39="",C39="",E39=""),"БЛОК: нужны дата, тип операции и сумма",IF(N(E39)&lt;=0,"БЛОК: сумма должна быть больше нуля",IF(AND(G39&lt;&gt;0,F39=""),"БЛОК: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нельзя",IF(AND(F39&lt;&gt;"",COUNTIF('Долг по актам'!$B$5:$B$34,F39)=0),"БЛОК: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договору")&gt;0)*($C$5:$C$504&lt;&gt;C39)*($E$5:$E$504=E39)*(($D$5:$D$504=D39)*(D39&lt;&gt;"")+($B$5:$B$504=B39)*(B39&lt;&gt;"")&gt;0))&gt;0,"БЛОК: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39" s="5">
        <f>IF(AND(B39="",C39="",E39=""),"",SUM($G$5:G39))</f>
        <v/>
      </c>
    </row>
    <row r="40">
      <c r="A40" s="6" t="n">
        <v>36</v>
      </c>
      <c r="B40" s="7" t="n"/>
      <c r="C40" s="8" t="n"/>
      <c r="D40" s="8" t="n"/>
      <c r="E40" s="9" t="n"/>
      <c r="F40" s="8" t="n"/>
      <c r="G40" s="5">
        <f>IF(OR(C40="",E40=""),0,IF(C40="Начисление по акту",E40,IF(OR(C40="Оплата",C40="Зачёт аванса по договору"),-E40,IF(C40="Корректировка (подписана обеими сторонами)",E40,0))))</f>
        <v/>
      </c>
      <c r="H40" s="5">
        <f>IF(OR(C40="Удержание",C40="Зачёт встречного требования",C40="Неустойка заявлена"),N(E40),0)</f>
        <v/>
      </c>
      <c r="I40" s="6">
        <f>IF(AND(B40="",C40="",D40="",E40="",F40=""),"",IF(OR(B40="",C40="",E40=""),"БЛОК: нужны дата, тип операции и сумма",IF(N(E40)&lt;=0,"БЛОК: сумма должна быть больше нуля",IF(AND(G40&lt;&gt;0,F40=""),"БЛОК: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нельзя",IF(AND(F40&lt;&gt;"",COUNTIF('Долг по актам'!$B$5:$B$34,F40)=0),"БЛОК: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договору")&gt;0)*($C$5:$C$504&lt;&gt;C40)*($E$5:$E$504=E40)*(($D$5:$D$504=D40)*(D40&lt;&gt;"")+($B$5:$B$504=B40)*(B40&lt;&gt;"")&gt;0))&gt;0,"БЛОК: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40" s="5">
        <f>IF(AND(B40="",C40="",E40=""),"",SUM($G$5:G40))</f>
        <v/>
      </c>
    </row>
    <row r="41">
      <c r="A41" s="6" t="n">
        <v>37</v>
      </c>
      <c r="B41" s="7" t="n"/>
      <c r="C41" s="8" t="n"/>
      <c r="D41" s="8" t="n"/>
      <c r="E41" s="9" t="n"/>
      <c r="F41" s="8" t="n"/>
      <c r="G41" s="5">
        <f>IF(OR(C41="",E41=""),0,IF(C41="Начисление по акту",E41,IF(OR(C41="Оплата",C41="Зачёт аванса по договору"),-E41,IF(C41="Корректировка (подписана обеими сторонами)",E41,0))))</f>
        <v/>
      </c>
      <c r="H41" s="5">
        <f>IF(OR(C41="Удержание",C41="Зачёт встречного требования",C41="Неустойка заявлена"),N(E41),0)</f>
        <v/>
      </c>
      <c r="I41" s="6">
        <f>IF(AND(B41="",C41="",D41="",E41="",F41=""),"",IF(OR(B41="",C41="",E41=""),"БЛОК: нужны дата, тип операции и сумма",IF(N(E41)&lt;=0,"БЛОК: сумма должна быть больше нуля",IF(AND(G41&lt;&gt;0,F41=""),"БЛОК: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нельзя",IF(AND(F41&lt;&gt;"",COUNTIF('Долг по актам'!$B$5:$B$34,F41)=0),"БЛОК: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договору")&gt;0)*($C$5:$C$504&lt;&gt;C41)*($E$5:$E$504=E41)*(($D$5:$D$504=D41)*(D41&lt;&gt;"")+($B$5:$B$504=B41)*(B41&lt;&gt;"")&gt;0))&gt;0,"БЛОК: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41" s="5">
        <f>IF(AND(B41="",C41="",E41=""),"",SUM($G$5:G41))</f>
        <v/>
      </c>
    </row>
    <row r="42">
      <c r="A42" s="6" t="n">
        <v>38</v>
      </c>
      <c r="B42" s="7" t="n"/>
      <c r="C42" s="8" t="n"/>
      <c r="D42" s="8" t="n"/>
      <c r="E42" s="9" t="n"/>
      <c r="F42" s="8" t="n"/>
      <c r="G42" s="5">
        <f>IF(OR(C42="",E42=""),0,IF(C42="Начисление по акту",E42,IF(OR(C42="Оплата",C42="Зачёт аванса по договору"),-E42,IF(C42="Корректировка (подписана обеими сторонами)",E42,0))))</f>
        <v/>
      </c>
      <c r="H42" s="5">
        <f>IF(OR(C42="Удержание",C42="Зачёт встречного требования",C42="Неустойка заявлена"),N(E42),0)</f>
        <v/>
      </c>
      <c r="I42" s="6">
        <f>IF(AND(B42="",C42="",D42="",E42="",F42=""),"",IF(OR(B42="",C42="",E42=""),"БЛОК: нужны дата, тип операции и сумма",IF(N(E42)&lt;=0,"БЛОК: сумма должна быть больше нуля",IF(AND(G42&lt;&gt;0,F42=""),"БЛОК: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нельзя",IF(AND(F42&lt;&gt;"",COUNTIF('Долг по актам'!$B$5:$B$34,F42)=0),"БЛОК: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договору")&gt;0)*($C$5:$C$504&lt;&gt;C42)*($E$5:$E$504=E42)*(($D$5:$D$504=D42)*(D42&lt;&gt;"")+($B$5:$B$504=B42)*(B42&lt;&gt;"")&gt;0))&gt;0,"БЛОК: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42" s="5">
        <f>IF(AND(B42="",C42="",E42=""),"",SUM($G$5:G42))</f>
        <v/>
      </c>
    </row>
    <row r="43">
      <c r="A43" s="6" t="n">
        <v>39</v>
      </c>
      <c r="B43" s="7" t="n"/>
      <c r="C43" s="8" t="n"/>
      <c r="D43" s="8" t="n"/>
      <c r="E43" s="9" t="n"/>
      <c r="F43" s="8" t="n"/>
      <c r="G43" s="5">
        <f>IF(OR(C43="",E43=""),0,IF(C43="Начисление по акту",E43,IF(OR(C43="Оплата",C43="Зачёт аванса по договору"),-E43,IF(C43="Корректировка (подписана обеими сторонами)",E43,0))))</f>
        <v/>
      </c>
      <c r="H43" s="5">
        <f>IF(OR(C43="Удержание",C43="Зачёт встречного требования",C43="Неустойка заявлена"),N(E43),0)</f>
        <v/>
      </c>
      <c r="I43" s="6">
        <f>IF(AND(B43="",C43="",D43="",E43="",F43=""),"",IF(OR(B43="",C43="",E43=""),"БЛОК: нужны дата, тип операции и сумма",IF(N(E43)&lt;=0,"БЛОК: сумма должна быть больше нуля",IF(AND(G43&lt;&gt;0,F43=""),"БЛОК: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нельзя",IF(AND(F43&lt;&gt;"",COUNTIF('Долг по актам'!$B$5:$B$34,F43)=0),"БЛОК: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договору")&gt;0)*($C$5:$C$504&lt;&gt;C43)*($E$5:$E$504=E43)*(($D$5:$D$504=D43)*(D43&lt;&gt;"")+($B$5:$B$504=B43)*(B43&lt;&gt;"")&gt;0))&gt;0,"БЛОК: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43" s="5">
        <f>IF(AND(B43="",C43="",E43=""),"",SUM($G$5:G43))</f>
        <v/>
      </c>
    </row>
    <row r="44">
      <c r="A44" s="6" t="n">
        <v>40</v>
      </c>
      <c r="B44" s="7" t="n"/>
      <c r="C44" s="8" t="n"/>
      <c r="D44" s="8" t="n"/>
      <c r="E44" s="9" t="n"/>
      <c r="F44" s="8" t="n"/>
      <c r="G44" s="5">
        <f>IF(OR(C44="",E44=""),0,IF(C44="Начисление по акту",E44,IF(OR(C44="Оплата",C44="Зачёт аванса по договору"),-E44,IF(C44="Корректировка (подписана обеими сторонами)",E44,0))))</f>
        <v/>
      </c>
      <c r="H44" s="5">
        <f>IF(OR(C44="Удержание",C44="Зачёт встречного требования",C44="Неустойка заявлена"),N(E44),0)</f>
        <v/>
      </c>
      <c r="I44" s="6">
        <f>IF(AND(B44="",C44="",D44="",E44="",F44=""),"",IF(OR(B44="",C44="",E44=""),"БЛОК: нужны дата, тип операции и сумма",IF(N(E44)&lt;=0,"БЛОК: сумма должна быть больше нуля",IF(AND(G44&lt;&gt;0,F44=""),"БЛОК: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нельзя",IF(AND(F44&lt;&gt;"",COUNTIF('Долг по актам'!$B$5:$B$34,F44)=0),"БЛОК: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договору")&gt;0)*($C$5:$C$504&lt;&gt;C44)*($E$5:$E$504=E44)*(($D$5:$D$504=D44)*(D44&lt;&gt;"")+($B$5:$B$504=B44)*(B44&lt;&gt;"")&gt;0))&gt;0,"БЛОК: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44" s="5">
        <f>IF(AND(B44="",C44="",E44=""),"",SUM($G$5:G44))</f>
        <v/>
      </c>
    </row>
    <row r="45">
      <c r="A45" s="6" t="n">
        <v>41</v>
      </c>
      <c r="B45" s="7" t="n"/>
      <c r="C45" s="8" t="n"/>
      <c r="D45" s="8" t="n"/>
      <c r="E45" s="9" t="n"/>
      <c r="F45" s="8" t="n"/>
      <c r="G45" s="5">
        <f>IF(OR(C45="",E45=""),0,IF(C45="Начисление по акту",E45,IF(OR(C45="Оплата",C45="Зачёт аванса по договору"),-E45,IF(C45="Корректировка (подписана обеими сторонами)",E45,0))))</f>
        <v/>
      </c>
      <c r="H45" s="5">
        <f>IF(OR(C45="Удержание",C45="Зачёт встречного требования",C45="Неустойка заявлена"),N(E45),0)</f>
        <v/>
      </c>
      <c r="I45" s="6">
        <f>IF(AND(B45="",C45="",D45="",E45="",F45=""),"",IF(OR(B45="",C45="",E45=""),"БЛОК: нужны дата, тип операции и сумма",IF(N(E45)&lt;=0,"БЛОК: сумма должна быть больше нуля",IF(AND(G45&lt;&gt;0,F45=""),"БЛОК: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нельзя",IF(AND(F45&lt;&gt;"",COUNTIF('Долг по актам'!$B$5:$B$34,F45)=0),"БЛОК: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договору")&gt;0)*($C$5:$C$504&lt;&gt;C45)*($E$5:$E$504=E45)*(($D$5:$D$504=D45)*(D45&lt;&gt;"")+($B$5:$B$504=B45)*(B45&lt;&gt;"")&gt;0))&gt;0,"БЛОК: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45" s="5">
        <f>IF(AND(B45="",C45="",E45=""),"",SUM($G$5:G45))</f>
        <v/>
      </c>
    </row>
    <row r="46">
      <c r="A46" s="6" t="n">
        <v>42</v>
      </c>
      <c r="B46" s="7" t="n"/>
      <c r="C46" s="8" t="n"/>
      <c r="D46" s="8" t="n"/>
      <c r="E46" s="9" t="n"/>
      <c r="F46" s="8" t="n"/>
      <c r="G46" s="5">
        <f>IF(OR(C46="",E46=""),0,IF(C46="Начисление по акту",E46,IF(OR(C46="Оплата",C46="Зачёт аванса по договору"),-E46,IF(C46="Корректировка (подписана обеими сторонами)",E46,0))))</f>
        <v/>
      </c>
      <c r="H46" s="5">
        <f>IF(OR(C46="Удержание",C46="Зачёт встречного требования",C46="Неустойка заявлена"),N(E46),0)</f>
        <v/>
      </c>
      <c r="I46" s="6">
        <f>IF(AND(B46="",C46="",D46="",E46="",F46=""),"",IF(OR(B46="",C46="",E46=""),"БЛОК: нужны дата, тип операции и сумма",IF(N(E46)&lt;=0,"БЛОК: сумма должна быть больше нуля",IF(AND(G46&lt;&gt;0,F46=""),"БЛОК: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нельзя",IF(AND(F46&lt;&gt;"",COUNTIF('Долг по актам'!$B$5:$B$34,F46)=0),"БЛОК: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договору")&gt;0)*($C$5:$C$504&lt;&gt;C46)*($E$5:$E$504=E46)*(($D$5:$D$504=D46)*(D46&lt;&gt;"")+($B$5:$B$504=B46)*(B46&lt;&gt;"")&gt;0))&gt;0,"БЛОК: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46" s="5">
        <f>IF(AND(B46="",C46="",E46=""),"",SUM($G$5:G46))</f>
        <v/>
      </c>
    </row>
    <row r="47">
      <c r="A47" s="6" t="n">
        <v>43</v>
      </c>
      <c r="B47" s="7" t="n"/>
      <c r="C47" s="8" t="n"/>
      <c r="D47" s="8" t="n"/>
      <c r="E47" s="9" t="n"/>
      <c r="F47" s="8" t="n"/>
      <c r="G47" s="5">
        <f>IF(OR(C47="",E47=""),0,IF(C47="Начисление по акту",E47,IF(OR(C47="Оплата",C47="Зачёт аванса по договору"),-E47,IF(C47="Корректировка (подписана обеими сторонами)",E47,0))))</f>
        <v/>
      </c>
      <c r="H47" s="5">
        <f>IF(OR(C47="Удержание",C47="Зачёт встречного требования",C47="Неустойка заявлена"),N(E47),0)</f>
        <v/>
      </c>
      <c r="I47" s="6">
        <f>IF(AND(B47="",C47="",D47="",E47="",F47=""),"",IF(OR(B47="",C47="",E47=""),"БЛОК: нужны дата, тип операции и сумма",IF(N(E47)&lt;=0,"БЛОК: сумма должна быть больше нуля",IF(AND(G47&lt;&gt;0,F47=""),"БЛОК: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нельзя",IF(AND(F47&lt;&gt;"",COUNTIF('Долг по актам'!$B$5:$B$34,F47)=0),"БЛОК: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договору")&gt;0)*($C$5:$C$504&lt;&gt;C47)*($E$5:$E$504=E47)*(($D$5:$D$504=D47)*(D47&lt;&gt;"")+($B$5:$B$504=B47)*(B47&lt;&gt;"")&gt;0))&gt;0,"БЛОК: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47" s="5">
        <f>IF(AND(B47="",C47="",E47=""),"",SUM($G$5:G47))</f>
        <v/>
      </c>
    </row>
    <row r="48">
      <c r="A48" s="6" t="n">
        <v>44</v>
      </c>
      <c r="B48" s="7" t="n"/>
      <c r="C48" s="8" t="n"/>
      <c r="D48" s="8" t="n"/>
      <c r="E48" s="9" t="n"/>
      <c r="F48" s="8" t="n"/>
      <c r="G48" s="5">
        <f>IF(OR(C48="",E48=""),0,IF(C48="Начисление по акту",E48,IF(OR(C48="Оплата",C48="Зачёт аванса по договору"),-E48,IF(C48="Корректировка (подписана обеими сторонами)",E48,0))))</f>
        <v/>
      </c>
      <c r="H48" s="5">
        <f>IF(OR(C48="Удержание",C48="Зачёт встречного требования",C48="Неустойка заявлена"),N(E48),0)</f>
        <v/>
      </c>
      <c r="I48" s="6">
        <f>IF(AND(B48="",C48="",D48="",E48="",F48=""),"",IF(OR(B48="",C48="",E48=""),"БЛОК: нужны дата, тип операции и сумма",IF(N(E48)&lt;=0,"БЛОК: сумма должна быть больше нуля",IF(AND(G48&lt;&gt;0,F48=""),"БЛОК: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нельзя",IF(AND(F48&lt;&gt;"",COUNTIF('Долг по актам'!$B$5:$B$34,F48)=0),"БЛОК: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договору")&gt;0)*($C$5:$C$504&lt;&gt;C48)*($E$5:$E$504=E48)*(($D$5:$D$504=D48)*(D48&lt;&gt;"")+($B$5:$B$504=B48)*(B48&lt;&gt;"")&gt;0))&gt;0,"БЛОК: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48" s="5">
        <f>IF(AND(B48="",C48="",E48=""),"",SUM($G$5:G48))</f>
        <v/>
      </c>
    </row>
    <row r="49">
      <c r="A49" s="6" t="n">
        <v>45</v>
      </c>
      <c r="B49" s="7" t="n"/>
      <c r="C49" s="8" t="n"/>
      <c r="D49" s="8" t="n"/>
      <c r="E49" s="9" t="n"/>
      <c r="F49" s="8" t="n"/>
      <c r="G49" s="5">
        <f>IF(OR(C49="",E49=""),0,IF(C49="Начисление по акту",E49,IF(OR(C49="Оплата",C49="Зачёт аванса по договору"),-E49,IF(C49="Корректировка (подписана обеими сторонами)",E49,0))))</f>
        <v/>
      </c>
      <c r="H49" s="5">
        <f>IF(OR(C49="Удержание",C49="Зачёт встречного требования",C49="Неустойка заявлена"),N(E49),0)</f>
        <v/>
      </c>
      <c r="I49" s="6">
        <f>IF(AND(B49="",C49="",D49="",E49="",F49=""),"",IF(OR(B49="",C49="",E49=""),"БЛОК: нужны дата, тип операции и сумма",IF(N(E49)&lt;=0,"БЛОК: сумма должна быть больше нуля",IF(AND(G49&lt;&gt;0,F49=""),"БЛОК: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нельзя",IF(AND(F49&lt;&gt;"",COUNTIF('Долг по актам'!$B$5:$B$34,F49)=0),"БЛОК: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договору")&gt;0)*($C$5:$C$504&lt;&gt;C49)*($E$5:$E$504=E49)*(($D$5:$D$504=D49)*(D49&lt;&gt;"")+($B$5:$B$504=B49)*(B49&lt;&gt;"")&gt;0))&gt;0,"БЛОК: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49" s="5">
        <f>IF(AND(B49="",C49="",E49=""),"",SUM($G$5:G49))</f>
        <v/>
      </c>
    </row>
    <row r="50">
      <c r="A50" s="6" t="n">
        <v>46</v>
      </c>
      <c r="B50" s="7" t="n"/>
      <c r="C50" s="8" t="n"/>
      <c r="D50" s="8" t="n"/>
      <c r="E50" s="9" t="n"/>
      <c r="F50" s="8" t="n"/>
      <c r="G50" s="5">
        <f>IF(OR(C50="",E50=""),0,IF(C50="Начисление по акту",E50,IF(OR(C50="Оплата",C50="Зачёт аванса по договору"),-E50,IF(C50="Корректировка (подписана обеими сторонами)",E50,0))))</f>
        <v/>
      </c>
      <c r="H50" s="5">
        <f>IF(OR(C50="Удержание",C50="Зачёт встречного требования",C50="Неустойка заявлена"),N(E50),0)</f>
        <v/>
      </c>
      <c r="I50" s="6">
        <f>IF(AND(B50="",C50="",D50="",E50="",F50=""),"",IF(OR(B50="",C50="",E50=""),"БЛОК: нужны дата, тип операции и сумма",IF(N(E50)&lt;=0,"БЛОК: сумма должна быть больше нуля",IF(AND(G50&lt;&gt;0,F50=""),"БЛОК: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нельзя",IF(AND(F50&lt;&gt;"",COUNTIF('Долг по актам'!$B$5:$B$34,F50)=0),"БЛОК: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договору")&gt;0)*($C$5:$C$504&lt;&gt;C50)*($E$5:$E$504=E50)*(($D$5:$D$504=D50)*(D50&lt;&gt;"")+($B$5:$B$504=B50)*(B50&lt;&gt;"")&gt;0))&gt;0,"БЛОК: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50" s="5">
        <f>IF(AND(B50="",C50="",E50=""),"",SUM($G$5:G50))</f>
        <v/>
      </c>
    </row>
    <row r="51">
      <c r="A51" s="6" t="n">
        <v>47</v>
      </c>
      <c r="B51" s="7" t="n"/>
      <c r="C51" s="8" t="n"/>
      <c r="D51" s="8" t="n"/>
      <c r="E51" s="9" t="n"/>
      <c r="F51" s="8" t="n"/>
      <c r="G51" s="5">
        <f>IF(OR(C51="",E51=""),0,IF(C51="Начисление по акту",E51,IF(OR(C51="Оплата",C51="Зачёт аванса по договору"),-E51,IF(C51="Корректировка (подписана обеими сторонами)",E51,0))))</f>
        <v/>
      </c>
      <c r="H51" s="5">
        <f>IF(OR(C51="Удержание",C51="Зачёт встречного требования",C51="Неустойка заявлена"),N(E51),0)</f>
        <v/>
      </c>
      <c r="I51" s="6">
        <f>IF(AND(B51="",C51="",D51="",E51="",F51=""),"",IF(OR(B51="",C51="",E51=""),"БЛОК: нужны дата, тип операции и сумма",IF(N(E51)&lt;=0,"БЛОК: сумма должна быть больше нуля",IF(AND(G51&lt;&gt;0,F51=""),"БЛОК: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нельзя",IF(AND(F51&lt;&gt;"",COUNTIF('Долг по актам'!$B$5:$B$34,F51)=0),"БЛОК: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договору")&gt;0)*($C$5:$C$504&lt;&gt;C51)*($E$5:$E$504=E51)*(($D$5:$D$504=D51)*(D51&lt;&gt;"")+($B$5:$B$504=B51)*(B51&lt;&gt;"")&gt;0))&gt;0,"БЛОК: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51" s="5">
        <f>IF(AND(B51="",C51="",E51=""),"",SUM($G$5:G51))</f>
        <v/>
      </c>
    </row>
    <row r="52">
      <c r="A52" s="6" t="n">
        <v>48</v>
      </c>
      <c r="B52" s="7" t="n"/>
      <c r="C52" s="8" t="n"/>
      <c r="D52" s="8" t="n"/>
      <c r="E52" s="9" t="n"/>
      <c r="F52" s="8" t="n"/>
      <c r="G52" s="5">
        <f>IF(OR(C52="",E52=""),0,IF(C52="Начисление по акту",E52,IF(OR(C52="Оплата",C52="Зачёт аванса по договору"),-E52,IF(C52="Корректировка (подписана обеими сторонами)",E52,0))))</f>
        <v/>
      </c>
      <c r="H52" s="5">
        <f>IF(OR(C52="Удержание",C52="Зачёт встречного требования",C52="Неустойка заявлена"),N(E52),0)</f>
        <v/>
      </c>
      <c r="I52" s="6">
        <f>IF(AND(B52="",C52="",D52="",E52="",F52=""),"",IF(OR(B52="",C52="",E52=""),"БЛОК: нужны дата, тип операции и сумма",IF(N(E52)&lt;=0,"БЛОК: сумма должна быть больше нуля",IF(AND(G52&lt;&gt;0,F52=""),"БЛОК: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нельзя",IF(AND(F52&lt;&gt;"",COUNTIF('Долг по актам'!$B$5:$B$34,F52)=0),"БЛОК: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договору")&gt;0)*($C$5:$C$504&lt;&gt;C52)*($E$5:$E$504=E52)*(($D$5:$D$504=D52)*(D52&lt;&gt;"")+($B$5:$B$504=B52)*(B52&lt;&gt;"")&gt;0))&gt;0,"БЛОК: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52" s="5">
        <f>IF(AND(B52="",C52="",E52=""),"",SUM($G$5:G52))</f>
        <v/>
      </c>
    </row>
    <row r="53">
      <c r="A53" s="6" t="n">
        <v>49</v>
      </c>
      <c r="B53" s="7" t="n"/>
      <c r="C53" s="8" t="n"/>
      <c r="D53" s="8" t="n"/>
      <c r="E53" s="9" t="n"/>
      <c r="F53" s="8" t="n"/>
      <c r="G53" s="5">
        <f>IF(OR(C53="",E53=""),0,IF(C53="Начисление по акту",E53,IF(OR(C53="Оплата",C53="Зачёт аванса по договору"),-E53,IF(C53="Корректировка (подписана обеими сторонами)",E53,0))))</f>
        <v/>
      </c>
      <c r="H53" s="5">
        <f>IF(OR(C53="Удержание",C53="Зачёт встречного требования",C53="Неустойка заявлена"),N(E53),0)</f>
        <v/>
      </c>
      <c r="I53" s="6">
        <f>IF(AND(B53="",C53="",D53="",E53="",F53=""),"",IF(OR(B53="",C53="",E53=""),"БЛОК: нужны дата, тип операции и сумма",IF(N(E53)&lt;=0,"БЛОК: сумма должна быть больше нуля",IF(AND(G53&lt;&gt;0,F53=""),"БЛОК: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нельзя",IF(AND(F53&lt;&gt;"",COUNTIF('Долг по актам'!$B$5:$B$34,F53)=0),"БЛОК: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договору")&gt;0)*($C$5:$C$504&lt;&gt;C53)*($E$5:$E$504=E53)*(($D$5:$D$504=D53)*(D53&lt;&gt;"")+($B$5:$B$504=B53)*(B53&lt;&gt;"")&gt;0))&gt;0,"БЛОК: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53" s="5">
        <f>IF(AND(B53="",C53="",E53=""),"",SUM($G$5:G53))</f>
        <v/>
      </c>
    </row>
    <row r="54">
      <c r="A54" s="6" t="n">
        <v>50</v>
      </c>
      <c r="B54" s="7" t="n"/>
      <c r="C54" s="8" t="n"/>
      <c r="D54" s="8" t="n"/>
      <c r="E54" s="9" t="n"/>
      <c r="F54" s="8" t="n"/>
      <c r="G54" s="5">
        <f>IF(OR(C54="",E54=""),0,IF(C54="Начисление по акту",E54,IF(OR(C54="Оплата",C54="Зачёт аванса по договору"),-E54,IF(C54="Корректировка (подписана обеими сторонами)",E54,0))))</f>
        <v/>
      </c>
      <c r="H54" s="5">
        <f>IF(OR(C54="Удержание",C54="Зачёт встречного требования",C54="Неустойка заявлена"),N(E54),0)</f>
        <v/>
      </c>
      <c r="I54" s="6">
        <f>IF(AND(B54="",C54="",D54="",E54="",F54=""),"",IF(OR(B54="",C54="",E54=""),"БЛОК: нужны дата, тип операции и сумма",IF(N(E54)&lt;=0,"БЛОК: сумма должна быть больше нуля",IF(AND(G54&lt;&gt;0,F54=""),"БЛОК: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нельзя",IF(AND(F54&lt;&gt;"",COUNTIF('Долг по актам'!$B$5:$B$34,F54)=0),"БЛОК: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договору")&gt;0)*($C$5:$C$504&lt;&gt;C54)*($E$5:$E$504=E54)*(($D$5:$D$504=D54)*(D54&lt;&gt;"")+($B$5:$B$504=B54)*(B54&lt;&gt;"")&gt;0))&gt;0,"БЛОК: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54" s="5">
        <f>IF(AND(B54="",C54="",E54=""),"",SUM($G$5:G54))</f>
        <v/>
      </c>
    </row>
    <row r="55">
      <c r="A55" s="6" t="n">
        <v>51</v>
      </c>
      <c r="B55" s="7" t="n"/>
      <c r="C55" s="8" t="n"/>
      <c r="D55" s="8" t="n"/>
      <c r="E55" s="9" t="n"/>
      <c r="F55" s="8" t="n"/>
      <c r="G55" s="5">
        <f>IF(OR(C55="",E55=""),0,IF(C55="Начисление по акту",E55,IF(OR(C55="Оплата",C55="Зачёт аванса по договору"),-E55,IF(C55="Корректировка (подписана обеими сторонами)",E55,0))))</f>
        <v/>
      </c>
      <c r="H55" s="5">
        <f>IF(OR(C55="Удержание",C55="Зачёт встречного требования",C55="Неустойка заявлена"),N(E55),0)</f>
        <v/>
      </c>
      <c r="I55" s="6">
        <f>IF(AND(B55="",C55="",D55="",E55="",F55=""),"",IF(OR(B55="",C55="",E55=""),"БЛОК: нужны дата, тип операции и сумма",IF(N(E55)&lt;=0,"БЛОК: сумма должна быть больше нуля",IF(AND(G55&lt;&gt;0,F55=""),"БЛОК: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нельзя",IF(AND(F55&lt;&gt;"",COUNTIF('Долг по актам'!$B$5:$B$34,F55)=0),"БЛОК: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договору")&gt;0)*($C$5:$C$504&lt;&gt;C55)*($E$5:$E$504=E55)*(($D$5:$D$504=D55)*(D55&lt;&gt;"")+($B$5:$B$504=B55)*(B55&lt;&gt;"")&gt;0))&gt;0,"БЛОК: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55" s="5">
        <f>IF(AND(B55="",C55="",E55=""),"",SUM($G$5:G55))</f>
        <v/>
      </c>
    </row>
    <row r="56">
      <c r="A56" s="6" t="n">
        <v>52</v>
      </c>
      <c r="B56" s="7" t="n"/>
      <c r="C56" s="8" t="n"/>
      <c r="D56" s="8" t="n"/>
      <c r="E56" s="9" t="n"/>
      <c r="F56" s="8" t="n"/>
      <c r="G56" s="5">
        <f>IF(OR(C56="",E56=""),0,IF(C56="Начисление по акту",E56,IF(OR(C56="Оплата",C56="Зачёт аванса по договору"),-E56,IF(C56="Корректировка (подписана обеими сторонами)",E56,0))))</f>
        <v/>
      </c>
      <c r="H56" s="5">
        <f>IF(OR(C56="Удержание",C56="Зачёт встречного требования",C56="Неустойка заявлена"),N(E56),0)</f>
        <v/>
      </c>
      <c r="I56" s="6">
        <f>IF(AND(B56="",C56="",D56="",E56="",F56=""),"",IF(OR(B56="",C56="",E56=""),"БЛОК: нужны дата, тип операции и сумма",IF(N(E56)&lt;=0,"БЛОК: сумма должна быть больше нуля",IF(AND(G56&lt;&gt;0,F56=""),"БЛОК: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нельзя",IF(AND(F56&lt;&gt;"",COUNTIF('Долг по актам'!$B$5:$B$34,F56)=0),"БЛОК: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договору")&gt;0)*($C$5:$C$504&lt;&gt;C56)*($E$5:$E$504=E56)*(($D$5:$D$504=D56)*(D56&lt;&gt;"")+($B$5:$B$504=B56)*(B56&lt;&gt;"")&gt;0))&gt;0,"БЛОК: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56" s="5">
        <f>IF(AND(B56="",C56="",E56=""),"",SUM($G$5:G56))</f>
        <v/>
      </c>
    </row>
    <row r="57">
      <c r="A57" s="6" t="n">
        <v>53</v>
      </c>
      <c r="B57" s="7" t="n"/>
      <c r="C57" s="8" t="n"/>
      <c r="D57" s="8" t="n"/>
      <c r="E57" s="9" t="n"/>
      <c r="F57" s="8" t="n"/>
      <c r="G57" s="5">
        <f>IF(OR(C57="",E57=""),0,IF(C57="Начисление по акту",E57,IF(OR(C57="Оплата",C57="Зачёт аванса по договору"),-E57,IF(C57="Корректировка (подписана обеими сторонами)",E57,0))))</f>
        <v/>
      </c>
      <c r="H57" s="5">
        <f>IF(OR(C57="Удержание",C57="Зачёт встречного требования",C57="Неустойка заявлена"),N(E57),0)</f>
        <v/>
      </c>
      <c r="I57" s="6">
        <f>IF(AND(B57="",C57="",D57="",E57="",F57=""),"",IF(OR(B57="",C57="",E57=""),"БЛОК: нужны дата, тип операции и сумма",IF(N(E57)&lt;=0,"БЛОК: сумма должна быть больше нуля",IF(AND(G57&lt;&gt;0,F57=""),"БЛОК: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нельзя",IF(AND(F57&lt;&gt;"",COUNTIF('Долг по актам'!$B$5:$B$34,F57)=0),"БЛОК: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договору")&gt;0)*($C$5:$C$504&lt;&gt;C57)*($E$5:$E$504=E57)*(($D$5:$D$504=D57)*(D57&lt;&gt;"")+($B$5:$B$504=B57)*(B57&lt;&gt;"")&gt;0))&gt;0,"БЛОК: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57" s="5">
        <f>IF(AND(B57="",C57="",E57=""),"",SUM($G$5:G57))</f>
        <v/>
      </c>
    </row>
    <row r="58">
      <c r="A58" s="6" t="n">
        <v>54</v>
      </c>
      <c r="B58" s="7" t="n"/>
      <c r="C58" s="8" t="n"/>
      <c r="D58" s="8" t="n"/>
      <c r="E58" s="9" t="n"/>
      <c r="F58" s="8" t="n"/>
      <c r="G58" s="5">
        <f>IF(OR(C58="",E58=""),0,IF(C58="Начисление по акту",E58,IF(OR(C58="Оплата",C58="Зачёт аванса по договору"),-E58,IF(C58="Корректировка (подписана обеими сторонами)",E58,0))))</f>
        <v/>
      </c>
      <c r="H58" s="5">
        <f>IF(OR(C58="Удержание",C58="Зачёт встречного требования",C58="Неустойка заявлена"),N(E58),0)</f>
        <v/>
      </c>
      <c r="I58" s="6">
        <f>IF(AND(B58="",C58="",D58="",E58="",F58=""),"",IF(OR(B58="",C58="",E58=""),"БЛОК: нужны дата, тип операции и сумма",IF(N(E58)&lt;=0,"БЛОК: сумма должна быть больше нуля",IF(AND(G58&lt;&gt;0,F58=""),"БЛОК: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нельзя",IF(AND(F58&lt;&gt;"",COUNTIF('Долг по актам'!$B$5:$B$34,F58)=0),"БЛОК: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договору")&gt;0)*($C$5:$C$504&lt;&gt;C58)*($E$5:$E$504=E58)*(($D$5:$D$504=D58)*(D58&lt;&gt;"")+($B$5:$B$504=B58)*(B58&lt;&gt;"")&gt;0))&gt;0,"БЛОК: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58" s="5">
        <f>IF(AND(B58="",C58="",E58=""),"",SUM($G$5:G58))</f>
        <v/>
      </c>
    </row>
    <row r="59">
      <c r="A59" s="6" t="n">
        <v>55</v>
      </c>
      <c r="B59" s="7" t="n"/>
      <c r="C59" s="8" t="n"/>
      <c r="D59" s="8" t="n"/>
      <c r="E59" s="9" t="n"/>
      <c r="F59" s="8" t="n"/>
      <c r="G59" s="5">
        <f>IF(OR(C59="",E59=""),0,IF(C59="Начисление по акту",E59,IF(OR(C59="Оплата",C59="Зачёт аванса по договору"),-E59,IF(C59="Корректировка (подписана обеими сторонами)",E59,0))))</f>
        <v/>
      </c>
      <c r="H59" s="5">
        <f>IF(OR(C59="Удержание",C59="Зачёт встречного требования",C59="Неустойка заявлена"),N(E59),0)</f>
        <v/>
      </c>
      <c r="I59" s="6">
        <f>IF(AND(B59="",C59="",D59="",E59="",F59=""),"",IF(OR(B59="",C59="",E59=""),"БЛОК: нужны дата, тип операции и сумма",IF(N(E59)&lt;=0,"БЛОК: сумма должна быть больше нуля",IF(AND(G59&lt;&gt;0,F59=""),"БЛОК: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нельзя",IF(AND(F59&lt;&gt;"",COUNTIF('Долг по актам'!$B$5:$B$34,F59)=0),"БЛОК: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договору")&gt;0)*($C$5:$C$504&lt;&gt;C59)*($E$5:$E$504=E59)*(($D$5:$D$504=D59)*(D59&lt;&gt;"")+($B$5:$B$504=B59)*(B59&lt;&gt;"")&gt;0))&gt;0,"БЛОК: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59" s="5">
        <f>IF(AND(B59="",C59="",E59=""),"",SUM($G$5:G59))</f>
        <v/>
      </c>
    </row>
    <row r="60">
      <c r="A60" s="6" t="n">
        <v>56</v>
      </c>
      <c r="B60" s="7" t="n"/>
      <c r="C60" s="8" t="n"/>
      <c r="D60" s="8" t="n"/>
      <c r="E60" s="9" t="n"/>
      <c r="F60" s="8" t="n"/>
      <c r="G60" s="5">
        <f>IF(OR(C60="",E60=""),0,IF(C60="Начисление по акту",E60,IF(OR(C60="Оплата",C60="Зачёт аванса по договору"),-E60,IF(C60="Корректировка (подписана обеими сторонами)",E60,0))))</f>
        <v/>
      </c>
      <c r="H60" s="5">
        <f>IF(OR(C60="Удержание",C60="Зачёт встречного требования",C60="Неустойка заявлена"),N(E60),0)</f>
        <v/>
      </c>
      <c r="I60" s="6">
        <f>IF(AND(B60="",C60="",D60="",E60="",F60=""),"",IF(OR(B60="",C60="",E60=""),"БЛОК: нужны дата, тип операции и сумма",IF(N(E60)&lt;=0,"БЛОК: сумма должна быть больше нуля",IF(AND(G60&lt;&gt;0,F60=""),"БЛОК: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нельзя",IF(AND(F60&lt;&gt;"",COUNTIF('Долг по актам'!$B$5:$B$34,F60)=0),"БЛОК: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договору")&gt;0)*($C$5:$C$504&lt;&gt;C60)*($E$5:$E$504=E60)*(($D$5:$D$504=D60)*(D60&lt;&gt;"")+($B$5:$B$504=B60)*(B60&lt;&gt;"")&gt;0))&gt;0,"БЛОК: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60" s="5">
        <f>IF(AND(B60="",C60="",E60=""),"",SUM($G$5:G60))</f>
        <v/>
      </c>
    </row>
    <row r="61">
      <c r="A61" s="6" t="n">
        <v>57</v>
      </c>
      <c r="B61" s="7" t="n"/>
      <c r="C61" s="8" t="n"/>
      <c r="D61" s="8" t="n"/>
      <c r="E61" s="9" t="n"/>
      <c r="F61" s="8" t="n"/>
      <c r="G61" s="5">
        <f>IF(OR(C61="",E61=""),0,IF(C61="Начисление по акту",E61,IF(OR(C61="Оплата",C61="Зачёт аванса по договору"),-E61,IF(C61="Корректировка (подписана обеими сторонами)",E61,0))))</f>
        <v/>
      </c>
      <c r="H61" s="5">
        <f>IF(OR(C61="Удержание",C61="Зачёт встречного требования",C61="Неустойка заявлена"),N(E61),0)</f>
        <v/>
      </c>
      <c r="I61" s="6">
        <f>IF(AND(B61="",C61="",D61="",E61="",F61=""),"",IF(OR(B61="",C61="",E61=""),"БЛОК: нужны дата, тип операции и сумма",IF(N(E61)&lt;=0,"БЛОК: сумма должна быть больше нуля",IF(AND(G61&lt;&gt;0,F61=""),"БЛОК: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нельзя",IF(AND(F61&lt;&gt;"",COUNTIF('Долг по актам'!$B$5:$B$34,F61)=0),"БЛОК: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договору")&gt;0)*($C$5:$C$504&lt;&gt;C61)*($E$5:$E$504=E61)*(($D$5:$D$504=D61)*(D61&lt;&gt;"")+($B$5:$B$504=B61)*(B61&lt;&gt;"")&gt;0))&gt;0,"БЛОК: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61" s="5">
        <f>IF(AND(B61="",C61="",E61=""),"",SUM($G$5:G61))</f>
        <v/>
      </c>
    </row>
    <row r="62">
      <c r="A62" s="6" t="n">
        <v>58</v>
      </c>
      <c r="B62" s="7" t="n"/>
      <c r="C62" s="8" t="n"/>
      <c r="D62" s="8" t="n"/>
      <c r="E62" s="9" t="n"/>
      <c r="F62" s="8" t="n"/>
      <c r="G62" s="5">
        <f>IF(OR(C62="",E62=""),0,IF(C62="Начисление по акту",E62,IF(OR(C62="Оплата",C62="Зачёт аванса по договору"),-E62,IF(C62="Корректировка (подписана обеими сторонами)",E62,0))))</f>
        <v/>
      </c>
      <c r="H62" s="5">
        <f>IF(OR(C62="Удержание",C62="Зачёт встречного требования",C62="Неустойка заявлена"),N(E62),0)</f>
        <v/>
      </c>
      <c r="I62" s="6">
        <f>IF(AND(B62="",C62="",D62="",E62="",F62=""),"",IF(OR(B62="",C62="",E62=""),"БЛОК: нужны дата, тип операции и сумма",IF(N(E62)&lt;=0,"БЛОК: сумма должна быть больше нуля",IF(AND(G62&lt;&gt;0,F62=""),"БЛОК: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нельзя",IF(AND(F62&lt;&gt;"",COUNTIF('Долг по актам'!$B$5:$B$34,F62)=0),"БЛОК: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договору")&gt;0)*($C$5:$C$504&lt;&gt;C62)*($E$5:$E$504=E62)*(($D$5:$D$504=D62)*(D62&lt;&gt;"")+($B$5:$B$504=B62)*(B62&lt;&gt;"")&gt;0))&gt;0,"БЛОК: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62" s="5">
        <f>IF(AND(B62="",C62="",E62=""),"",SUM($G$5:G62))</f>
        <v/>
      </c>
    </row>
    <row r="63">
      <c r="A63" s="6" t="n">
        <v>59</v>
      </c>
      <c r="B63" s="7" t="n"/>
      <c r="C63" s="8" t="n"/>
      <c r="D63" s="8" t="n"/>
      <c r="E63" s="9" t="n"/>
      <c r="F63" s="8" t="n"/>
      <c r="G63" s="5">
        <f>IF(OR(C63="",E63=""),0,IF(C63="Начисление по акту",E63,IF(OR(C63="Оплата",C63="Зачёт аванса по договору"),-E63,IF(C63="Корректировка (подписана обеими сторонами)",E63,0))))</f>
        <v/>
      </c>
      <c r="H63" s="5">
        <f>IF(OR(C63="Удержание",C63="Зачёт встречного требования",C63="Неустойка заявлена"),N(E63),0)</f>
        <v/>
      </c>
      <c r="I63" s="6">
        <f>IF(AND(B63="",C63="",D63="",E63="",F63=""),"",IF(OR(B63="",C63="",E63=""),"БЛОК: нужны дата, тип операции и сумма",IF(N(E63)&lt;=0,"БЛОК: сумма должна быть больше нуля",IF(AND(G63&lt;&gt;0,F63=""),"БЛОК: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нельзя",IF(AND(F63&lt;&gt;"",COUNTIF('Долг по актам'!$B$5:$B$34,F63)=0),"БЛОК: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договору")&gt;0)*($C$5:$C$504&lt;&gt;C63)*($E$5:$E$504=E63)*(($D$5:$D$504=D63)*(D63&lt;&gt;"")+($B$5:$B$504=B63)*(B63&lt;&gt;"")&gt;0))&gt;0,"БЛОК: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63" s="5">
        <f>IF(AND(B63="",C63="",E63=""),"",SUM($G$5:G63))</f>
        <v/>
      </c>
    </row>
    <row r="64">
      <c r="A64" s="6" t="n">
        <v>60</v>
      </c>
      <c r="B64" s="7" t="n"/>
      <c r="C64" s="8" t="n"/>
      <c r="D64" s="8" t="n"/>
      <c r="E64" s="9" t="n"/>
      <c r="F64" s="8" t="n"/>
      <c r="G64" s="5">
        <f>IF(OR(C64="",E64=""),0,IF(C64="Начисление по акту",E64,IF(OR(C64="Оплата",C64="Зачёт аванса по договору"),-E64,IF(C64="Корректировка (подписана обеими сторонами)",E64,0))))</f>
        <v/>
      </c>
      <c r="H64" s="5">
        <f>IF(OR(C64="Удержание",C64="Зачёт встречного требования",C64="Неустойка заявлена"),N(E64),0)</f>
        <v/>
      </c>
      <c r="I64" s="6">
        <f>IF(AND(B64="",C64="",D64="",E64="",F64=""),"",IF(OR(B64="",C64="",E64=""),"БЛОК: нужны дата, тип операции и сумма",IF(N(E64)&lt;=0,"БЛОК: сумма должна быть больше нуля",IF(AND(G64&lt;&gt;0,F64=""),"БЛОК: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нельзя",IF(AND(F64&lt;&gt;"",COUNTIF('Долг по актам'!$B$5:$B$34,F64)=0),"БЛОК: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договору")&gt;0)*($C$5:$C$504&lt;&gt;C64)*($E$5:$E$504=E64)*(($D$5:$D$504=D64)*(D64&lt;&gt;"")+($B$5:$B$504=B64)*(B64&lt;&gt;"")&gt;0))&gt;0,"БЛОК: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64" s="5">
        <f>IF(AND(B64="",C64="",E64=""),"",SUM($G$5:G64))</f>
        <v/>
      </c>
    </row>
    <row r="65">
      <c r="A65" s="6" t="n">
        <v>61</v>
      </c>
      <c r="B65" s="7" t="n"/>
      <c r="C65" s="8" t="n"/>
      <c r="D65" s="8" t="n"/>
      <c r="E65" s="9" t="n"/>
      <c r="F65" s="8" t="n"/>
      <c r="G65" s="5">
        <f>IF(OR(C65="",E65=""),0,IF(C65="Начисление по акту",E65,IF(OR(C65="Оплата",C65="Зачёт аванса по договору"),-E65,IF(C65="Корректировка (подписана обеими сторонами)",E65,0))))</f>
        <v/>
      </c>
      <c r="H65" s="5">
        <f>IF(OR(C65="Удержание",C65="Зачёт встречного требования",C65="Неустойка заявлена"),N(E65),0)</f>
        <v/>
      </c>
      <c r="I65" s="6">
        <f>IF(AND(B65="",C65="",D65="",E65="",F65=""),"",IF(OR(B65="",C65="",E65=""),"БЛОК: нужны дата, тип операции и сумма",IF(N(E65)&lt;=0,"БЛОК: сумма должна быть больше нуля",IF(AND(G65&lt;&gt;0,F65=""),"БЛОК: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нельзя",IF(AND(F65&lt;&gt;"",COUNTIF('Долг по актам'!$B$5:$B$34,F65)=0),"БЛОК: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договору")&gt;0)*($C$5:$C$504&lt;&gt;C65)*($E$5:$E$504=E65)*(($D$5:$D$504=D65)*(D65&lt;&gt;"")+($B$5:$B$504=B65)*(B65&lt;&gt;"")&gt;0))&gt;0,"БЛОК: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65" s="5">
        <f>IF(AND(B65="",C65="",E65=""),"",SUM($G$5:G65))</f>
        <v/>
      </c>
    </row>
    <row r="66">
      <c r="A66" s="6" t="n">
        <v>62</v>
      </c>
      <c r="B66" s="7" t="n"/>
      <c r="C66" s="8" t="n"/>
      <c r="D66" s="8" t="n"/>
      <c r="E66" s="9" t="n"/>
      <c r="F66" s="8" t="n"/>
      <c r="G66" s="5">
        <f>IF(OR(C66="",E66=""),0,IF(C66="Начисление по акту",E66,IF(OR(C66="Оплата",C66="Зачёт аванса по договору"),-E66,IF(C66="Корректировка (подписана обеими сторонами)",E66,0))))</f>
        <v/>
      </c>
      <c r="H66" s="5">
        <f>IF(OR(C66="Удержание",C66="Зачёт встречного требования",C66="Неустойка заявлена"),N(E66),0)</f>
        <v/>
      </c>
      <c r="I66" s="6">
        <f>IF(AND(B66="",C66="",D66="",E66="",F66=""),"",IF(OR(B66="",C66="",E66=""),"БЛОК: нужны дата, тип операции и сумма",IF(N(E66)&lt;=0,"БЛОК: сумма должна быть больше нуля",IF(AND(G66&lt;&gt;0,F66=""),"БЛОК: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нельзя",IF(AND(F66&lt;&gt;"",COUNTIF('Долг по актам'!$B$5:$B$34,F66)=0),"БЛОК: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договору")&gt;0)*($C$5:$C$504&lt;&gt;C66)*($E$5:$E$504=E66)*(($D$5:$D$504=D66)*(D66&lt;&gt;"")+($B$5:$B$504=B66)*(B66&lt;&gt;"")&gt;0))&gt;0,"БЛОК: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66" s="5">
        <f>IF(AND(B66="",C66="",E66=""),"",SUM($G$5:G66))</f>
        <v/>
      </c>
    </row>
    <row r="67">
      <c r="A67" s="6" t="n">
        <v>63</v>
      </c>
      <c r="B67" s="7" t="n"/>
      <c r="C67" s="8" t="n"/>
      <c r="D67" s="8" t="n"/>
      <c r="E67" s="9" t="n"/>
      <c r="F67" s="8" t="n"/>
      <c r="G67" s="5">
        <f>IF(OR(C67="",E67=""),0,IF(C67="Начисление по акту",E67,IF(OR(C67="Оплата",C67="Зачёт аванса по договору"),-E67,IF(C67="Корректировка (подписана обеими сторонами)",E67,0))))</f>
        <v/>
      </c>
      <c r="H67" s="5">
        <f>IF(OR(C67="Удержание",C67="Зачёт встречного требования",C67="Неустойка заявлена"),N(E67),0)</f>
        <v/>
      </c>
      <c r="I67" s="6">
        <f>IF(AND(B67="",C67="",D67="",E67="",F67=""),"",IF(OR(B67="",C67="",E67=""),"БЛОК: нужны дата, тип операции и сумма",IF(N(E67)&lt;=0,"БЛОК: сумма должна быть больше нуля",IF(AND(G67&lt;&gt;0,F67=""),"БЛОК: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нельзя",IF(AND(F67&lt;&gt;"",COUNTIF('Долг по актам'!$B$5:$B$34,F67)=0),"БЛОК: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договору")&gt;0)*($C$5:$C$504&lt;&gt;C67)*($E$5:$E$504=E67)*(($D$5:$D$504=D67)*(D67&lt;&gt;"")+($B$5:$B$504=B67)*(B67&lt;&gt;"")&gt;0))&gt;0,"БЛОК: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67" s="5">
        <f>IF(AND(B67="",C67="",E67=""),"",SUM($G$5:G67))</f>
        <v/>
      </c>
    </row>
    <row r="68">
      <c r="A68" s="6" t="n">
        <v>64</v>
      </c>
      <c r="B68" s="7" t="n"/>
      <c r="C68" s="8" t="n"/>
      <c r="D68" s="8" t="n"/>
      <c r="E68" s="9" t="n"/>
      <c r="F68" s="8" t="n"/>
      <c r="G68" s="5">
        <f>IF(OR(C68="",E68=""),0,IF(C68="Начисление по акту",E68,IF(OR(C68="Оплата",C68="Зачёт аванса по договору"),-E68,IF(C68="Корректировка (подписана обеими сторонами)",E68,0))))</f>
        <v/>
      </c>
      <c r="H68" s="5">
        <f>IF(OR(C68="Удержание",C68="Зачёт встречного требования",C68="Неустойка заявлена"),N(E68),0)</f>
        <v/>
      </c>
      <c r="I68" s="6">
        <f>IF(AND(B68="",C68="",D68="",E68="",F68=""),"",IF(OR(B68="",C68="",E68=""),"БЛОК: нужны дата, тип операции и сумма",IF(N(E68)&lt;=0,"БЛОК: сумма должна быть больше нуля",IF(AND(G68&lt;&gt;0,F68=""),"БЛОК: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нельзя",IF(AND(F68&lt;&gt;"",COUNTIF('Долг по актам'!$B$5:$B$34,F68)=0),"БЛОК: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договору")&gt;0)*($C$5:$C$504&lt;&gt;C68)*($E$5:$E$504=E68)*(($D$5:$D$504=D68)*(D68&lt;&gt;"")+($B$5:$B$504=B68)*(B68&lt;&gt;"")&gt;0))&gt;0,"БЛОК: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68" s="5">
        <f>IF(AND(B68="",C68="",E68=""),"",SUM($G$5:G68))</f>
        <v/>
      </c>
    </row>
    <row r="69">
      <c r="A69" s="6" t="n">
        <v>65</v>
      </c>
      <c r="B69" s="7" t="n"/>
      <c r="C69" s="8" t="n"/>
      <c r="D69" s="8" t="n"/>
      <c r="E69" s="9" t="n"/>
      <c r="F69" s="8" t="n"/>
      <c r="G69" s="5">
        <f>IF(OR(C69="",E69=""),0,IF(C69="Начисление по акту",E69,IF(OR(C69="Оплата",C69="Зачёт аванса по договору"),-E69,IF(C69="Корректировка (подписана обеими сторонами)",E69,0))))</f>
        <v/>
      </c>
      <c r="H69" s="5">
        <f>IF(OR(C69="Удержание",C69="Зачёт встречного требования",C69="Неустойка заявлена"),N(E69),0)</f>
        <v/>
      </c>
      <c r="I69" s="6">
        <f>IF(AND(B69="",C69="",D69="",E69="",F69=""),"",IF(OR(B69="",C69="",E69=""),"БЛОК: нужны дата, тип операции и сумма",IF(N(E69)&lt;=0,"БЛОК: сумма должна быть больше нуля",IF(AND(G69&lt;&gt;0,F69=""),"БЛОК: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нельзя",IF(AND(F69&lt;&gt;"",COUNTIF('Долг по актам'!$B$5:$B$34,F69)=0),"БЛОК: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договору")&gt;0)*($C$5:$C$504&lt;&gt;C69)*($E$5:$E$504=E69)*(($D$5:$D$504=D69)*(D69&lt;&gt;"")+($B$5:$B$504=B69)*(B69&lt;&gt;"")&gt;0))&gt;0,"БЛОК: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69" s="5">
        <f>IF(AND(B69="",C69="",E69=""),"",SUM($G$5:G69))</f>
        <v/>
      </c>
    </row>
    <row r="70">
      <c r="A70" s="6" t="n">
        <v>66</v>
      </c>
      <c r="B70" s="7" t="n"/>
      <c r="C70" s="8" t="n"/>
      <c r="D70" s="8" t="n"/>
      <c r="E70" s="9" t="n"/>
      <c r="F70" s="8" t="n"/>
      <c r="G70" s="5">
        <f>IF(OR(C70="",E70=""),0,IF(C70="Начисление по акту",E70,IF(OR(C70="Оплата",C70="Зачёт аванса по договору"),-E70,IF(C70="Корректировка (подписана обеими сторонами)",E70,0))))</f>
        <v/>
      </c>
      <c r="H70" s="5">
        <f>IF(OR(C70="Удержание",C70="Зачёт встречного требования",C70="Неустойка заявлена"),N(E70),0)</f>
        <v/>
      </c>
      <c r="I70" s="6">
        <f>IF(AND(B70="",C70="",D70="",E70="",F70=""),"",IF(OR(B70="",C70="",E70=""),"БЛОК: нужны дата, тип операции и сумма",IF(N(E70)&lt;=0,"БЛОК: сумма должна быть больше нуля",IF(AND(G70&lt;&gt;0,F70=""),"БЛОК: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нельзя",IF(AND(F70&lt;&gt;"",COUNTIF('Долг по актам'!$B$5:$B$34,F70)=0),"БЛОК: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договору")&gt;0)*($C$5:$C$504&lt;&gt;C70)*($E$5:$E$504=E70)*(($D$5:$D$504=D70)*(D70&lt;&gt;"")+($B$5:$B$504=B70)*(B70&lt;&gt;"")&gt;0))&gt;0,"БЛОК: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70" s="5">
        <f>IF(AND(B70="",C70="",E70=""),"",SUM($G$5:G70))</f>
        <v/>
      </c>
    </row>
    <row r="71">
      <c r="A71" s="6" t="n">
        <v>67</v>
      </c>
      <c r="B71" s="7" t="n"/>
      <c r="C71" s="8" t="n"/>
      <c r="D71" s="8" t="n"/>
      <c r="E71" s="9" t="n"/>
      <c r="F71" s="8" t="n"/>
      <c r="G71" s="5">
        <f>IF(OR(C71="",E71=""),0,IF(C71="Начисление по акту",E71,IF(OR(C71="Оплата",C71="Зачёт аванса по договору"),-E71,IF(C71="Корректировка (подписана обеими сторонами)",E71,0))))</f>
        <v/>
      </c>
      <c r="H71" s="5">
        <f>IF(OR(C71="Удержание",C71="Зачёт встречного требования",C71="Неустойка заявлена"),N(E71),0)</f>
        <v/>
      </c>
      <c r="I71" s="6">
        <f>IF(AND(B71="",C71="",D71="",E71="",F71=""),"",IF(OR(B71="",C71="",E71=""),"БЛОК: нужны дата, тип операции и сумма",IF(N(E71)&lt;=0,"БЛОК: сумма должна быть больше нуля",IF(AND(G71&lt;&gt;0,F71=""),"БЛОК: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нельзя",IF(AND(F71&lt;&gt;"",COUNTIF('Долг по актам'!$B$5:$B$34,F71)=0),"БЛОК: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договору")&gt;0)*($C$5:$C$504&lt;&gt;C71)*($E$5:$E$504=E71)*(($D$5:$D$504=D71)*(D71&lt;&gt;"")+($B$5:$B$504=B71)*(B71&lt;&gt;"")&gt;0))&gt;0,"БЛОК: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71" s="5">
        <f>IF(AND(B71="",C71="",E71=""),"",SUM($G$5:G71))</f>
        <v/>
      </c>
    </row>
    <row r="72">
      <c r="A72" s="6" t="n">
        <v>68</v>
      </c>
      <c r="B72" s="7" t="n"/>
      <c r="C72" s="8" t="n"/>
      <c r="D72" s="8" t="n"/>
      <c r="E72" s="9" t="n"/>
      <c r="F72" s="8" t="n"/>
      <c r="G72" s="5">
        <f>IF(OR(C72="",E72=""),0,IF(C72="Начисление по акту",E72,IF(OR(C72="Оплата",C72="Зачёт аванса по договору"),-E72,IF(C72="Корректировка (подписана обеими сторонами)",E72,0))))</f>
        <v/>
      </c>
      <c r="H72" s="5">
        <f>IF(OR(C72="Удержание",C72="Зачёт встречного требования",C72="Неустойка заявлена"),N(E72),0)</f>
        <v/>
      </c>
      <c r="I72" s="6">
        <f>IF(AND(B72="",C72="",D72="",E72="",F72=""),"",IF(OR(B72="",C72="",E72=""),"БЛОК: нужны дата, тип операции и сумма",IF(N(E72)&lt;=0,"БЛОК: сумма должна быть больше нуля",IF(AND(G72&lt;&gt;0,F72=""),"БЛОК: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нельзя",IF(AND(F72&lt;&gt;"",COUNTIF('Долг по актам'!$B$5:$B$34,F72)=0),"БЛОК: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договору")&gt;0)*($C$5:$C$504&lt;&gt;C72)*($E$5:$E$504=E72)*(($D$5:$D$504=D72)*(D72&lt;&gt;"")+($B$5:$B$504=B72)*(B72&lt;&gt;"")&gt;0))&gt;0,"БЛОК: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72" s="5">
        <f>IF(AND(B72="",C72="",E72=""),"",SUM($G$5:G72))</f>
        <v/>
      </c>
    </row>
    <row r="73">
      <c r="A73" s="6" t="n">
        <v>69</v>
      </c>
      <c r="B73" s="7" t="n"/>
      <c r="C73" s="8" t="n"/>
      <c r="D73" s="8" t="n"/>
      <c r="E73" s="9" t="n"/>
      <c r="F73" s="8" t="n"/>
      <c r="G73" s="5">
        <f>IF(OR(C73="",E73=""),0,IF(C73="Начисление по акту",E73,IF(OR(C73="Оплата",C73="Зачёт аванса по договору"),-E73,IF(C73="Корректировка (подписана обеими сторонами)",E73,0))))</f>
        <v/>
      </c>
      <c r="H73" s="5">
        <f>IF(OR(C73="Удержание",C73="Зачёт встречного требования",C73="Неустойка заявлена"),N(E73),0)</f>
        <v/>
      </c>
      <c r="I73" s="6">
        <f>IF(AND(B73="",C73="",D73="",E73="",F73=""),"",IF(OR(B73="",C73="",E73=""),"БЛОК: нужны дата, тип операции и сумма",IF(N(E73)&lt;=0,"БЛОК: сумма должна быть больше нуля",IF(AND(G73&lt;&gt;0,F73=""),"БЛОК: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нельзя",IF(AND(F73&lt;&gt;"",COUNTIF('Долг по актам'!$B$5:$B$34,F73)=0),"БЛОК: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договору")&gt;0)*($C$5:$C$504&lt;&gt;C73)*($E$5:$E$504=E73)*(($D$5:$D$504=D73)*(D73&lt;&gt;"")+($B$5:$B$504=B73)*(B73&lt;&gt;"")&gt;0))&gt;0,"БЛОК: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73" s="5">
        <f>IF(AND(B73="",C73="",E73=""),"",SUM($G$5:G73))</f>
        <v/>
      </c>
    </row>
    <row r="74">
      <c r="A74" s="6" t="n">
        <v>70</v>
      </c>
      <c r="B74" s="7" t="n"/>
      <c r="C74" s="8" t="n"/>
      <c r="D74" s="8" t="n"/>
      <c r="E74" s="9" t="n"/>
      <c r="F74" s="8" t="n"/>
      <c r="G74" s="5">
        <f>IF(OR(C74="",E74=""),0,IF(C74="Начисление по акту",E74,IF(OR(C74="Оплата",C74="Зачёт аванса по договору"),-E74,IF(C74="Корректировка (подписана обеими сторонами)",E74,0))))</f>
        <v/>
      </c>
      <c r="H74" s="5">
        <f>IF(OR(C74="Удержание",C74="Зачёт встречного требования",C74="Неустойка заявлена"),N(E74),0)</f>
        <v/>
      </c>
      <c r="I74" s="6">
        <f>IF(AND(B74="",C74="",D74="",E74="",F74=""),"",IF(OR(B74="",C74="",E74=""),"БЛОК: нужны дата, тип операции и сумма",IF(N(E74)&lt;=0,"БЛОК: сумма должна быть больше нуля",IF(AND(G74&lt;&gt;0,F74=""),"БЛОК: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нельзя",IF(AND(F74&lt;&gt;"",COUNTIF('Долг по актам'!$B$5:$B$34,F74)=0),"БЛОК: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договору")&gt;0)*($C$5:$C$504&lt;&gt;C74)*($E$5:$E$504=E74)*(($D$5:$D$504=D74)*(D74&lt;&gt;"")+($B$5:$B$504=B74)*(B74&lt;&gt;"")&gt;0))&gt;0,"БЛОК: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74" s="5">
        <f>IF(AND(B74="",C74="",E74=""),"",SUM($G$5:G74))</f>
        <v/>
      </c>
    </row>
    <row r="75">
      <c r="A75" s="6" t="n">
        <v>71</v>
      </c>
      <c r="B75" s="7" t="n"/>
      <c r="C75" s="8" t="n"/>
      <c r="D75" s="8" t="n"/>
      <c r="E75" s="9" t="n"/>
      <c r="F75" s="8" t="n"/>
      <c r="G75" s="5">
        <f>IF(OR(C75="",E75=""),0,IF(C75="Начисление по акту",E75,IF(OR(C75="Оплата",C75="Зачёт аванса по договору"),-E75,IF(C75="Корректировка (подписана обеими сторонами)",E75,0))))</f>
        <v/>
      </c>
      <c r="H75" s="5">
        <f>IF(OR(C75="Удержание",C75="Зачёт встречного требования",C75="Неустойка заявлена"),N(E75),0)</f>
        <v/>
      </c>
      <c r="I75" s="6">
        <f>IF(AND(B75="",C75="",D75="",E75="",F75=""),"",IF(OR(B75="",C75="",E75=""),"БЛОК: нужны дата, тип операции и сумма",IF(N(E75)&lt;=0,"БЛОК: сумма должна быть больше нуля",IF(AND(G75&lt;&gt;0,F75=""),"БЛОК: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нельзя",IF(AND(F75&lt;&gt;"",COUNTIF('Долг по актам'!$B$5:$B$34,F75)=0),"БЛОК: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договору")&gt;0)*($C$5:$C$504&lt;&gt;C75)*($E$5:$E$504=E75)*(($D$5:$D$504=D75)*(D75&lt;&gt;"")+($B$5:$B$504=B75)*(B75&lt;&gt;"")&gt;0))&gt;0,"БЛОК: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75" s="5">
        <f>IF(AND(B75="",C75="",E75=""),"",SUM($G$5:G75))</f>
        <v/>
      </c>
    </row>
    <row r="76">
      <c r="A76" s="6" t="n">
        <v>72</v>
      </c>
      <c r="B76" s="7" t="n"/>
      <c r="C76" s="8" t="n"/>
      <c r="D76" s="8" t="n"/>
      <c r="E76" s="9" t="n"/>
      <c r="F76" s="8" t="n"/>
      <c r="G76" s="5">
        <f>IF(OR(C76="",E76=""),0,IF(C76="Начисление по акту",E76,IF(OR(C76="Оплата",C76="Зачёт аванса по договору"),-E76,IF(C76="Корректировка (подписана обеими сторонами)",E76,0))))</f>
        <v/>
      </c>
      <c r="H76" s="5">
        <f>IF(OR(C76="Удержание",C76="Зачёт встречного требования",C76="Неустойка заявлена"),N(E76),0)</f>
        <v/>
      </c>
      <c r="I76" s="6">
        <f>IF(AND(B76="",C76="",D76="",E76="",F76=""),"",IF(OR(B76="",C76="",E76=""),"БЛОК: нужны дата, тип операции и сумма",IF(N(E76)&lt;=0,"БЛОК: сумма должна быть больше нуля",IF(AND(G76&lt;&gt;0,F76=""),"БЛОК: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нельзя",IF(AND(F76&lt;&gt;"",COUNTIF('Долг по актам'!$B$5:$B$34,F76)=0),"БЛОК: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договору")&gt;0)*($C$5:$C$504&lt;&gt;C76)*($E$5:$E$504=E76)*(($D$5:$D$504=D76)*(D76&lt;&gt;"")+($B$5:$B$504=B76)*(B76&lt;&gt;"")&gt;0))&gt;0,"БЛОК: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76" s="5">
        <f>IF(AND(B76="",C76="",E76=""),"",SUM($G$5:G76))</f>
        <v/>
      </c>
    </row>
    <row r="77">
      <c r="A77" s="6" t="n">
        <v>73</v>
      </c>
      <c r="B77" s="7" t="n"/>
      <c r="C77" s="8" t="n"/>
      <c r="D77" s="8" t="n"/>
      <c r="E77" s="9" t="n"/>
      <c r="F77" s="8" t="n"/>
      <c r="G77" s="5">
        <f>IF(OR(C77="",E77=""),0,IF(C77="Начисление по акту",E77,IF(OR(C77="Оплата",C77="Зачёт аванса по договору"),-E77,IF(C77="Корректировка (подписана обеими сторонами)",E77,0))))</f>
        <v/>
      </c>
      <c r="H77" s="5">
        <f>IF(OR(C77="Удержание",C77="Зачёт встречного требования",C77="Неустойка заявлена"),N(E77),0)</f>
        <v/>
      </c>
      <c r="I77" s="6">
        <f>IF(AND(B77="",C77="",D77="",E77="",F77=""),"",IF(OR(B77="",C77="",E77=""),"БЛОК: нужны дата, тип операции и сумма",IF(N(E77)&lt;=0,"БЛОК: сумма должна быть больше нуля",IF(AND(G77&lt;&gt;0,F77=""),"БЛОК: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нельзя",IF(AND(F77&lt;&gt;"",COUNTIF('Долг по актам'!$B$5:$B$34,F77)=0),"БЛОК: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договору")&gt;0)*($C$5:$C$504&lt;&gt;C77)*($E$5:$E$504=E77)*(($D$5:$D$504=D77)*(D77&lt;&gt;"")+($B$5:$B$504=B77)*(B77&lt;&gt;"")&gt;0))&gt;0,"БЛОК: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77" s="5">
        <f>IF(AND(B77="",C77="",E77=""),"",SUM($G$5:G77))</f>
        <v/>
      </c>
    </row>
    <row r="78">
      <c r="A78" s="6" t="n">
        <v>74</v>
      </c>
      <c r="B78" s="7" t="n"/>
      <c r="C78" s="8" t="n"/>
      <c r="D78" s="8" t="n"/>
      <c r="E78" s="9" t="n"/>
      <c r="F78" s="8" t="n"/>
      <c r="G78" s="5">
        <f>IF(OR(C78="",E78=""),0,IF(C78="Начисление по акту",E78,IF(OR(C78="Оплата",C78="Зачёт аванса по договору"),-E78,IF(C78="Корректировка (подписана обеими сторонами)",E78,0))))</f>
        <v/>
      </c>
      <c r="H78" s="5">
        <f>IF(OR(C78="Удержание",C78="Зачёт встречного требования",C78="Неустойка заявлена"),N(E78),0)</f>
        <v/>
      </c>
      <c r="I78" s="6">
        <f>IF(AND(B78="",C78="",D78="",E78="",F78=""),"",IF(OR(B78="",C78="",E78=""),"БЛОК: нужны дата, тип операции и сумма",IF(N(E78)&lt;=0,"БЛОК: сумма должна быть больше нуля",IF(AND(G78&lt;&gt;0,F78=""),"БЛОК: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нельзя",IF(AND(F78&lt;&gt;"",COUNTIF('Долг по актам'!$B$5:$B$34,F78)=0),"БЛОК: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договору")&gt;0)*($C$5:$C$504&lt;&gt;C78)*($E$5:$E$504=E78)*(($D$5:$D$504=D78)*(D78&lt;&gt;"")+($B$5:$B$504=B78)*(B78&lt;&gt;"")&gt;0))&gt;0,"БЛОК: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78" s="5">
        <f>IF(AND(B78="",C78="",E78=""),"",SUM($G$5:G78))</f>
        <v/>
      </c>
    </row>
    <row r="79">
      <c r="A79" s="6" t="n">
        <v>75</v>
      </c>
      <c r="B79" s="7" t="n"/>
      <c r="C79" s="8" t="n"/>
      <c r="D79" s="8" t="n"/>
      <c r="E79" s="9" t="n"/>
      <c r="F79" s="8" t="n"/>
      <c r="G79" s="5">
        <f>IF(OR(C79="",E79=""),0,IF(C79="Начисление по акту",E79,IF(OR(C79="Оплата",C79="Зачёт аванса по договору"),-E79,IF(C79="Корректировка (подписана обеими сторонами)",E79,0))))</f>
        <v/>
      </c>
      <c r="H79" s="5">
        <f>IF(OR(C79="Удержание",C79="Зачёт встречного требования",C79="Неустойка заявлена"),N(E79),0)</f>
        <v/>
      </c>
      <c r="I79" s="6">
        <f>IF(AND(B79="",C79="",D79="",E79="",F79=""),"",IF(OR(B79="",C79="",E79=""),"БЛОК: нужны дата, тип операции и сумма",IF(N(E79)&lt;=0,"БЛОК: сумма должна быть больше нуля",IF(AND(G79&lt;&gt;0,F79=""),"БЛОК: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нельзя",IF(AND(F79&lt;&gt;"",COUNTIF('Долг по актам'!$B$5:$B$34,F79)=0),"БЛОК: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договору")&gt;0)*($C$5:$C$504&lt;&gt;C79)*($E$5:$E$504=E79)*(($D$5:$D$504=D79)*(D79&lt;&gt;"")+($B$5:$B$504=B79)*(B79&lt;&gt;"")&gt;0))&gt;0,"БЛОК: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79" s="5">
        <f>IF(AND(B79="",C79="",E79=""),"",SUM($G$5:G79))</f>
        <v/>
      </c>
    </row>
    <row r="80">
      <c r="A80" s="6" t="n">
        <v>76</v>
      </c>
      <c r="B80" s="7" t="n"/>
      <c r="C80" s="8" t="n"/>
      <c r="D80" s="8" t="n"/>
      <c r="E80" s="9" t="n"/>
      <c r="F80" s="8" t="n"/>
      <c r="G80" s="5">
        <f>IF(OR(C80="",E80=""),0,IF(C80="Начисление по акту",E80,IF(OR(C80="Оплата",C80="Зачёт аванса по договору"),-E80,IF(C80="Корректировка (подписана обеими сторонами)",E80,0))))</f>
        <v/>
      </c>
      <c r="H80" s="5">
        <f>IF(OR(C80="Удержание",C80="Зачёт встречного требования",C80="Неустойка заявлена"),N(E80),0)</f>
        <v/>
      </c>
      <c r="I80" s="6">
        <f>IF(AND(B80="",C80="",D80="",E80="",F80=""),"",IF(OR(B80="",C80="",E80=""),"БЛОК: нужны дата, тип операции и сумма",IF(N(E80)&lt;=0,"БЛОК: сумма должна быть больше нуля",IF(AND(G80&lt;&gt;0,F80=""),"БЛОК: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нельзя",IF(AND(F80&lt;&gt;"",COUNTIF('Долг по актам'!$B$5:$B$34,F80)=0),"БЛОК: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договору")&gt;0)*($C$5:$C$504&lt;&gt;C80)*($E$5:$E$504=E80)*(($D$5:$D$504=D80)*(D80&lt;&gt;"")+($B$5:$B$504=B80)*(B80&lt;&gt;"")&gt;0))&gt;0,"БЛОК: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80" s="5">
        <f>IF(AND(B80="",C80="",E80=""),"",SUM($G$5:G80))</f>
        <v/>
      </c>
    </row>
    <row r="81">
      <c r="A81" s="6" t="n">
        <v>77</v>
      </c>
      <c r="B81" s="7" t="n"/>
      <c r="C81" s="8" t="n"/>
      <c r="D81" s="8" t="n"/>
      <c r="E81" s="9" t="n"/>
      <c r="F81" s="8" t="n"/>
      <c r="G81" s="5">
        <f>IF(OR(C81="",E81=""),0,IF(C81="Начисление по акту",E81,IF(OR(C81="Оплата",C81="Зачёт аванса по договору"),-E81,IF(C81="Корректировка (подписана обеими сторонами)",E81,0))))</f>
        <v/>
      </c>
      <c r="H81" s="5">
        <f>IF(OR(C81="Удержание",C81="Зачёт встречного требования",C81="Неустойка заявлена"),N(E81),0)</f>
        <v/>
      </c>
      <c r="I81" s="6">
        <f>IF(AND(B81="",C81="",D81="",E81="",F81=""),"",IF(OR(B81="",C81="",E81=""),"БЛОК: нужны дата, тип операции и сумма",IF(N(E81)&lt;=0,"БЛОК: сумма должна быть больше нуля",IF(AND(G81&lt;&gt;0,F81=""),"БЛОК: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нельзя",IF(AND(F81&lt;&gt;"",COUNTIF('Долг по актам'!$B$5:$B$34,F81)=0),"БЛОК: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договору")&gt;0)*($C$5:$C$504&lt;&gt;C81)*($E$5:$E$504=E81)*(($D$5:$D$504=D81)*(D81&lt;&gt;"")+($B$5:$B$504=B81)*(B81&lt;&gt;"")&gt;0))&gt;0,"БЛОК: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81" s="5">
        <f>IF(AND(B81="",C81="",E81=""),"",SUM($G$5:G81))</f>
        <v/>
      </c>
    </row>
    <row r="82">
      <c r="A82" s="6" t="n">
        <v>78</v>
      </c>
      <c r="B82" s="7" t="n"/>
      <c r="C82" s="8" t="n"/>
      <c r="D82" s="8" t="n"/>
      <c r="E82" s="9" t="n"/>
      <c r="F82" s="8" t="n"/>
      <c r="G82" s="5">
        <f>IF(OR(C82="",E82=""),0,IF(C82="Начисление по акту",E82,IF(OR(C82="Оплата",C82="Зачёт аванса по договору"),-E82,IF(C82="Корректировка (подписана обеими сторонами)",E82,0))))</f>
        <v/>
      </c>
      <c r="H82" s="5">
        <f>IF(OR(C82="Удержание",C82="Зачёт встречного требования",C82="Неустойка заявлена"),N(E82),0)</f>
        <v/>
      </c>
      <c r="I82" s="6">
        <f>IF(AND(B82="",C82="",D82="",E82="",F82=""),"",IF(OR(B82="",C82="",E82=""),"БЛОК: нужны дата, тип операции и сумма",IF(N(E82)&lt;=0,"БЛОК: сумма должна быть больше нуля",IF(AND(G82&lt;&gt;0,F82=""),"БЛОК: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нельзя",IF(AND(F82&lt;&gt;"",COUNTIF('Долг по актам'!$B$5:$B$34,F82)=0),"БЛОК: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договору")&gt;0)*($C$5:$C$504&lt;&gt;C82)*($E$5:$E$504=E82)*(($D$5:$D$504=D82)*(D82&lt;&gt;"")+($B$5:$B$504=B82)*(B82&lt;&gt;"")&gt;0))&gt;0,"БЛОК: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82" s="5">
        <f>IF(AND(B82="",C82="",E82=""),"",SUM($G$5:G82))</f>
        <v/>
      </c>
    </row>
    <row r="83">
      <c r="A83" s="6" t="n">
        <v>79</v>
      </c>
      <c r="B83" s="7" t="n"/>
      <c r="C83" s="8" t="n"/>
      <c r="D83" s="8" t="n"/>
      <c r="E83" s="9" t="n"/>
      <c r="F83" s="8" t="n"/>
      <c r="G83" s="5">
        <f>IF(OR(C83="",E83=""),0,IF(C83="Начисление по акту",E83,IF(OR(C83="Оплата",C83="Зачёт аванса по договору"),-E83,IF(C83="Корректировка (подписана обеими сторонами)",E83,0))))</f>
        <v/>
      </c>
      <c r="H83" s="5">
        <f>IF(OR(C83="Удержание",C83="Зачёт встречного требования",C83="Неустойка заявлена"),N(E83),0)</f>
        <v/>
      </c>
      <c r="I83" s="6">
        <f>IF(AND(B83="",C83="",D83="",E83="",F83=""),"",IF(OR(B83="",C83="",E83=""),"БЛОК: нужны дата, тип операции и сумма",IF(N(E83)&lt;=0,"БЛОК: сумма должна быть больше нуля",IF(AND(G83&lt;&gt;0,F83=""),"БЛОК: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нельзя",IF(AND(F83&lt;&gt;"",COUNTIF('Долг по актам'!$B$5:$B$34,F83)=0),"БЛОК: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договору")&gt;0)*($C$5:$C$504&lt;&gt;C83)*($E$5:$E$504=E83)*(($D$5:$D$504=D83)*(D83&lt;&gt;"")+($B$5:$B$504=B83)*(B83&lt;&gt;"")&gt;0))&gt;0,"БЛОК: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83" s="5">
        <f>IF(AND(B83="",C83="",E83=""),"",SUM($G$5:G83))</f>
        <v/>
      </c>
    </row>
    <row r="84">
      <c r="A84" s="6" t="n">
        <v>80</v>
      </c>
      <c r="B84" s="7" t="n"/>
      <c r="C84" s="8" t="n"/>
      <c r="D84" s="8" t="n"/>
      <c r="E84" s="9" t="n"/>
      <c r="F84" s="8" t="n"/>
      <c r="G84" s="5">
        <f>IF(OR(C84="",E84=""),0,IF(C84="Начисление по акту",E84,IF(OR(C84="Оплата",C84="Зачёт аванса по договору"),-E84,IF(C84="Корректировка (подписана обеими сторонами)",E84,0))))</f>
        <v/>
      </c>
      <c r="H84" s="5">
        <f>IF(OR(C84="Удержание",C84="Зачёт встречного требования",C84="Неустойка заявлена"),N(E84),0)</f>
        <v/>
      </c>
      <c r="I84" s="6">
        <f>IF(AND(B84="",C84="",D84="",E84="",F84=""),"",IF(OR(B84="",C84="",E84=""),"БЛОК: нужны дата, тип операции и сумма",IF(N(E84)&lt;=0,"БЛОК: сумма должна быть больше нуля",IF(AND(G84&lt;&gt;0,F84=""),"БЛОК: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нельзя",IF(AND(F84&lt;&gt;"",COUNTIF('Долг по актам'!$B$5:$B$34,F84)=0),"БЛОК: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договору")&gt;0)*($C$5:$C$504&lt;&gt;C84)*($E$5:$E$504=E84)*(($D$5:$D$504=D84)*(D84&lt;&gt;"")+($B$5:$B$504=B84)*(B84&lt;&gt;"")&gt;0))&gt;0,"БЛОК: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84" s="5">
        <f>IF(AND(B84="",C84="",E84=""),"",SUM($G$5:G84))</f>
        <v/>
      </c>
    </row>
    <row r="85">
      <c r="A85" s="6" t="n">
        <v>81</v>
      </c>
      <c r="B85" s="7" t="n"/>
      <c r="C85" s="8" t="n"/>
      <c r="D85" s="8" t="n"/>
      <c r="E85" s="9" t="n"/>
      <c r="F85" s="8" t="n"/>
      <c r="G85" s="5">
        <f>IF(OR(C85="",E85=""),0,IF(C85="Начисление по акту",E85,IF(OR(C85="Оплата",C85="Зачёт аванса по договору"),-E85,IF(C85="Корректировка (подписана обеими сторонами)",E85,0))))</f>
        <v/>
      </c>
      <c r="H85" s="5">
        <f>IF(OR(C85="Удержание",C85="Зачёт встречного требования",C85="Неустойка заявлена"),N(E85),0)</f>
        <v/>
      </c>
      <c r="I85" s="6">
        <f>IF(AND(B85="",C85="",D85="",E85="",F85=""),"",IF(OR(B85="",C85="",E85=""),"БЛОК: нужны дата, тип операции и сумма",IF(N(E85)&lt;=0,"БЛОК: сумма должна быть больше нуля",IF(AND(G85&lt;&gt;0,F85=""),"БЛОК: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нельзя",IF(AND(F85&lt;&gt;"",COUNTIF('Долг по актам'!$B$5:$B$34,F85)=0),"БЛОК: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договору")&gt;0)*($C$5:$C$504&lt;&gt;C85)*($E$5:$E$504=E85)*(($D$5:$D$504=D85)*(D85&lt;&gt;"")+($B$5:$B$504=B85)*(B85&lt;&gt;"")&gt;0))&gt;0,"БЛОК: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85" s="5">
        <f>IF(AND(B85="",C85="",E85=""),"",SUM($G$5:G85))</f>
        <v/>
      </c>
    </row>
    <row r="86">
      <c r="A86" s="6" t="n">
        <v>82</v>
      </c>
      <c r="B86" s="7" t="n"/>
      <c r="C86" s="8" t="n"/>
      <c r="D86" s="8" t="n"/>
      <c r="E86" s="9" t="n"/>
      <c r="F86" s="8" t="n"/>
      <c r="G86" s="5">
        <f>IF(OR(C86="",E86=""),0,IF(C86="Начисление по акту",E86,IF(OR(C86="Оплата",C86="Зачёт аванса по договору"),-E86,IF(C86="Корректировка (подписана обеими сторонами)",E86,0))))</f>
        <v/>
      </c>
      <c r="H86" s="5">
        <f>IF(OR(C86="Удержание",C86="Зачёт встречного требования",C86="Неустойка заявлена"),N(E86),0)</f>
        <v/>
      </c>
      <c r="I86" s="6">
        <f>IF(AND(B86="",C86="",D86="",E86="",F86=""),"",IF(OR(B86="",C86="",E86=""),"БЛОК: нужны дата, тип операции и сумма",IF(N(E86)&lt;=0,"БЛОК: сумма должна быть больше нуля",IF(AND(G86&lt;&gt;0,F86=""),"БЛОК: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нельзя",IF(AND(F86&lt;&gt;"",COUNTIF('Долг по актам'!$B$5:$B$34,F86)=0),"БЛОК: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договору")&gt;0)*($C$5:$C$504&lt;&gt;C86)*($E$5:$E$504=E86)*(($D$5:$D$504=D86)*(D86&lt;&gt;"")+($B$5:$B$504=B86)*(B86&lt;&gt;"")&gt;0))&gt;0,"БЛОК: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86" s="5">
        <f>IF(AND(B86="",C86="",E86=""),"",SUM($G$5:G86))</f>
        <v/>
      </c>
    </row>
    <row r="87">
      <c r="A87" s="6" t="n">
        <v>83</v>
      </c>
      <c r="B87" s="7" t="n"/>
      <c r="C87" s="8" t="n"/>
      <c r="D87" s="8" t="n"/>
      <c r="E87" s="9" t="n"/>
      <c r="F87" s="8" t="n"/>
      <c r="G87" s="5">
        <f>IF(OR(C87="",E87=""),0,IF(C87="Начисление по акту",E87,IF(OR(C87="Оплата",C87="Зачёт аванса по договору"),-E87,IF(C87="Корректировка (подписана обеими сторонами)",E87,0))))</f>
        <v/>
      </c>
      <c r="H87" s="5">
        <f>IF(OR(C87="Удержание",C87="Зачёт встречного требования",C87="Неустойка заявлена"),N(E87),0)</f>
        <v/>
      </c>
      <c r="I87" s="6">
        <f>IF(AND(B87="",C87="",D87="",E87="",F87=""),"",IF(OR(B87="",C87="",E87=""),"БЛОК: нужны дата, тип операции и сумма",IF(N(E87)&lt;=0,"БЛОК: сумма должна быть больше нуля",IF(AND(G87&lt;&gt;0,F87=""),"БЛОК: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нельзя",IF(AND(F87&lt;&gt;"",COUNTIF('Долг по актам'!$B$5:$B$34,F87)=0),"БЛОК: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договору")&gt;0)*($C$5:$C$504&lt;&gt;C87)*($E$5:$E$504=E87)*(($D$5:$D$504=D87)*(D87&lt;&gt;"")+($B$5:$B$504=B87)*(B87&lt;&gt;"")&gt;0))&gt;0,"БЛОК: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87" s="5">
        <f>IF(AND(B87="",C87="",E87=""),"",SUM($G$5:G87))</f>
        <v/>
      </c>
    </row>
    <row r="88">
      <c r="A88" s="6" t="n">
        <v>84</v>
      </c>
      <c r="B88" s="7" t="n"/>
      <c r="C88" s="8" t="n"/>
      <c r="D88" s="8" t="n"/>
      <c r="E88" s="9" t="n"/>
      <c r="F88" s="8" t="n"/>
      <c r="G88" s="5">
        <f>IF(OR(C88="",E88=""),0,IF(C88="Начисление по акту",E88,IF(OR(C88="Оплата",C88="Зачёт аванса по договору"),-E88,IF(C88="Корректировка (подписана обеими сторонами)",E88,0))))</f>
        <v/>
      </c>
      <c r="H88" s="5">
        <f>IF(OR(C88="Удержание",C88="Зачёт встречного требования",C88="Неустойка заявлена"),N(E88),0)</f>
        <v/>
      </c>
      <c r="I88" s="6">
        <f>IF(AND(B88="",C88="",D88="",E88="",F88=""),"",IF(OR(B88="",C88="",E88=""),"БЛОК: нужны дата, тип операции и сумма",IF(N(E88)&lt;=0,"БЛОК: сумма должна быть больше нуля",IF(AND(G88&lt;&gt;0,F88=""),"БЛОК: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нельзя",IF(AND(F88&lt;&gt;"",COUNTIF('Долг по актам'!$B$5:$B$34,F88)=0),"БЛОК: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договору")&gt;0)*($C$5:$C$504&lt;&gt;C88)*($E$5:$E$504=E88)*(($D$5:$D$504=D88)*(D88&lt;&gt;"")+($B$5:$B$504=B88)*(B88&lt;&gt;"")&gt;0))&gt;0,"БЛОК: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88" s="5">
        <f>IF(AND(B88="",C88="",E88=""),"",SUM($G$5:G88))</f>
        <v/>
      </c>
    </row>
    <row r="89">
      <c r="A89" s="6" t="n">
        <v>85</v>
      </c>
      <c r="B89" s="7" t="n"/>
      <c r="C89" s="8" t="n"/>
      <c r="D89" s="8" t="n"/>
      <c r="E89" s="9" t="n"/>
      <c r="F89" s="8" t="n"/>
      <c r="G89" s="5">
        <f>IF(OR(C89="",E89=""),0,IF(C89="Начисление по акту",E89,IF(OR(C89="Оплата",C89="Зачёт аванса по договору"),-E89,IF(C89="Корректировка (подписана обеими сторонами)",E89,0))))</f>
        <v/>
      </c>
      <c r="H89" s="5">
        <f>IF(OR(C89="Удержание",C89="Зачёт встречного требования",C89="Неустойка заявлена"),N(E89),0)</f>
        <v/>
      </c>
      <c r="I89" s="6">
        <f>IF(AND(B89="",C89="",D89="",E89="",F89=""),"",IF(OR(B89="",C89="",E89=""),"БЛОК: нужны дата, тип операции и сумма",IF(N(E89)&lt;=0,"БЛОК: сумма должна быть больше нуля",IF(AND(G89&lt;&gt;0,F89=""),"БЛОК: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нельзя",IF(AND(F89&lt;&gt;"",COUNTIF('Долг по актам'!$B$5:$B$34,F89)=0),"БЛОК: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договору")&gt;0)*($C$5:$C$504&lt;&gt;C89)*($E$5:$E$504=E89)*(($D$5:$D$504=D89)*(D89&lt;&gt;"")+($B$5:$B$504=B89)*(B89&lt;&gt;"")&gt;0))&gt;0,"БЛОК: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89" s="5">
        <f>IF(AND(B89="",C89="",E89=""),"",SUM($G$5:G89))</f>
        <v/>
      </c>
    </row>
    <row r="90">
      <c r="A90" s="6" t="n">
        <v>86</v>
      </c>
      <c r="B90" s="7" t="n"/>
      <c r="C90" s="8" t="n"/>
      <c r="D90" s="8" t="n"/>
      <c r="E90" s="9" t="n"/>
      <c r="F90" s="8" t="n"/>
      <c r="G90" s="5">
        <f>IF(OR(C90="",E90=""),0,IF(C90="Начисление по акту",E90,IF(OR(C90="Оплата",C90="Зачёт аванса по договору"),-E90,IF(C90="Корректировка (подписана обеими сторонами)",E90,0))))</f>
        <v/>
      </c>
      <c r="H90" s="5">
        <f>IF(OR(C90="Удержание",C90="Зачёт встречного требования",C90="Неустойка заявлена"),N(E90),0)</f>
        <v/>
      </c>
      <c r="I90" s="6">
        <f>IF(AND(B90="",C90="",D90="",E90="",F90=""),"",IF(OR(B90="",C90="",E90=""),"БЛОК: нужны дата, тип операции и сумма",IF(N(E90)&lt;=0,"БЛОК: сумма должна быть больше нуля",IF(AND(G90&lt;&gt;0,F90=""),"БЛОК: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нельзя",IF(AND(F90&lt;&gt;"",COUNTIF('Долг по актам'!$B$5:$B$34,F90)=0),"БЛОК: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договору")&gt;0)*($C$5:$C$504&lt;&gt;C90)*($E$5:$E$504=E90)*(($D$5:$D$504=D90)*(D90&lt;&gt;"")+($B$5:$B$504=B90)*(B90&lt;&gt;"")&gt;0))&gt;0,"БЛОК: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90" s="5">
        <f>IF(AND(B90="",C90="",E90=""),"",SUM($G$5:G90))</f>
        <v/>
      </c>
    </row>
    <row r="91">
      <c r="A91" s="6" t="n">
        <v>87</v>
      </c>
      <c r="B91" s="7" t="n"/>
      <c r="C91" s="8" t="n"/>
      <c r="D91" s="8" t="n"/>
      <c r="E91" s="9" t="n"/>
      <c r="F91" s="8" t="n"/>
      <c r="G91" s="5">
        <f>IF(OR(C91="",E91=""),0,IF(C91="Начисление по акту",E91,IF(OR(C91="Оплата",C91="Зачёт аванса по договору"),-E91,IF(C91="Корректировка (подписана обеими сторонами)",E91,0))))</f>
        <v/>
      </c>
      <c r="H91" s="5">
        <f>IF(OR(C91="Удержание",C91="Зачёт встречного требования",C91="Неустойка заявлена"),N(E91),0)</f>
        <v/>
      </c>
      <c r="I91" s="6">
        <f>IF(AND(B91="",C91="",D91="",E91="",F91=""),"",IF(OR(B91="",C91="",E91=""),"БЛОК: нужны дата, тип операции и сумма",IF(N(E91)&lt;=0,"БЛОК: сумма должна быть больше нуля",IF(AND(G91&lt;&gt;0,F91=""),"БЛОК: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нельзя",IF(AND(F91&lt;&gt;"",COUNTIF('Долг по актам'!$B$5:$B$34,F91)=0),"БЛОК: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договору")&gt;0)*($C$5:$C$504&lt;&gt;C91)*($E$5:$E$504=E91)*(($D$5:$D$504=D91)*(D91&lt;&gt;"")+($B$5:$B$504=B91)*(B91&lt;&gt;"")&gt;0))&gt;0,"БЛОК: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91" s="5">
        <f>IF(AND(B91="",C91="",E91=""),"",SUM($G$5:G91))</f>
        <v/>
      </c>
    </row>
    <row r="92">
      <c r="A92" s="6" t="n">
        <v>88</v>
      </c>
      <c r="B92" s="7" t="n"/>
      <c r="C92" s="8" t="n"/>
      <c r="D92" s="8" t="n"/>
      <c r="E92" s="9" t="n"/>
      <c r="F92" s="8" t="n"/>
      <c r="G92" s="5">
        <f>IF(OR(C92="",E92=""),0,IF(C92="Начисление по акту",E92,IF(OR(C92="Оплата",C92="Зачёт аванса по договору"),-E92,IF(C92="Корректировка (подписана обеими сторонами)",E92,0))))</f>
        <v/>
      </c>
      <c r="H92" s="5">
        <f>IF(OR(C92="Удержание",C92="Зачёт встречного требования",C92="Неустойка заявлена"),N(E92),0)</f>
        <v/>
      </c>
      <c r="I92" s="6">
        <f>IF(AND(B92="",C92="",D92="",E92="",F92=""),"",IF(OR(B92="",C92="",E92=""),"БЛОК: нужны дата, тип операции и сумма",IF(N(E92)&lt;=0,"БЛОК: сумма должна быть больше нуля",IF(AND(G92&lt;&gt;0,F92=""),"БЛОК: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нельзя",IF(AND(F92&lt;&gt;"",COUNTIF('Долг по актам'!$B$5:$B$34,F92)=0),"БЛОК: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договору")&gt;0)*($C$5:$C$504&lt;&gt;C92)*($E$5:$E$504=E92)*(($D$5:$D$504=D92)*(D92&lt;&gt;"")+($B$5:$B$504=B92)*(B92&lt;&gt;"")&gt;0))&gt;0,"БЛОК: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92" s="5">
        <f>IF(AND(B92="",C92="",E92=""),"",SUM($G$5:G92))</f>
        <v/>
      </c>
    </row>
    <row r="93">
      <c r="A93" s="6" t="n">
        <v>89</v>
      </c>
      <c r="B93" s="7" t="n"/>
      <c r="C93" s="8" t="n"/>
      <c r="D93" s="8" t="n"/>
      <c r="E93" s="9" t="n"/>
      <c r="F93" s="8" t="n"/>
      <c r="G93" s="5">
        <f>IF(OR(C93="",E93=""),0,IF(C93="Начисление по акту",E93,IF(OR(C93="Оплата",C93="Зачёт аванса по договору"),-E93,IF(C93="Корректировка (подписана обеими сторонами)",E93,0))))</f>
        <v/>
      </c>
      <c r="H93" s="5">
        <f>IF(OR(C93="Удержание",C93="Зачёт встречного требования",C93="Неустойка заявлена"),N(E93),0)</f>
        <v/>
      </c>
      <c r="I93" s="6">
        <f>IF(AND(B93="",C93="",D93="",E93="",F93=""),"",IF(OR(B93="",C93="",E93=""),"БЛОК: нужны дата, тип операции и сумма",IF(N(E93)&lt;=0,"БЛОК: сумма должна быть больше нуля",IF(AND(G93&lt;&gt;0,F93=""),"БЛОК: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нельзя",IF(AND(F93&lt;&gt;"",COUNTIF('Долг по актам'!$B$5:$B$34,F93)=0),"БЛОК: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договору")&gt;0)*($C$5:$C$504&lt;&gt;C93)*($E$5:$E$504=E93)*(($D$5:$D$504=D93)*(D93&lt;&gt;"")+($B$5:$B$504=B93)*(B93&lt;&gt;"")&gt;0))&gt;0,"БЛОК: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93" s="5">
        <f>IF(AND(B93="",C93="",E93=""),"",SUM($G$5:G93))</f>
        <v/>
      </c>
    </row>
    <row r="94">
      <c r="A94" s="6" t="n">
        <v>90</v>
      </c>
      <c r="B94" s="7" t="n"/>
      <c r="C94" s="8" t="n"/>
      <c r="D94" s="8" t="n"/>
      <c r="E94" s="9" t="n"/>
      <c r="F94" s="8" t="n"/>
      <c r="G94" s="5">
        <f>IF(OR(C94="",E94=""),0,IF(C94="Начисление по акту",E94,IF(OR(C94="Оплата",C94="Зачёт аванса по договору"),-E94,IF(C94="Корректировка (подписана обеими сторонами)",E94,0))))</f>
        <v/>
      </c>
      <c r="H94" s="5">
        <f>IF(OR(C94="Удержание",C94="Зачёт встречного требования",C94="Неустойка заявлена"),N(E94),0)</f>
        <v/>
      </c>
      <c r="I94" s="6">
        <f>IF(AND(B94="",C94="",D94="",E94="",F94=""),"",IF(OR(B94="",C94="",E94=""),"БЛОК: нужны дата, тип операции и сумма",IF(N(E94)&lt;=0,"БЛОК: сумма должна быть больше нуля",IF(AND(G94&lt;&gt;0,F94=""),"БЛОК: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нельзя",IF(AND(F94&lt;&gt;"",COUNTIF('Долг по актам'!$B$5:$B$34,F94)=0),"БЛОК: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договору")&gt;0)*($C$5:$C$504&lt;&gt;C94)*($E$5:$E$504=E94)*(($D$5:$D$504=D94)*(D94&lt;&gt;"")+($B$5:$B$504=B94)*(B94&lt;&gt;"")&gt;0))&gt;0,"БЛОК: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94" s="5">
        <f>IF(AND(B94="",C94="",E94=""),"",SUM($G$5:G94))</f>
        <v/>
      </c>
    </row>
    <row r="95">
      <c r="A95" s="6" t="n">
        <v>91</v>
      </c>
      <c r="B95" s="7" t="n"/>
      <c r="C95" s="8" t="n"/>
      <c r="D95" s="8" t="n"/>
      <c r="E95" s="9" t="n"/>
      <c r="F95" s="8" t="n"/>
      <c r="G95" s="5">
        <f>IF(OR(C95="",E95=""),0,IF(C95="Начисление по акту",E95,IF(OR(C95="Оплата",C95="Зачёт аванса по договору"),-E95,IF(C95="Корректировка (подписана обеими сторонами)",E95,0))))</f>
        <v/>
      </c>
      <c r="H95" s="5">
        <f>IF(OR(C95="Удержание",C95="Зачёт встречного требования",C95="Неустойка заявлена"),N(E95),0)</f>
        <v/>
      </c>
      <c r="I95" s="6">
        <f>IF(AND(B95="",C95="",D95="",E95="",F95=""),"",IF(OR(B95="",C95="",E95=""),"БЛОК: нужны дата, тип операции и сумма",IF(N(E95)&lt;=0,"БЛОК: сумма должна быть больше нуля",IF(AND(G95&lt;&gt;0,F95=""),"БЛОК: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нельзя",IF(AND(F95&lt;&gt;"",COUNTIF('Долг по актам'!$B$5:$B$34,F95)=0),"БЛОК: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договору")&gt;0)*($C$5:$C$504&lt;&gt;C95)*($E$5:$E$504=E95)*(($D$5:$D$504=D95)*(D95&lt;&gt;"")+($B$5:$B$504=B95)*(B95&lt;&gt;"")&gt;0))&gt;0,"БЛОК: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95" s="5">
        <f>IF(AND(B95="",C95="",E95=""),"",SUM($G$5:G95))</f>
        <v/>
      </c>
    </row>
    <row r="96">
      <c r="A96" s="6" t="n">
        <v>92</v>
      </c>
      <c r="B96" s="7" t="n"/>
      <c r="C96" s="8" t="n"/>
      <c r="D96" s="8" t="n"/>
      <c r="E96" s="9" t="n"/>
      <c r="F96" s="8" t="n"/>
      <c r="G96" s="5">
        <f>IF(OR(C96="",E96=""),0,IF(C96="Начисление по акту",E96,IF(OR(C96="Оплата",C96="Зачёт аванса по договору"),-E96,IF(C96="Корректировка (подписана обеими сторонами)",E96,0))))</f>
        <v/>
      </c>
      <c r="H96" s="5">
        <f>IF(OR(C96="Удержание",C96="Зачёт встречного требования",C96="Неустойка заявлена"),N(E96),0)</f>
        <v/>
      </c>
      <c r="I96" s="6">
        <f>IF(AND(B96="",C96="",D96="",E96="",F96=""),"",IF(OR(B96="",C96="",E96=""),"БЛОК: нужны дата, тип операции и сумма",IF(N(E96)&lt;=0,"БЛОК: сумма должна быть больше нуля",IF(AND(G96&lt;&gt;0,F96=""),"БЛОК: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нельзя",IF(AND(F96&lt;&gt;"",COUNTIF('Долг по актам'!$B$5:$B$34,F96)=0),"БЛОК: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договору")&gt;0)*($C$5:$C$504&lt;&gt;C96)*($E$5:$E$504=E96)*(($D$5:$D$504=D96)*(D96&lt;&gt;"")+($B$5:$B$504=B96)*(B96&lt;&gt;"")&gt;0))&gt;0,"БЛОК: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96" s="5">
        <f>IF(AND(B96="",C96="",E96=""),"",SUM($G$5:G96))</f>
        <v/>
      </c>
    </row>
    <row r="97">
      <c r="A97" s="6" t="n">
        <v>93</v>
      </c>
      <c r="B97" s="7" t="n"/>
      <c r="C97" s="8" t="n"/>
      <c r="D97" s="8" t="n"/>
      <c r="E97" s="9" t="n"/>
      <c r="F97" s="8" t="n"/>
      <c r="G97" s="5">
        <f>IF(OR(C97="",E97=""),0,IF(C97="Начисление по акту",E97,IF(OR(C97="Оплата",C97="Зачёт аванса по договору"),-E97,IF(C97="Корректировка (подписана обеими сторонами)",E97,0))))</f>
        <v/>
      </c>
      <c r="H97" s="5">
        <f>IF(OR(C97="Удержание",C97="Зачёт встречного требования",C97="Неустойка заявлена"),N(E97),0)</f>
        <v/>
      </c>
      <c r="I97" s="6">
        <f>IF(AND(B97="",C97="",D97="",E97="",F97=""),"",IF(OR(B97="",C97="",E97=""),"БЛОК: нужны дата, тип операции и сумма",IF(N(E97)&lt;=0,"БЛОК: сумма должна быть больше нуля",IF(AND(G97&lt;&gt;0,F97=""),"БЛОК: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нельзя",IF(AND(F97&lt;&gt;"",COUNTIF('Долг по актам'!$B$5:$B$34,F97)=0),"БЛОК: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договору")&gt;0)*($C$5:$C$504&lt;&gt;C97)*($E$5:$E$504=E97)*(($D$5:$D$504=D97)*(D97&lt;&gt;"")+($B$5:$B$504=B97)*(B97&lt;&gt;"")&gt;0))&gt;0,"БЛОК: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97" s="5">
        <f>IF(AND(B97="",C97="",E97=""),"",SUM($G$5:G97))</f>
        <v/>
      </c>
    </row>
    <row r="98">
      <c r="A98" s="6" t="n">
        <v>94</v>
      </c>
      <c r="B98" s="7" t="n"/>
      <c r="C98" s="8" t="n"/>
      <c r="D98" s="8" t="n"/>
      <c r="E98" s="9" t="n"/>
      <c r="F98" s="8" t="n"/>
      <c r="G98" s="5">
        <f>IF(OR(C98="",E98=""),0,IF(C98="Начисление по акту",E98,IF(OR(C98="Оплата",C98="Зачёт аванса по договору"),-E98,IF(C98="Корректировка (подписана обеими сторонами)",E98,0))))</f>
        <v/>
      </c>
      <c r="H98" s="5">
        <f>IF(OR(C98="Удержание",C98="Зачёт встречного требования",C98="Неустойка заявлена"),N(E98),0)</f>
        <v/>
      </c>
      <c r="I98" s="6">
        <f>IF(AND(B98="",C98="",D98="",E98="",F98=""),"",IF(OR(B98="",C98="",E98=""),"БЛОК: нужны дата, тип операции и сумма",IF(N(E98)&lt;=0,"БЛОК: сумма должна быть больше нуля",IF(AND(G98&lt;&gt;0,F98=""),"БЛОК: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нельзя",IF(AND(F98&lt;&gt;"",COUNTIF('Долг по актам'!$B$5:$B$34,F98)=0),"БЛОК: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договору")&gt;0)*($C$5:$C$504&lt;&gt;C98)*($E$5:$E$504=E98)*(($D$5:$D$504=D98)*(D98&lt;&gt;"")+($B$5:$B$504=B98)*(B98&lt;&gt;"")&gt;0))&gt;0,"БЛОК: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98" s="5">
        <f>IF(AND(B98="",C98="",E98=""),"",SUM($G$5:G98))</f>
        <v/>
      </c>
    </row>
    <row r="99">
      <c r="A99" s="6" t="n">
        <v>95</v>
      </c>
      <c r="B99" s="7" t="n"/>
      <c r="C99" s="8" t="n"/>
      <c r="D99" s="8" t="n"/>
      <c r="E99" s="9" t="n"/>
      <c r="F99" s="8" t="n"/>
      <c r="G99" s="5">
        <f>IF(OR(C99="",E99=""),0,IF(C99="Начисление по акту",E99,IF(OR(C99="Оплата",C99="Зачёт аванса по договору"),-E99,IF(C99="Корректировка (подписана обеими сторонами)",E99,0))))</f>
        <v/>
      </c>
      <c r="H99" s="5">
        <f>IF(OR(C99="Удержание",C99="Зачёт встречного требования",C99="Неустойка заявлена"),N(E99),0)</f>
        <v/>
      </c>
      <c r="I99" s="6">
        <f>IF(AND(B99="",C99="",D99="",E99="",F99=""),"",IF(OR(B99="",C99="",E99=""),"БЛОК: нужны дата, тип операции и сумма",IF(N(E99)&lt;=0,"БЛОК: сумма должна быть больше нуля",IF(AND(G99&lt;&gt;0,F99=""),"БЛОК: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нельзя",IF(AND(F99&lt;&gt;"",COUNTIF('Долг по актам'!$B$5:$B$34,F99)=0),"БЛОК: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договору")&gt;0)*($C$5:$C$504&lt;&gt;C99)*($E$5:$E$504=E99)*(($D$5:$D$504=D99)*(D99&lt;&gt;"")+($B$5:$B$504=B99)*(B99&lt;&gt;"")&gt;0))&gt;0,"БЛОК: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99" s="5">
        <f>IF(AND(B99="",C99="",E99=""),"",SUM($G$5:G99))</f>
        <v/>
      </c>
    </row>
    <row r="100">
      <c r="A100" s="6" t="n">
        <v>96</v>
      </c>
      <c r="B100" s="7" t="n"/>
      <c r="C100" s="8" t="n"/>
      <c r="D100" s="8" t="n"/>
      <c r="E100" s="9" t="n"/>
      <c r="F100" s="8" t="n"/>
      <c r="G100" s="5">
        <f>IF(OR(C100="",E100=""),0,IF(C100="Начисление по акту",E100,IF(OR(C100="Оплата",C100="Зачёт аванса по договору"),-E100,IF(C100="Корректировка (подписана обеими сторонами)",E100,0))))</f>
        <v/>
      </c>
      <c r="H100" s="5">
        <f>IF(OR(C100="Удержание",C100="Зачёт встречного требования",C100="Неустойка заявлена"),N(E100),0)</f>
        <v/>
      </c>
      <c r="I100" s="6">
        <f>IF(AND(B100="",C100="",D100="",E100="",F100=""),"",IF(OR(B100="",C100="",E100=""),"БЛОК: нужны дата, тип операции и сумма",IF(N(E100)&lt;=0,"БЛОК: сумма должна быть больше нуля",IF(AND(G100&lt;&gt;0,F100=""),"БЛОК: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нельзя",IF(AND(F100&lt;&gt;"",COUNTIF('Долг по актам'!$B$5:$B$34,F100)=0),"БЛОК: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договору")&gt;0)*($C$5:$C$504&lt;&gt;C100)*($E$5:$E$504=E100)*(($D$5:$D$504=D100)*(D100&lt;&gt;"")+($B$5:$B$504=B100)*(B100&lt;&gt;"")&gt;0))&gt;0,"БЛОК: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100" s="5">
        <f>IF(AND(B100="",C100="",E100=""),"",SUM($G$5:G100))</f>
        <v/>
      </c>
    </row>
    <row r="101">
      <c r="A101" s="6" t="n">
        <v>97</v>
      </c>
      <c r="B101" s="7" t="n"/>
      <c r="C101" s="8" t="n"/>
      <c r="D101" s="8" t="n"/>
      <c r="E101" s="9" t="n"/>
      <c r="F101" s="8" t="n"/>
      <c r="G101" s="5">
        <f>IF(OR(C101="",E101=""),0,IF(C101="Начисление по акту",E101,IF(OR(C101="Оплата",C101="Зачёт аванса по договору"),-E101,IF(C101="Корректировка (подписана обеими сторонами)",E101,0))))</f>
        <v/>
      </c>
      <c r="H101" s="5">
        <f>IF(OR(C101="Удержание",C101="Зачёт встречного требования",C101="Неустойка заявлена"),N(E101),0)</f>
        <v/>
      </c>
      <c r="I101" s="6">
        <f>IF(AND(B101="",C101="",D101="",E101="",F101=""),"",IF(OR(B101="",C101="",E101=""),"БЛОК: нужны дата, тип операции и сумма",IF(N(E101)&lt;=0,"БЛОК: сумма должна быть больше нуля",IF(AND(G101&lt;&gt;0,F101=""),"БЛОК: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нельзя",IF(AND(F101&lt;&gt;"",COUNTIF('Долг по актам'!$B$5:$B$34,F101)=0),"БЛОК: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договору")&gt;0)*($C$5:$C$504&lt;&gt;C101)*($E$5:$E$504=E101)*(($D$5:$D$504=D101)*(D101&lt;&gt;"")+($B$5:$B$504=B101)*(B101&lt;&gt;"")&gt;0))&gt;0,"БЛОК: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101" s="5">
        <f>IF(AND(B101="",C101="",E101=""),"",SUM($G$5:G101))</f>
        <v/>
      </c>
    </row>
    <row r="102">
      <c r="A102" s="6" t="n">
        <v>98</v>
      </c>
      <c r="B102" s="7" t="n"/>
      <c r="C102" s="8" t="n"/>
      <c r="D102" s="8" t="n"/>
      <c r="E102" s="9" t="n"/>
      <c r="F102" s="8" t="n"/>
      <c r="G102" s="5">
        <f>IF(OR(C102="",E102=""),0,IF(C102="Начисление по акту",E102,IF(OR(C102="Оплата",C102="Зачёт аванса по договору"),-E102,IF(C102="Корректировка (подписана обеими сторонами)",E102,0))))</f>
        <v/>
      </c>
      <c r="H102" s="5">
        <f>IF(OR(C102="Удержание",C102="Зачёт встречного требования",C102="Неустойка заявлена"),N(E102),0)</f>
        <v/>
      </c>
      <c r="I102" s="6">
        <f>IF(AND(B102="",C102="",D102="",E102="",F102=""),"",IF(OR(B102="",C102="",E102=""),"БЛОК: нужны дата, тип операции и сумма",IF(N(E102)&lt;=0,"БЛОК: сумма должна быть больше нуля",IF(AND(G102&lt;&gt;0,F102=""),"БЛОК: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нельзя",IF(AND(F102&lt;&gt;"",COUNTIF('Долг по актам'!$B$5:$B$34,F102)=0),"БЛОК: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договору")&gt;0)*($C$5:$C$504&lt;&gt;C102)*($E$5:$E$504=E102)*(($D$5:$D$504=D102)*(D102&lt;&gt;"")+($B$5:$B$504=B102)*(B102&lt;&gt;"")&gt;0))&gt;0,"БЛОК: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102" s="5">
        <f>IF(AND(B102="",C102="",E102=""),"",SUM($G$5:G102))</f>
        <v/>
      </c>
    </row>
    <row r="103">
      <c r="A103" s="6" t="n">
        <v>99</v>
      </c>
      <c r="B103" s="7" t="n"/>
      <c r="C103" s="8" t="n"/>
      <c r="D103" s="8" t="n"/>
      <c r="E103" s="9" t="n"/>
      <c r="F103" s="8" t="n"/>
      <c r="G103" s="5">
        <f>IF(OR(C103="",E103=""),0,IF(C103="Начисление по акту",E103,IF(OR(C103="Оплата",C103="Зачёт аванса по договору"),-E103,IF(C103="Корректировка (подписана обеими сторонами)",E103,0))))</f>
        <v/>
      </c>
      <c r="H103" s="5">
        <f>IF(OR(C103="Удержание",C103="Зачёт встречного требования",C103="Неустойка заявлена"),N(E103),0)</f>
        <v/>
      </c>
      <c r="I103" s="6">
        <f>IF(AND(B103="",C103="",D103="",E103="",F103=""),"",IF(OR(B103="",C103="",E103=""),"БЛОК: нужны дата, тип операции и сумма",IF(N(E103)&lt;=0,"БЛОК: сумма должна быть больше нуля",IF(AND(G103&lt;&gt;0,F103=""),"БЛОК: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нельзя",IF(AND(F103&lt;&gt;"",COUNTIF('Долг по актам'!$B$5:$B$34,F103)=0),"БЛОК: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договору")&gt;0)*($C$5:$C$504&lt;&gt;C103)*($E$5:$E$504=E103)*(($D$5:$D$504=D103)*(D103&lt;&gt;"")+($B$5:$B$504=B103)*(B103&lt;&gt;"")&gt;0))&gt;0,"БЛОК: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103" s="5">
        <f>IF(AND(B103="",C103="",E103=""),"",SUM($G$5:G103))</f>
        <v/>
      </c>
    </row>
    <row r="104">
      <c r="A104" s="6" t="n">
        <v>100</v>
      </c>
      <c r="B104" s="7" t="n"/>
      <c r="C104" s="8" t="n"/>
      <c r="D104" s="8" t="n"/>
      <c r="E104" s="9" t="n"/>
      <c r="F104" s="8" t="n"/>
      <c r="G104" s="5">
        <f>IF(OR(C104="",E104=""),0,IF(C104="Начисление по акту",E104,IF(OR(C104="Оплата",C104="Зачёт аванса по договору"),-E104,IF(C104="Корректировка (подписана обеими сторонами)",E104,0))))</f>
        <v/>
      </c>
      <c r="H104" s="5">
        <f>IF(OR(C104="Удержание",C104="Зачёт встречного требования",C104="Неустойка заявлена"),N(E104),0)</f>
        <v/>
      </c>
      <c r="I104" s="6">
        <f>IF(AND(B104="",C104="",D104="",E104="",F104=""),"",IF(OR(B104="",C104="",E104=""),"БЛОК: нужны дата, тип операции и сумма",IF(N(E104)&lt;=0,"БЛОК: сумма должна быть больше нуля",IF(AND(G104&lt;&gt;0,F104=""),"БЛОК: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нельзя",IF(AND(F104&lt;&gt;"",COUNTIF('Долг по актам'!$B$5:$B$34,F104)=0),"БЛОК: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договору")&gt;0)*($C$5:$C$504&lt;&gt;C104)*($E$5:$E$504=E104)*(($D$5:$D$504=D104)*(D104&lt;&gt;"")+($B$5:$B$504=B104)*(B104&lt;&gt;"")&gt;0))&gt;0,"БЛОК: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104" s="5">
        <f>IF(AND(B104="",C104="",E104=""),"",SUM($G$5:G104))</f>
        <v/>
      </c>
    </row>
    <row r="105">
      <c r="A105" s="6" t="n">
        <v>101</v>
      </c>
      <c r="B105" s="7" t="n"/>
      <c r="C105" s="8" t="n"/>
      <c r="D105" s="8" t="n"/>
      <c r="E105" s="9" t="n"/>
      <c r="F105" s="8" t="n"/>
      <c r="G105" s="5">
        <f>IF(OR(C105="",E105=""),0,IF(C105="Начисление по акту",E105,IF(OR(C105="Оплата",C105="Зачёт аванса по договору"),-E105,IF(C105="Корректировка (подписана обеими сторонами)",E105,0))))</f>
        <v/>
      </c>
      <c r="H105" s="5">
        <f>IF(OR(C105="Удержание",C105="Зачёт встречного требования",C105="Неустойка заявлена"),N(E105),0)</f>
        <v/>
      </c>
      <c r="I105" s="6">
        <f>IF(AND(B105="",C105="",D105="",E105="",F105=""),"",IF(OR(B105="",C105="",E105=""),"БЛОК: нужны дата, тип операции и сумма",IF(N(E105)&lt;=0,"БЛОК: сумма должна быть больше нуля",IF(AND(G105&lt;&gt;0,F105=""),"БЛОК: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нельзя",IF(AND(F105&lt;&gt;"",COUNTIF('Долг по актам'!$B$5:$B$34,F105)=0),"БЛОК: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договору")&gt;0)*($C$5:$C$504&lt;&gt;C105)*($E$5:$E$504=E105)*(($D$5:$D$504=D105)*(D105&lt;&gt;"")+($B$5:$B$504=B105)*(B105&lt;&gt;"")&gt;0))&gt;0,"БЛОК: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105" s="5">
        <f>IF(AND(B105="",C105="",E105=""),"",SUM($G$5:G105))</f>
        <v/>
      </c>
    </row>
    <row r="106">
      <c r="A106" s="6" t="n">
        <v>102</v>
      </c>
      <c r="B106" s="7" t="n"/>
      <c r="C106" s="8" t="n"/>
      <c r="D106" s="8" t="n"/>
      <c r="E106" s="9" t="n"/>
      <c r="F106" s="8" t="n"/>
      <c r="G106" s="5">
        <f>IF(OR(C106="",E106=""),0,IF(C106="Начисление по акту",E106,IF(OR(C106="Оплата",C106="Зачёт аванса по договору"),-E106,IF(C106="Корректировка (подписана обеими сторонами)",E106,0))))</f>
        <v/>
      </c>
      <c r="H106" s="5">
        <f>IF(OR(C106="Удержание",C106="Зачёт встречного требования",C106="Неустойка заявлена"),N(E106),0)</f>
        <v/>
      </c>
      <c r="I106" s="6">
        <f>IF(AND(B106="",C106="",D106="",E106="",F106=""),"",IF(OR(B106="",C106="",E106=""),"БЛОК: нужны дата, тип операции и сумма",IF(N(E106)&lt;=0,"БЛОК: сумма должна быть больше нуля",IF(AND(G106&lt;&gt;0,F106=""),"БЛОК: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нельзя",IF(AND(F106&lt;&gt;"",COUNTIF('Долг по актам'!$B$5:$B$34,F106)=0),"БЛОК: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договору")&gt;0)*($C$5:$C$504&lt;&gt;C106)*($E$5:$E$504=E106)*(($D$5:$D$504=D106)*(D106&lt;&gt;"")+($B$5:$B$504=B106)*(B106&lt;&gt;"")&gt;0))&gt;0,"БЛОК: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106" s="5">
        <f>IF(AND(B106="",C106="",E106=""),"",SUM($G$5:G106))</f>
        <v/>
      </c>
    </row>
    <row r="107">
      <c r="A107" s="6" t="n">
        <v>103</v>
      </c>
      <c r="B107" s="7" t="n"/>
      <c r="C107" s="8" t="n"/>
      <c r="D107" s="8" t="n"/>
      <c r="E107" s="9" t="n"/>
      <c r="F107" s="8" t="n"/>
      <c r="G107" s="5">
        <f>IF(OR(C107="",E107=""),0,IF(C107="Начисление по акту",E107,IF(OR(C107="Оплата",C107="Зачёт аванса по договору"),-E107,IF(C107="Корректировка (подписана обеими сторонами)",E107,0))))</f>
        <v/>
      </c>
      <c r="H107" s="5">
        <f>IF(OR(C107="Удержание",C107="Зачёт встречного требования",C107="Неустойка заявлена"),N(E107),0)</f>
        <v/>
      </c>
      <c r="I107" s="6">
        <f>IF(AND(B107="",C107="",D107="",E107="",F107=""),"",IF(OR(B107="",C107="",E107=""),"БЛОК: нужны дата, тип операции и сумма",IF(N(E107)&lt;=0,"БЛОК: сумма должна быть больше нуля",IF(AND(G107&lt;&gt;0,F107=""),"БЛОК: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нельзя",IF(AND(F107&lt;&gt;"",COUNTIF('Долг по актам'!$B$5:$B$34,F107)=0),"БЛОК: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договору")&gt;0)*($C$5:$C$504&lt;&gt;C107)*($E$5:$E$504=E107)*(($D$5:$D$504=D107)*(D107&lt;&gt;"")+($B$5:$B$504=B107)*(B107&lt;&gt;"")&gt;0))&gt;0,"БЛОК: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107" s="5">
        <f>IF(AND(B107="",C107="",E107=""),"",SUM($G$5:G107))</f>
        <v/>
      </c>
    </row>
    <row r="108">
      <c r="A108" s="6" t="n">
        <v>104</v>
      </c>
      <c r="B108" s="7" t="n"/>
      <c r="C108" s="8" t="n"/>
      <c r="D108" s="8" t="n"/>
      <c r="E108" s="9" t="n"/>
      <c r="F108" s="8" t="n"/>
      <c r="G108" s="5">
        <f>IF(OR(C108="",E108=""),0,IF(C108="Начисление по акту",E108,IF(OR(C108="Оплата",C108="Зачёт аванса по договору"),-E108,IF(C108="Корректировка (подписана обеими сторонами)",E108,0))))</f>
        <v/>
      </c>
      <c r="H108" s="5">
        <f>IF(OR(C108="Удержание",C108="Зачёт встречного требования",C108="Неустойка заявлена"),N(E108),0)</f>
        <v/>
      </c>
      <c r="I108" s="6">
        <f>IF(AND(B108="",C108="",D108="",E108="",F108=""),"",IF(OR(B108="",C108="",E108=""),"БЛОК: нужны дата, тип операции и сумма",IF(N(E108)&lt;=0,"БЛОК: сумма должна быть больше нуля",IF(AND(G108&lt;&gt;0,F108=""),"БЛОК: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нельзя",IF(AND(F108&lt;&gt;"",COUNTIF('Долг по актам'!$B$5:$B$34,F108)=0),"БЛОК: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договору")&gt;0)*($C$5:$C$504&lt;&gt;C108)*($E$5:$E$504=E108)*(($D$5:$D$504=D108)*(D108&lt;&gt;"")+($B$5:$B$504=B108)*(B108&lt;&gt;"")&gt;0))&gt;0,"БЛОК: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108" s="5">
        <f>IF(AND(B108="",C108="",E108=""),"",SUM($G$5:G108))</f>
        <v/>
      </c>
    </row>
    <row r="109">
      <c r="A109" s="6" t="n">
        <v>105</v>
      </c>
      <c r="B109" s="7" t="n"/>
      <c r="C109" s="8" t="n"/>
      <c r="D109" s="8" t="n"/>
      <c r="E109" s="9" t="n"/>
      <c r="F109" s="8" t="n"/>
      <c r="G109" s="5">
        <f>IF(OR(C109="",E109=""),0,IF(C109="Начисление по акту",E109,IF(OR(C109="Оплата",C109="Зачёт аванса по договору"),-E109,IF(C109="Корректировка (подписана обеими сторонами)",E109,0))))</f>
        <v/>
      </c>
      <c r="H109" s="5">
        <f>IF(OR(C109="Удержание",C109="Зачёт встречного требования",C109="Неустойка заявлена"),N(E109),0)</f>
        <v/>
      </c>
      <c r="I109" s="6">
        <f>IF(AND(B109="",C109="",D109="",E109="",F109=""),"",IF(OR(B109="",C109="",E109=""),"БЛОК: нужны дата, тип операции и сумма",IF(N(E109)&lt;=0,"БЛОК: сумма должна быть больше нуля",IF(AND(G109&lt;&gt;0,F109=""),"БЛОК: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нельзя",IF(AND(F109&lt;&gt;"",COUNTIF('Долг по актам'!$B$5:$B$34,F109)=0),"БЛОК: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договору")&gt;0)*($C$5:$C$504&lt;&gt;C109)*($E$5:$E$504=E109)*(($D$5:$D$504=D109)*(D109&lt;&gt;"")+($B$5:$B$504=B109)*(B109&lt;&gt;"")&gt;0))&gt;0,"БЛОК: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109" s="5">
        <f>IF(AND(B109="",C109="",E109=""),"",SUM($G$5:G109))</f>
        <v/>
      </c>
    </row>
    <row r="110">
      <c r="A110" s="6" t="n">
        <v>106</v>
      </c>
      <c r="B110" s="7" t="n"/>
      <c r="C110" s="8" t="n"/>
      <c r="D110" s="8" t="n"/>
      <c r="E110" s="9" t="n"/>
      <c r="F110" s="8" t="n"/>
      <c r="G110" s="5">
        <f>IF(OR(C110="",E110=""),0,IF(C110="Начисление по акту",E110,IF(OR(C110="Оплата",C110="Зачёт аванса по договору"),-E110,IF(C110="Корректировка (подписана обеими сторонами)",E110,0))))</f>
        <v/>
      </c>
      <c r="H110" s="5">
        <f>IF(OR(C110="Удержание",C110="Зачёт встречного требования",C110="Неустойка заявлена"),N(E110),0)</f>
        <v/>
      </c>
      <c r="I110" s="6">
        <f>IF(AND(B110="",C110="",D110="",E110="",F110=""),"",IF(OR(B110="",C110="",E110=""),"БЛОК: нужны дата, тип операции и сумма",IF(N(E110)&lt;=0,"БЛОК: сумма должна быть больше нуля",IF(AND(G110&lt;&gt;0,F110=""),"БЛОК: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нельзя",IF(AND(F110&lt;&gt;"",COUNTIF('Долг по актам'!$B$5:$B$34,F110)=0),"БЛОК: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договору")&gt;0)*($C$5:$C$504&lt;&gt;C110)*($E$5:$E$504=E110)*(($D$5:$D$504=D110)*(D110&lt;&gt;"")+($B$5:$B$504=B110)*(B110&lt;&gt;"")&gt;0))&gt;0,"БЛОК: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110" s="5">
        <f>IF(AND(B110="",C110="",E110=""),"",SUM($G$5:G110))</f>
        <v/>
      </c>
    </row>
    <row r="111">
      <c r="A111" s="6" t="n">
        <v>107</v>
      </c>
      <c r="B111" s="7" t="n"/>
      <c r="C111" s="8" t="n"/>
      <c r="D111" s="8" t="n"/>
      <c r="E111" s="9" t="n"/>
      <c r="F111" s="8" t="n"/>
      <c r="G111" s="5">
        <f>IF(OR(C111="",E111=""),0,IF(C111="Начисление по акту",E111,IF(OR(C111="Оплата",C111="Зачёт аванса по договору"),-E111,IF(C111="Корректировка (подписана обеими сторонами)",E111,0))))</f>
        <v/>
      </c>
      <c r="H111" s="5">
        <f>IF(OR(C111="Удержание",C111="Зачёт встречного требования",C111="Неустойка заявлена"),N(E111),0)</f>
        <v/>
      </c>
      <c r="I111" s="6">
        <f>IF(AND(B111="",C111="",D111="",E111="",F111=""),"",IF(OR(B111="",C111="",E111=""),"БЛОК: нужны дата, тип операции и сумма",IF(N(E111)&lt;=0,"БЛОК: сумма должна быть больше нуля",IF(AND(G111&lt;&gt;0,F111=""),"БЛОК: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нельзя",IF(AND(F111&lt;&gt;"",COUNTIF('Долг по актам'!$B$5:$B$34,F111)=0),"БЛОК: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договору")&gt;0)*($C$5:$C$504&lt;&gt;C111)*($E$5:$E$504=E111)*(($D$5:$D$504=D111)*(D111&lt;&gt;"")+($B$5:$B$504=B111)*(B111&lt;&gt;"")&gt;0))&gt;0,"БЛОК: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111" s="5">
        <f>IF(AND(B111="",C111="",E111=""),"",SUM($G$5:G111))</f>
        <v/>
      </c>
    </row>
    <row r="112">
      <c r="A112" s="6" t="n">
        <v>108</v>
      </c>
      <c r="B112" s="7" t="n"/>
      <c r="C112" s="8" t="n"/>
      <c r="D112" s="8" t="n"/>
      <c r="E112" s="9" t="n"/>
      <c r="F112" s="8" t="n"/>
      <c r="G112" s="5">
        <f>IF(OR(C112="",E112=""),0,IF(C112="Начисление по акту",E112,IF(OR(C112="Оплата",C112="Зачёт аванса по договору"),-E112,IF(C112="Корректировка (подписана обеими сторонами)",E112,0))))</f>
        <v/>
      </c>
      <c r="H112" s="5">
        <f>IF(OR(C112="Удержание",C112="Зачёт встречного требования",C112="Неустойка заявлена"),N(E112),0)</f>
        <v/>
      </c>
      <c r="I112" s="6">
        <f>IF(AND(B112="",C112="",D112="",E112="",F112=""),"",IF(OR(B112="",C112="",E112=""),"БЛОК: нужны дата, тип операции и сумма",IF(N(E112)&lt;=0,"БЛОК: сумма должна быть больше нуля",IF(AND(G112&lt;&gt;0,F112=""),"БЛОК: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нельзя",IF(AND(F112&lt;&gt;"",COUNTIF('Долг по актам'!$B$5:$B$34,F112)=0),"БЛОК: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договору")&gt;0)*($C$5:$C$504&lt;&gt;C112)*($E$5:$E$504=E112)*(($D$5:$D$504=D112)*(D112&lt;&gt;"")+($B$5:$B$504=B112)*(B112&lt;&gt;"")&gt;0))&gt;0,"БЛОК: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112" s="5">
        <f>IF(AND(B112="",C112="",E112=""),"",SUM($G$5:G112))</f>
        <v/>
      </c>
    </row>
    <row r="113">
      <c r="A113" s="6" t="n">
        <v>109</v>
      </c>
      <c r="B113" s="7" t="n"/>
      <c r="C113" s="8" t="n"/>
      <c r="D113" s="8" t="n"/>
      <c r="E113" s="9" t="n"/>
      <c r="F113" s="8" t="n"/>
      <c r="G113" s="5">
        <f>IF(OR(C113="",E113=""),0,IF(C113="Начисление по акту",E113,IF(OR(C113="Оплата",C113="Зачёт аванса по договору"),-E113,IF(C113="Корректировка (подписана обеими сторонами)",E113,0))))</f>
        <v/>
      </c>
      <c r="H113" s="5">
        <f>IF(OR(C113="Удержание",C113="Зачёт встречного требования",C113="Неустойка заявлена"),N(E113),0)</f>
        <v/>
      </c>
      <c r="I113" s="6">
        <f>IF(AND(B113="",C113="",D113="",E113="",F113=""),"",IF(OR(B113="",C113="",E113=""),"БЛОК: нужны дата, тип операции и сумма",IF(N(E113)&lt;=0,"БЛОК: сумма должна быть больше нуля",IF(AND(G113&lt;&gt;0,F113=""),"БЛОК: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нельзя",IF(AND(F113&lt;&gt;"",COUNTIF('Долг по актам'!$B$5:$B$34,F113)=0),"БЛОК: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договору")&gt;0)*($C$5:$C$504&lt;&gt;C113)*($E$5:$E$504=E113)*(($D$5:$D$504=D113)*(D113&lt;&gt;"")+($B$5:$B$504=B113)*(B113&lt;&gt;"")&gt;0))&gt;0,"БЛОК: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113" s="5">
        <f>IF(AND(B113="",C113="",E113=""),"",SUM($G$5:G113))</f>
        <v/>
      </c>
    </row>
    <row r="114">
      <c r="A114" s="6" t="n">
        <v>110</v>
      </c>
      <c r="B114" s="7" t="n"/>
      <c r="C114" s="8" t="n"/>
      <c r="D114" s="8" t="n"/>
      <c r="E114" s="9" t="n"/>
      <c r="F114" s="8" t="n"/>
      <c r="G114" s="5">
        <f>IF(OR(C114="",E114=""),0,IF(C114="Начисление по акту",E114,IF(OR(C114="Оплата",C114="Зачёт аванса по договору"),-E114,IF(C114="Корректировка (подписана обеими сторонами)",E114,0))))</f>
        <v/>
      </c>
      <c r="H114" s="5">
        <f>IF(OR(C114="Удержание",C114="Зачёт встречного требования",C114="Неустойка заявлена"),N(E114),0)</f>
        <v/>
      </c>
      <c r="I114" s="6">
        <f>IF(AND(B114="",C114="",D114="",E114="",F114=""),"",IF(OR(B114="",C114="",E114=""),"БЛОК: нужны дата, тип операции и сумма",IF(N(E114)&lt;=0,"БЛОК: сумма должна быть больше нуля",IF(AND(G114&lt;&gt;0,F114=""),"БЛОК: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нельзя",IF(AND(F114&lt;&gt;"",COUNTIF('Долг по актам'!$B$5:$B$34,F114)=0),"БЛОК: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договору")&gt;0)*($C$5:$C$504&lt;&gt;C114)*($E$5:$E$504=E114)*(($D$5:$D$504=D114)*(D114&lt;&gt;"")+($B$5:$B$504=B114)*(B114&lt;&gt;"")&gt;0))&gt;0,"БЛОК: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114" s="5">
        <f>IF(AND(B114="",C114="",E114=""),"",SUM($G$5:G114))</f>
        <v/>
      </c>
    </row>
    <row r="115">
      <c r="A115" s="6" t="n">
        <v>111</v>
      </c>
      <c r="B115" s="7" t="n"/>
      <c r="C115" s="8" t="n"/>
      <c r="D115" s="8" t="n"/>
      <c r="E115" s="9" t="n"/>
      <c r="F115" s="8" t="n"/>
      <c r="G115" s="5">
        <f>IF(OR(C115="",E115=""),0,IF(C115="Начисление по акту",E115,IF(OR(C115="Оплата",C115="Зачёт аванса по договору"),-E115,IF(C115="Корректировка (подписана обеими сторонами)",E115,0))))</f>
        <v/>
      </c>
      <c r="H115" s="5">
        <f>IF(OR(C115="Удержание",C115="Зачёт встречного требования",C115="Неустойка заявлена"),N(E115),0)</f>
        <v/>
      </c>
      <c r="I115" s="6">
        <f>IF(AND(B115="",C115="",D115="",E115="",F115=""),"",IF(OR(B115="",C115="",E115=""),"БЛОК: нужны дата, тип операции и сумма",IF(N(E115)&lt;=0,"БЛОК: сумма должна быть больше нуля",IF(AND(G115&lt;&gt;0,F115=""),"БЛОК: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нельзя",IF(AND(F115&lt;&gt;"",COUNTIF('Долг по актам'!$B$5:$B$34,F115)=0),"БЛОК: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договору")&gt;0)*($C$5:$C$504&lt;&gt;C115)*($E$5:$E$504=E115)*(($D$5:$D$504=D115)*(D115&lt;&gt;"")+($B$5:$B$504=B115)*(B115&lt;&gt;"")&gt;0))&gt;0,"БЛОК: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115" s="5">
        <f>IF(AND(B115="",C115="",E115=""),"",SUM($G$5:G115))</f>
        <v/>
      </c>
    </row>
    <row r="116">
      <c r="A116" s="6" t="n">
        <v>112</v>
      </c>
      <c r="B116" s="7" t="n"/>
      <c r="C116" s="8" t="n"/>
      <c r="D116" s="8" t="n"/>
      <c r="E116" s="9" t="n"/>
      <c r="F116" s="8" t="n"/>
      <c r="G116" s="5">
        <f>IF(OR(C116="",E116=""),0,IF(C116="Начисление по акту",E116,IF(OR(C116="Оплата",C116="Зачёт аванса по договору"),-E116,IF(C116="Корректировка (подписана обеими сторонами)",E116,0))))</f>
        <v/>
      </c>
      <c r="H116" s="5">
        <f>IF(OR(C116="Удержание",C116="Зачёт встречного требования",C116="Неустойка заявлена"),N(E116),0)</f>
        <v/>
      </c>
      <c r="I116" s="6">
        <f>IF(AND(B116="",C116="",D116="",E116="",F116=""),"",IF(OR(B116="",C116="",E116=""),"БЛОК: нужны дата, тип операции и сумма",IF(N(E116)&lt;=0,"БЛОК: сумма должна быть больше нуля",IF(AND(G116&lt;&gt;0,F116=""),"БЛОК: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нельзя",IF(AND(F116&lt;&gt;"",COUNTIF('Долг по актам'!$B$5:$B$34,F116)=0),"БЛОК: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договору")&gt;0)*($C$5:$C$504&lt;&gt;C116)*($E$5:$E$504=E116)*(($D$5:$D$504=D116)*(D116&lt;&gt;"")+($B$5:$B$504=B116)*(B116&lt;&gt;"")&gt;0))&gt;0,"БЛОК: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116" s="5">
        <f>IF(AND(B116="",C116="",E116=""),"",SUM($G$5:G116))</f>
        <v/>
      </c>
    </row>
    <row r="117">
      <c r="A117" s="6" t="n">
        <v>113</v>
      </c>
      <c r="B117" s="7" t="n"/>
      <c r="C117" s="8" t="n"/>
      <c r="D117" s="8" t="n"/>
      <c r="E117" s="9" t="n"/>
      <c r="F117" s="8" t="n"/>
      <c r="G117" s="5">
        <f>IF(OR(C117="",E117=""),0,IF(C117="Начисление по акту",E117,IF(OR(C117="Оплата",C117="Зачёт аванса по договору"),-E117,IF(C117="Корректировка (подписана обеими сторонами)",E117,0))))</f>
        <v/>
      </c>
      <c r="H117" s="5">
        <f>IF(OR(C117="Удержание",C117="Зачёт встречного требования",C117="Неустойка заявлена"),N(E117),0)</f>
        <v/>
      </c>
      <c r="I117" s="6">
        <f>IF(AND(B117="",C117="",D117="",E117="",F117=""),"",IF(OR(B117="",C117="",E117=""),"БЛОК: нужны дата, тип операции и сумма",IF(N(E117)&lt;=0,"БЛОК: сумма должна быть больше нуля",IF(AND(G117&lt;&gt;0,F117=""),"БЛОК: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нельзя",IF(AND(F117&lt;&gt;"",COUNTIF('Долг по актам'!$B$5:$B$34,F117)=0),"БЛОК: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договору")&gt;0)*($C$5:$C$504&lt;&gt;C117)*($E$5:$E$504=E117)*(($D$5:$D$504=D117)*(D117&lt;&gt;"")+($B$5:$B$504=B117)*(B117&lt;&gt;"")&gt;0))&gt;0,"БЛОК: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117" s="5">
        <f>IF(AND(B117="",C117="",E117=""),"",SUM($G$5:G117))</f>
        <v/>
      </c>
    </row>
    <row r="118">
      <c r="A118" s="6" t="n">
        <v>114</v>
      </c>
      <c r="B118" s="7" t="n"/>
      <c r="C118" s="8" t="n"/>
      <c r="D118" s="8" t="n"/>
      <c r="E118" s="9" t="n"/>
      <c r="F118" s="8" t="n"/>
      <c r="G118" s="5">
        <f>IF(OR(C118="",E118=""),0,IF(C118="Начисление по акту",E118,IF(OR(C118="Оплата",C118="Зачёт аванса по договору"),-E118,IF(C118="Корректировка (подписана обеими сторонами)",E118,0))))</f>
        <v/>
      </c>
      <c r="H118" s="5">
        <f>IF(OR(C118="Удержание",C118="Зачёт встречного требования",C118="Неустойка заявлена"),N(E118),0)</f>
        <v/>
      </c>
      <c r="I118" s="6">
        <f>IF(AND(B118="",C118="",D118="",E118="",F118=""),"",IF(OR(B118="",C118="",E118=""),"БЛОК: нужны дата, тип операции и сумма",IF(N(E118)&lt;=0,"БЛОК: сумма должна быть больше нуля",IF(AND(G118&lt;&gt;0,F118=""),"БЛОК: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нельзя",IF(AND(F118&lt;&gt;"",COUNTIF('Долг по актам'!$B$5:$B$34,F118)=0),"БЛОК: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договору")&gt;0)*($C$5:$C$504&lt;&gt;C118)*($E$5:$E$504=E118)*(($D$5:$D$504=D118)*(D118&lt;&gt;"")+($B$5:$B$504=B118)*(B118&lt;&gt;"")&gt;0))&gt;0,"БЛОК: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118" s="5">
        <f>IF(AND(B118="",C118="",E118=""),"",SUM($G$5:G118))</f>
        <v/>
      </c>
    </row>
    <row r="119">
      <c r="A119" s="6" t="n">
        <v>115</v>
      </c>
      <c r="B119" s="7" t="n"/>
      <c r="C119" s="8" t="n"/>
      <c r="D119" s="8" t="n"/>
      <c r="E119" s="9" t="n"/>
      <c r="F119" s="8" t="n"/>
      <c r="G119" s="5">
        <f>IF(OR(C119="",E119=""),0,IF(C119="Начисление по акту",E119,IF(OR(C119="Оплата",C119="Зачёт аванса по договору"),-E119,IF(C119="Корректировка (подписана обеими сторонами)",E119,0))))</f>
        <v/>
      </c>
      <c r="H119" s="5">
        <f>IF(OR(C119="Удержание",C119="Зачёт встречного требования",C119="Неустойка заявлена"),N(E119),0)</f>
        <v/>
      </c>
      <c r="I119" s="6">
        <f>IF(AND(B119="",C119="",D119="",E119="",F119=""),"",IF(OR(B119="",C119="",E119=""),"БЛОК: нужны дата, тип операции и сумма",IF(N(E119)&lt;=0,"БЛОК: сумма должна быть больше нуля",IF(AND(G119&lt;&gt;0,F119=""),"БЛОК: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нельзя",IF(AND(F119&lt;&gt;"",COUNTIF('Долг по актам'!$B$5:$B$34,F119)=0),"БЛОК: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договору")&gt;0)*($C$5:$C$504&lt;&gt;C119)*($E$5:$E$504=E119)*(($D$5:$D$504=D119)*(D119&lt;&gt;"")+($B$5:$B$504=B119)*(B119&lt;&gt;"")&gt;0))&gt;0,"БЛОК: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119" s="5">
        <f>IF(AND(B119="",C119="",E119=""),"",SUM($G$5:G119))</f>
        <v/>
      </c>
    </row>
    <row r="120">
      <c r="A120" s="6" t="n">
        <v>116</v>
      </c>
      <c r="B120" s="7" t="n"/>
      <c r="C120" s="8" t="n"/>
      <c r="D120" s="8" t="n"/>
      <c r="E120" s="9" t="n"/>
      <c r="F120" s="8" t="n"/>
      <c r="G120" s="5">
        <f>IF(OR(C120="",E120=""),0,IF(C120="Начисление по акту",E120,IF(OR(C120="Оплата",C120="Зачёт аванса по договору"),-E120,IF(C120="Корректировка (подписана обеими сторонами)",E120,0))))</f>
        <v/>
      </c>
      <c r="H120" s="5">
        <f>IF(OR(C120="Удержание",C120="Зачёт встречного требования",C120="Неустойка заявлена"),N(E120),0)</f>
        <v/>
      </c>
      <c r="I120" s="6">
        <f>IF(AND(B120="",C120="",D120="",E120="",F120=""),"",IF(OR(B120="",C120="",E120=""),"БЛОК: нужны дата, тип операции и сумма",IF(N(E120)&lt;=0,"БЛОК: сумма должна быть больше нуля",IF(AND(G120&lt;&gt;0,F120=""),"БЛОК: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нельзя",IF(AND(F120&lt;&gt;"",COUNTIF('Долг по актам'!$B$5:$B$34,F120)=0),"БЛОК: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договору")&gt;0)*($C$5:$C$504&lt;&gt;C120)*($E$5:$E$504=E120)*(($D$5:$D$504=D120)*(D120&lt;&gt;"")+($B$5:$B$504=B120)*(B120&lt;&gt;"")&gt;0))&gt;0,"БЛОК: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120" s="5">
        <f>IF(AND(B120="",C120="",E120=""),"",SUM($G$5:G120))</f>
        <v/>
      </c>
    </row>
    <row r="121">
      <c r="A121" s="6" t="n">
        <v>117</v>
      </c>
      <c r="B121" s="7" t="n"/>
      <c r="C121" s="8" t="n"/>
      <c r="D121" s="8" t="n"/>
      <c r="E121" s="9" t="n"/>
      <c r="F121" s="8" t="n"/>
      <c r="G121" s="5">
        <f>IF(OR(C121="",E121=""),0,IF(C121="Начисление по акту",E121,IF(OR(C121="Оплата",C121="Зачёт аванса по договору"),-E121,IF(C121="Корректировка (подписана обеими сторонами)",E121,0))))</f>
        <v/>
      </c>
      <c r="H121" s="5">
        <f>IF(OR(C121="Удержание",C121="Зачёт встречного требования",C121="Неустойка заявлена"),N(E121),0)</f>
        <v/>
      </c>
      <c r="I121" s="6">
        <f>IF(AND(B121="",C121="",D121="",E121="",F121=""),"",IF(OR(B121="",C121="",E121=""),"БЛОК: нужны дата, тип операции и сумма",IF(N(E121)&lt;=0,"БЛОК: сумма должна быть больше нуля",IF(AND(G121&lt;&gt;0,F121=""),"БЛОК: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нельзя",IF(AND(F121&lt;&gt;"",COUNTIF('Долг по актам'!$B$5:$B$34,F121)=0),"БЛОК: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договору")&gt;0)*($C$5:$C$504&lt;&gt;C121)*($E$5:$E$504=E121)*(($D$5:$D$504=D121)*(D121&lt;&gt;"")+($B$5:$B$504=B121)*(B121&lt;&gt;"")&gt;0))&gt;0,"БЛОК: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121" s="5">
        <f>IF(AND(B121="",C121="",E121=""),"",SUM($G$5:G121))</f>
        <v/>
      </c>
    </row>
    <row r="122">
      <c r="A122" s="6" t="n">
        <v>118</v>
      </c>
      <c r="B122" s="7" t="n"/>
      <c r="C122" s="8" t="n"/>
      <c r="D122" s="8" t="n"/>
      <c r="E122" s="9" t="n"/>
      <c r="F122" s="8" t="n"/>
      <c r="G122" s="5">
        <f>IF(OR(C122="",E122=""),0,IF(C122="Начисление по акту",E122,IF(OR(C122="Оплата",C122="Зачёт аванса по договору"),-E122,IF(C122="Корректировка (подписана обеими сторонами)",E122,0))))</f>
        <v/>
      </c>
      <c r="H122" s="5">
        <f>IF(OR(C122="Удержание",C122="Зачёт встречного требования",C122="Неустойка заявлена"),N(E122),0)</f>
        <v/>
      </c>
      <c r="I122" s="6">
        <f>IF(AND(B122="",C122="",D122="",E122="",F122=""),"",IF(OR(B122="",C122="",E122=""),"БЛОК: нужны дата, тип операции и сумма",IF(N(E122)&lt;=0,"БЛОК: сумма должна быть больше нуля",IF(AND(G122&lt;&gt;0,F122=""),"БЛОК: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нельзя",IF(AND(F122&lt;&gt;"",COUNTIF('Долг по актам'!$B$5:$B$34,F122)=0),"БЛОК: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договору")&gt;0)*($C$5:$C$504&lt;&gt;C122)*($E$5:$E$504=E122)*(($D$5:$D$504=D122)*(D122&lt;&gt;"")+($B$5:$B$504=B122)*(B122&lt;&gt;"")&gt;0))&gt;0,"БЛОК: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122" s="5">
        <f>IF(AND(B122="",C122="",E122=""),"",SUM($G$5:G122))</f>
        <v/>
      </c>
    </row>
    <row r="123">
      <c r="A123" s="6" t="n">
        <v>119</v>
      </c>
      <c r="B123" s="7" t="n"/>
      <c r="C123" s="8" t="n"/>
      <c r="D123" s="8" t="n"/>
      <c r="E123" s="9" t="n"/>
      <c r="F123" s="8" t="n"/>
      <c r="G123" s="5">
        <f>IF(OR(C123="",E123=""),0,IF(C123="Начисление по акту",E123,IF(OR(C123="Оплата",C123="Зачёт аванса по договору"),-E123,IF(C123="Корректировка (подписана обеими сторонами)",E123,0))))</f>
        <v/>
      </c>
      <c r="H123" s="5">
        <f>IF(OR(C123="Удержание",C123="Зачёт встречного требования",C123="Неустойка заявлена"),N(E123),0)</f>
        <v/>
      </c>
      <c r="I123" s="6">
        <f>IF(AND(B123="",C123="",D123="",E123="",F123=""),"",IF(OR(B123="",C123="",E123=""),"БЛОК: нужны дата, тип операции и сумма",IF(N(E123)&lt;=0,"БЛОК: сумма должна быть больше нуля",IF(AND(G123&lt;&gt;0,F123=""),"БЛОК: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нельзя",IF(AND(F123&lt;&gt;"",COUNTIF('Долг по актам'!$B$5:$B$34,F123)=0),"БЛОК: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договору")&gt;0)*($C$5:$C$504&lt;&gt;C123)*($E$5:$E$504=E123)*(($D$5:$D$504=D123)*(D123&lt;&gt;"")+($B$5:$B$504=B123)*(B123&lt;&gt;"")&gt;0))&gt;0,"БЛОК: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123" s="5">
        <f>IF(AND(B123="",C123="",E123=""),"",SUM($G$5:G123))</f>
        <v/>
      </c>
    </row>
    <row r="124">
      <c r="A124" s="6" t="n">
        <v>120</v>
      </c>
      <c r="B124" s="7" t="n"/>
      <c r="C124" s="8" t="n"/>
      <c r="D124" s="8" t="n"/>
      <c r="E124" s="9" t="n"/>
      <c r="F124" s="8" t="n"/>
      <c r="G124" s="5">
        <f>IF(OR(C124="",E124=""),0,IF(C124="Начисление по акту",E124,IF(OR(C124="Оплата",C124="Зачёт аванса по договору"),-E124,IF(C124="Корректировка (подписана обеими сторонами)",E124,0))))</f>
        <v/>
      </c>
      <c r="H124" s="5">
        <f>IF(OR(C124="Удержание",C124="Зачёт встречного требования",C124="Неустойка заявлена"),N(E124),0)</f>
        <v/>
      </c>
      <c r="I124" s="6">
        <f>IF(AND(B124="",C124="",D124="",E124="",F124=""),"",IF(OR(B124="",C124="",E124=""),"БЛОК: нужны дата, тип операции и сумма",IF(N(E124)&lt;=0,"БЛОК: сумма должна быть больше нуля",IF(AND(G124&lt;&gt;0,F124=""),"БЛОК: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нельзя",IF(AND(F124&lt;&gt;"",COUNTIF('Долг по актам'!$B$5:$B$34,F124)=0),"БЛОК: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договору")&gt;0)*($C$5:$C$504&lt;&gt;C124)*($E$5:$E$504=E124)*(($D$5:$D$504=D124)*(D124&lt;&gt;"")+($B$5:$B$504=B124)*(B124&lt;&gt;"")&gt;0))&gt;0,"БЛОК: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124" s="5">
        <f>IF(AND(B124="",C124="",E124=""),"",SUM($G$5:G124))</f>
        <v/>
      </c>
    </row>
    <row r="125">
      <c r="A125" s="6" t="n">
        <v>121</v>
      </c>
      <c r="B125" s="7" t="n"/>
      <c r="C125" s="8" t="n"/>
      <c r="D125" s="8" t="n"/>
      <c r="E125" s="9" t="n"/>
      <c r="F125" s="8" t="n"/>
      <c r="G125" s="5">
        <f>IF(OR(C125="",E125=""),0,IF(C125="Начисление по акту",E125,IF(OR(C125="Оплата",C125="Зачёт аванса по договору"),-E125,IF(C125="Корректировка (подписана обеими сторонами)",E125,0))))</f>
        <v/>
      </c>
      <c r="H125" s="5">
        <f>IF(OR(C125="Удержание",C125="Зачёт встречного требования",C125="Неустойка заявлена"),N(E125),0)</f>
        <v/>
      </c>
      <c r="I125" s="6">
        <f>IF(AND(B125="",C125="",D125="",E125="",F125=""),"",IF(OR(B125="",C125="",E125=""),"БЛОК: нужны дата, тип операции и сумма",IF(N(E125)&lt;=0,"БЛОК: сумма должна быть больше нуля",IF(AND(G125&lt;&gt;0,F125=""),"БЛОК: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нельзя",IF(AND(F125&lt;&gt;"",COUNTIF('Долг по актам'!$B$5:$B$34,F125)=0),"БЛОК: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договору")&gt;0)*($C$5:$C$504&lt;&gt;C125)*($E$5:$E$504=E125)*(($D$5:$D$504=D125)*(D125&lt;&gt;"")+($B$5:$B$504=B125)*(B125&lt;&gt;"")&gt;0))&gt;0,"БЛОК: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125" s="5">
        <f>IF(AND(B125="",C125="",E125=""),"",SUM($G$5:G125))</f>
        <v/>
      </c>
    </row>
    <row r="126">
      <c r="A126" s="6" t="n">
        <v>122</v>
      </c>
      <c r="B126" s="7" t="n"/>
      <c r="C126" s="8" t="n"/>
      <c r="D126" s="8" t="n"/>
      <c r="E126" s="9" t="n"/>
      <c r="F126" s="8" t="n"/>
      <c r="G126" s="5">
        <f>IF(OR(C126="",E126=""),0,IF(C126="Начисление по акту",E126,IF(OR(C126="Оплата",C126="Зачёт аванса по договору"),-E126,IF(C126="Корректировка (подписана обеими сторонами)",E126,0))))</f>
        <v/>
      </c>
      <c r="H126" s="5">
        <f>IF(OR(C126="Удержание",C126="Зачёт встречного требования",C126="Неустойка заявлена"),N(E126),0)</f>
        <v/>
      </c>
      <c r="I126" s="6">
        <f>IF(AND(B126="",C126="",D126="",E126="",F126=""),"",IF(OR(B126="",C126="",E126=""),"БЛОК: нужны дата, тип операции и сумма",IF(N(E126)&lt;=0,"БЛОК: сумма должна быть больше нуля",IF(AND(G126&lt;&gt;0,F126=""),"БЛОК: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нельзя",IF(AND(F126&lt;&gt;"",COUNTIF('Долг по актам'!$B$5:$B$34,F126)=0),"БЛОК: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договору")&gt;0)*($C$5:$C$504&lt;&gt;C126)*($E$5:$E$504=E126)*(($D$5:$D$504=D126)*(D126&lt;&gt;"")+($B$5:$B$504=B126)*(B126&lt;&gt;"")&gt;0))&gt;0,"БЛОК: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126" s="5">
        <f>IF(AND(B126="",C126="",E126=""),"",SUM($G$5:G126))</f>
        <v/>
      </c>
    </row>
    <row r="127">
      <c r="A127" s="6" t="n">
        <v>123</v>
      </c>
      <c r="B127" s="7" t="n"/>
      <c r="C127" s="8" t="n"/>
      <c r="D127" s="8" t="n"/>
      <c r="E127" s="9" t="n"/>
      <c r="F127" s="8" t="n"/>
      <c r="G127" s="5">
        <f>IF(OR(C127="",E127=""),0,IF(C127="Начисление по акту",E127,IF(OR(C127="Оплата",C127="Зачёт аванса по договору"),-E127,IF(C127="Корректировка (подписана обеими сторонами)",E127,0))))</f>
        <v/>
      </c>
      <c r="H127" s="5">
        <f>IF(OR(C127="Удержание",C127="Зачёт встречного требования",C127="Неустойка заявлена"),N(E127),0)</f>
        <v/>
      </c>
      <c r="I127" s="6">
        <f>IF(AND(B127="",C127="",D127="",E127="",F127=""),"",IF(OR(B127="",C127="",E127=""),"БЛОК: нужны дата, тип операции и сумма",IF(N(E127)&lt;=0,"БЛОК: сумма должна быть больше нуля",IF(AND(G127&lt;&gt;0,F127=""),"БЛОК: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нельзя",IF(AND(F127&lt;&gt;"",COUNTIF('Долг по актам'!$B$5:$B$34,F127)=0),"БЛОК: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договору")&gt;0)*($C$5:$C$504&lt;&gt;C127)*($E$5:$E$504=E127)*(($D$5:$D$504=D127)*(D127&lt;&gt;"")+($B$5:$B$504=B127)*(B127&lt;&gt;"")&gt;0))&gt;0,"БЛОК: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127" s="5">
        <f>IF(AND(B127="",C127="",E127=""),"",SUM($G$5:G127))</f>
        <v/>
      </c>
    </row>
    <row r="128">
      <c r="A128" s="6" t="n">
        <v>124</v>
      </c>
      <c r="B128" s="7" t="n"/>
      <c r="C128" s="8" t="n"/>
      <c r="D128" s="8" t="n"/>
      <c r="E128" s="9" t="n"/>
      <c r="F128" s="8" t="n"/>
      <c r="G128" s="5">
        <f>IF(OR(C128="",E128=""),0,IF(C128="Начисление по акту",E128,IF(OR(C128="Оплата",C128="Зачёт аванса по договору"),-E128,IF(C128="Корректировка (подписана обеими сторонами)",E128,0))))</f>
        <v/>
      </c>
      <c r="H128" s="5">
        <f>IF(OR(C128="Удержание",C128="Зачёт встречного требования",C128="Неустойка заявлена"),N(E128),0)</f>
        <v/>
      </c>
      <c r="I128" s="6">
        <f>IF(AND(B128="",C128="",D128="",E128="",F128=""),"",IF(OR(B128="",C128="",E128=""),"БЛОК: нужны дата, тип операции и сумма",IF(N(E128)&lt;=0,"БЛОК: сумма должна быть больше нуля",IF(AND(G128&lt;&gt;0,F128=""),"БЛОК: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нельзя",IF(AND(F128&lt;&gt;"",COUNTIF('Долг по актам'!$B$5:$B$34,F128)=0),"БЛОК: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договору")&gt;0)*($C$5:$C$504&lt;&gt;C128)*($E$5:$E$504=E128)*(($D$5:$D$504=D128)*(D128&lt;&gt;"")+($B$5:$B$504=B128)*(B128&lt;&gt;"")&gt;0))&gt;0,"БЛОК: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128" s="5">
        <f>IF(AND(B128="",C128="",E128=""),"",SUM($G$5:G128))</f>
        <v/>
      </c>
    </row>
    <row r="129">
      <c r="A129" s="6" t="n">
        <v>125</v>
      </c>
      <c r="B129" s="7" t="n"/>
      <c r="C129" s="8" t="n"/>
      <c r="D129" s="8" t="n"/>
      <c r="E129" s="9" t="n"/>
      <c r="F129" s="8" t="n"/>
      <c r="G129" s="5">
        <f>IF(OR(C129="",E129=""),0,IF(C129="Начисление по акту",E129,IF(OR(C129="Оплата",C129="Зачёт аванса по договору"),-E129,IF(C129="Корректировка (подписана обеими сторонами)",E129,0))))</f>
        <v/>
      </c>
      <c r="H129" s="5">
        <f>IF(OR(C129="Удержание",C129="Зачёт встречного требования",C129="Неустойка заявлена"),N(E129),0)</f>
        <v/>
      </c>
      <c r="I129" s="6">
        <f>IF(AND(B129="",C129="",D129="",E129="",F129=""),"",IF(OR(B129="",C129="",E129=""),"БЛОК: нужны дата, тип операции и сумма",IF(N(E129)&lt;=0,"БЛОК: сумма должна быть больше нуля",IF(AND(G129&lt;&gt;0,F129=""),"БЛОК: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нельзя",IF(AND(F129&lt;&gt;"",COUNTIF('Долг по актам'!$B$5:$B$34,F129)=0),"БЛОК: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договору")&gt;0)*($C$5:$C$504&lt;&gt;C129)*($E$5:$E$504=E129)*(($D$5:$D$504=D129)*(D129&lt;&gt;"")+($B$5:$B$504=B129)*(B129&lt;&gt;"")&gt;0))&gt;0,"БЛОК: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129" s="5">
        <f>IF(AND(B129="",C129="",E129=""),"",SUM($G$5:G129))</f>
        <v/>
      </c>
    </row>
    <row r="130">
      <c r="A130" s="6" t="n">
        <v>126</v>
      </c>
      <c r="B130" s="7" t="n"/>
      <c r="C130" s="8" t="n"/>
      <c r="D130" s="8" t="n"/>
      <c r="E130" s="9" t="n"/>
      <c r="F130" s="8" t="n"/>
      <c r="G130" s="5">
        <f>IF(OR(C130="",E130=""),0,IF(C130="Начисление по акту",E130,IF(OR(C130="Оплата",C130="Зачёт аванса по договору"),-E130,IF(C130="Корректировка (подписана обеими сторонами)",E130,0))))</f>
        <v/>
      </c>
      <c r="H130" s="5">
        <f>IF(OR(C130="Удержание",C130="Зачёт встречного требования",C130="Неустойка заявлена"),N(E130),0)</f>
        <v/>
      </c>
      <c r="I130" s="6">
        <f>IF(AND(B130="",C130="",D130="",E130="",F130=""),"",IF(OR(B130="",C130="",E130=""),"БЛОК: нужны дата, тип операции и сумма",IF(N(E130)&lt;=0,"БЛОК: сумма должна быть больше нуля",IF(AND(G130&lt;&gt;0,F130=""),"БЛОК: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нельзя",IF(AND(F130&lt;&gt;"",COUNTIF('Долг по актам'!$B$5:$B$34,F130)=0),"БЛОК: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договору")&gt;0)*($C$5:$C$504&lt;&gt;C130)*($E$5:$E$504=E130)*(($D$5:$D$504=D130)*(D130&lt;&gt;"")+($B$5:$B$504=B130)*(B130&lt;&gt;"")&gt;0))&gt;0,"БЛОК: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130" s="5">
        <f>IF(AND(B130="",C130="",E130=""),"",SUM($G$5:G130))</f>
        <v/>
      </c>
    </row>
    <row r="131">
      <c r="A131" s="6" t="n">
        <v>127</v>
      </c>
      <c r="B131" s="7" t="n"/>
      <c r="C131" s="8" t="n"/>
      <c r="D131" s="8" t="n"/>
      <c r="E131" s="9" t="n"/>
      <c r="F131" s="8" t="n"/>
      <c r="G131" s="5">
        <f>IF(OR(C131="",E131=""),0,IF(C131="Начисление по акту",E131,IF(OR(C131="Оплата",C131="Зачёт аванса по договору"),-E131,IF(C131="Корректировка (подписана обеими сторонами)",E131,0))))</f>
        <v/>
      </c>
      <c r="H131" s="5">
        <f>IF(OR(C131="Удержание",C131="Зачёт встречного требования",C131="Неустойка заявлена"),N(E131),0)</f>
        <v/>
      </c>
      <c r="I131" s="6">
        <f>IF(AND(B131="",C131="",D131="",E131="",F131=""),"",IF(OR(B131="",C131="",E131=""),"БЛОК: нужны дата, тип операции и сумма",IF(N(E131)&lt;=0,"БЛОК: сумма должна быть больше нуля",IF(AND(G131&lt;&gt;0,F131=""),"БЛОК: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нельзя",IF(AND(F131&lt;&gt;"",COUNTIF('Долг по актам'!$B$5:$B$34,F131)=0),"БЛОК: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договору")&gt;0)*($C$5:$C$504&lt;&gt;C131)*($E$5:$E$504=E131)*(($D$5:$D$504=D131)*(D131&lt;&gt;"")+($B$5:$B$504=B131)*(B131&lt;&gt;"")&gt;0))&gt;0,"БЛОК: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131" s="5">
        <f>IF(AND(B131="",C131="",E131=""),"",SUM($G$5:G131))</f>
        <v/>
      </c>
    </row>
    <row r="132">
      <c r="A132" s="6" t="n">
        <v>128</v>
      </c>
      <c r="B132" s="7" t="n"/>
      <c r="C132" s="8" t="n"/>
      <c r="D132" s="8" t="n"/>
      <c r="E132" s="9" t="n"/>
      <c r="F132" s="8" t="n"/>
      <c r="G132" s="5">
        <f>IF(OR(C132="",E132=""),0,IF(C132="Начисление по акту",E132,IF(OR(C132="Оплата",C132="Зачёт аванса по договору"),-E132,IF(C132="Корректировка (подписана обеими сторонами)",E132,0))))</f>
        <v/>
      </c>
      <c r="H132" s="5">
        <f>IF(OR(C132="Удержание",C132="Зачёт встречного требования",C132="Неустойка заявлена"),N(E132),0)</f>
        <v/>
      </c>
      <c r="I132" s="6">
        <f>IF(AND(B132="",C132="",D132="",E132="",F132=""),"",IF(OR(B132="",C132="",E132=""),"БЛОК: нужны дата, тип операции и сумма",IF(N(E132)&lt;=0,"БЛОК: сумма должна быть больше нуля",IF(AND(G132&lt;&gt;0,F132=""),"БЛОК: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нельзя",IF(AND(F132&lt;&gt;"",COUNTIF('Долг по актам'!$B$5:$B$34,F132)=0),"БЛОК: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договору")&gt;0)*($C$5:$C$504&lt;&gt;C132)*($E$5:$E$504=E132)*(($D$5:$D$504=D132)*(D132&lt;&gt;"")+($B$5:$B$504=B132)*(B132&lt;&gt;"")&gt;0))&gt;0,"БЛОК: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132" s="5">
        <f>IF(AND(B132="",C132="",E132=""),"",SUM($G$5:G132))</f>
        <v/>
      </c>
    </row>
    <row r="133">
      <c r="A133" s="6" t="n">
        <v>129</v>
      </c>
      <c r="B133" s="7" t="n"/>
      <c r="C133" s="8" t="n"/>
      <c r="D133" s="8" t="n"/>
      <c r="E133" s="9" t="n"/>
      <c r="F133" s="8" t="n"/>
      <c r="G133" s="5">
        <f>IF(OR(C133="",E133=""),0,IF(C133="Начисление по акту",E133,IF(OR(C133="Оплата",C133="Зачёт аванса по договору"),-E133,IF(C133="Корректировка (подписана обеими сторонами)",E133,0))))</f>
        <v/>
      </c>
      <c r="H133" s="5">
        <f>IF(OR(C133="Удержание",C133="Зачёт встречного требования",C133="Неустойка заявлена"),N(E133),0)</f>
        <v/>
      </c>
      <c r="I133" s="6">
        <f>IF(AND(B133="",C133="",D133="",E133="",F133=""),"",IF(OR(B133="",C133="",E133=""),"БЛОК: нужны дата, тип операции и сумма",IF(N(E133)&lt;=0,"БЛОК: сумма должна быть больше нуля",IF(AND(G133&lt;&gt;0,F133=""),"БЛОК: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нельзя",IF(AND(F133&lt;&gt;"",COUNTIF('Долг по актам'!$B$5:$B$34,F133)=0),"БЛОК: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договору")&gt;0)*($C$5:$C$504&lt;&gt;C133)*($E$5:$E$504=E133)*(($D$5:$D$504=D133)*(D133&lt;&gt;"")+($B$5:$B$504=B133)*(B133&lt;&gt;"")&gt;0))&gt;0,"БЛОК: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133" s="5">
        <f>IF(AND(B133="",C133="",E133=""),"",SUM($G$5:G133))</f>
        <v/>
      </c>
    </row>
    <row r="134">
      <c r="A134" s="6" t="n">
        <v>130</v>
      </c>
      <c r="B134" s="7" t="n"/>
      <c r="C134" s="8" t="n"/>
      <c r="D134" s="8" t="n"/>
      <c r="E134" s="9" t="n"/>
      <c r="F134" s="8" t="n"/>
      <c r="G134" s="5">
        <f>IF(OR(C134="",E134=""),0,IF(C134="Начисление по акту",E134,IF(OR(C134="Оплата",C134="Зачёт аванса по договору"),-E134,IF(C134="Корректировка (подписана обеими сторонами)",E134,0))))</f>
        <v/>
      </c>
      <c r="H134" s="5">
        <f>IF(OR(C134="Удержание",C134="Зачёт встречного требования",C134="Неустойка заявлена"),N(E134),0)</f>
        <v/>
      </c>
      <c r="I134" s="6">
        <f>IF(AND(B134="",C134="",D134="",E134="",F134=""),"",IF(OR(B134="",C134="",E134=""),"БЛОК: нужны дата, тип операции и сумма",IF(N(E134)&lt;=0,"БЛОК: сумма должна быть больше нуля",IF(AND(G134&lt;&gt;0,F134=""),"БЛОК: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нельзя",IF(AND(F134&lt;&gt;"",COUNTIF('Долг по актам'!$B$5:$B$34,F134)=0),"БЛОК: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договору")&gt;0)*($C$5:$C$504&lt;&gt;C134)*($E$5:$E$504=E134)*(($D$5:$D$504=D134)*(D134&lt;&gt;"")+($B$5:$B$504=B134)*(B134&lt;&gt;"")&gt;0))&gt;0,"БЛОК: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134" s="5">
        <f>IF(AND(B134="",C134="",E134=""),"",SUM($G$5:G134))</f>
        <v/>
      </c>
    </row>
    <row r="135">
      <c r="A135" s="6" t="n">
        <v>131</v>
      </c>
      <c r="B135" s="7" t="n"/>
      <c r="C135" s="8" t="n"/>
      <c r="D135" s="8" t="n"/>
      <c r="E135" s="9" t="n"/>
      <c r="F135" s="8" t="n"/>
      <c r="G135" s="5">
        <f>IF(OR(C135="",E135=""),0,IF(C135="Начисление по акту",E135,IF(OR(C135="Оплата",C135="Зачёт аванса по договору"),-E135,IF(C135="Корректировка (подписана обеими сторонами)",E135,0))))</f>
        <v/>
      </c>
      <c r="H135" s="5">
        <f>IF(OR(C135="Удержание",C135="Зачёт встречного требования",C135="Неустойка заявлена"),N(E135),0)</f>
        <v/>
      </c>
      <c r="I135" s="6">
        <f>IF(AND(B135="",C135="",D135="",E135="",F135=""),"",IF(OR(B135="",C135="",E135=""),"БЛОК: нужны дата, тип операции и сумма",IF(N(E135)&lt;=0,"БЛОК: сумма должна быть больше нуля",IF(AND(G135&lt;&gt;0,F135=""),"БЛОК: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нельзя",IF(AND(F135&lt;&gt;"",COUNTIF('Долг по актам'!$B$5:$B$34,F135)=0),"БЛОК: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договору")&gt;0)*($C$5:$C$504&lt;&gt;C135)*($E$5:$E$504=E135)*(($D$5:$D$504=D135)*(D135&lt;&gt;"")+($B$5:$B$504=B135)*(B135&lt;&gt;"")&gt;0))&gt;0,"БЛОК: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135" s="5">
        <f>IF(AND(B135="",C135="",E135=""),"",SUM($G$5:G135))</f>
        <v/>
      </c>
    </row>
    <row r="136">
      <c r="A136" s="6" t="n">
        <v>132</v>
      </c>
      <c r="B136" s="7" t="n"/>
      <c r="C136" s="8" t="n"/>
      <c r="D136" s="8" t="n"/>
      <c r="E136" s="9" t="n"/>
      <c r="F136" s="8" t="n"/>
      <c r="G136" s="5">
        <f>IF(OR(C136="",E136=""),0,IF(C136="Начисление по акту",E136,IF(OR(C136="Оплата",C136="Зачёт аванса по договору"),-E136,IF(C136="Корректировка (подписана обеими сторонами)",E136,0))))</f>
        <v/>
      </c>
      <c r="H136" s="5">
        <f>IF(OR(C136="Удержание",C136="Зачёт встречного требования",C136="Неустойка заявлена"),N(E136),0)</f>
        <v/>
      </c>
      <c r="I136" s="6">
        <f>IF(AND(B136="",C136="",D136="",E136="",F136=""),"",IF(OR(B136="",C136="",E136=""),"БЛОК: нужны дата, тип операции и сумма",IF(N(E136)&lt;=0,"БЛОК: сумма должна быть больше нуля",IF(AND(G136&lt;&gt;0,F136=""),"БЛОК: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нельзя",IF(AND(F136&lt;&gt;"",COUNTIF('Долг по актам'!$B$5:$B$34,F136)=0),"БЛОК: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договору")&gt;0)*($C$5:$C$504&lt;&gt;C136)*($E$5:$E$504=E136)*(($D$5:$D$504=D136)*(D136&lt;&gt;"")+($B$5:$B$504=B136)*(B136&lt;&gt;"")&gt;0))&gt;0,"БЛОК: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136" s="5">
        <f>IF(AND(B136="",C136="",E136=""),"",SUM($G$5:G136))</f>
        <v/>
      </c>
    </row>
    <row r="137">
      <c r="A137" s="6" t="n">
        <v>133</v>
      </c>
      <c r="B137" s="7" t="n"/>
      <c r="C137" s="8" t="n"/>
      <c r="D137" s="8" t="n"/>
      <c r="E137" s="9" t="n"/>
      <c r="F137" s="8" t="n"/>
      <c r="G137" s="5">
        <f>IF(OR(C137="",E137=""),0,IF(C137="Начисление по акту",E137,IF(OR(C137="Оплата",C137="Зачёт аванса по договору"),-E137,IF(C137="Корректировка (подписана обеими сторонами)",E137,0))))</f>
        <v/>
      </c>
      <c r="H137" s="5">
        <f>IF(OR(C137="Удержание",C137="Зачёт встречного требования",C137="Неустойка заявлена"),N(E137),0)</f>
        <v/>
      </c>
      <c r="I137" s="6">
        <f>IF(AND(B137="",C137="",D137="",E137="",F137=""),"",IF(OR(B137="",C137="",E137=""),"БЛОК: нужны дата, тип операции и сумма",IF(N(E137)&lt;=0,"БЛОК: сумма должна быть больше нуля",IF(AND(G137&lt;&gt;0,F137=""),"БЛОК: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нельзя",IF(AND(F137&lt;&gt;"",COUNTIF('Долг по актам'!$B$5:$B$34,F137)=0),"БЛОК: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договору")&gt;0)*($C$5:$C$504&lt;&gt;C137)*($E$5:$E$504=E137)*(($D$5:$D$504=D137)*(D137&lt;&gt;"")+($B$5:$B$504=B137)*(B137&lt;&gt;"")&gt;0))&gt;0,"БЛОК: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137" s="5">
        <f>IF(AND(B137="",C137="",E137=""),"",SUM($G$5:G137))</f>
        <v/>
      </c>
    </row>
    <row r="138">
      <c r="A138" s="6" t="n">
        <v>134</v>
      </c>
      <c r="B138" s="7" t="n"/>
      <c r="C138" s="8" t="n"/>
      <c r="D138" s="8" t="n"/>
      <c r="E138" s="9" t="n"/>
      <c r="F138" s="8" t="n"/>
      <c r="G138" s="5">
        <f>IF(OR(C138="",E138=""),0,IF(C138="Начисление по акту",E138,IF(OR(C138="Оплата",C138="Зачёт аванса по договору"),-E138,IF(C138="Корректировка (подписана обеими сторонами)",E138,0))))</f>
        <v/>
      </c>
      <c r="H138" s="5">
        <f>IF(OR(C138="Удержание",C138="Зачёт встречного требования",C138="Неустойка заявлена"),N(E138),0)</f>
        <v/>
      </c>
      <c r="I138" s="6">
        <f>IF(AND(B138="",C138="",D138="",E138="",F138=""),"",IF(OR(B138="",C138="",E138=""),"БЛОК: нужны дата, тип операции и сумма",IF(N(E138)&lt;=0,"БЛОК: сумма должна быть больше нуля",IF(AND(G138&lt;&gt;0,F138=""),"БЛОК: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нельзя",IF(AND(F138&lt;&gt;"",COUNTIF('Долг по актам'!$B$5:$B$34,F138)=0),"БЛОК: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договору")&gt;0)*($C$5:$C$504&lt;&gt;C138)*($E$5:$E$504=E138)*(($D$5:$D$504=D138)*(D138&lt;&gt;"")+($B$5:$B$504=B138)*(B138&lt;&gt;"")&gt;0))&gt;0,"БЛОК: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138" s="5">
        <f>IF(AND(B138="",C138="",E138=""),"",SUM($G$5:G138))</f>
        <v/>
      </c>
    </row>
    <row r="139">
      <c r="A139" s="6" t="n">
        <v>135</v>
      </c>
      <c r="B139" s="7" t="n"/>
      <c r="C139" s="8" t="n"/>
      <c r="D139" s="8" t="n"/>
      <c r="E139" s="9" t="n"/>
      <c r="F139" s="8" t="n"/>
      <c r="G139" s="5">
        <f>IF(OR(C139="",E139=""),0,IF(C139="Начисление по акту",E139,IF(OR(C139="Оплата",C139="Зачёт аванса по договору"),-E139,IF(C139="Корректировка (подписана обеими сторонами)",E139,0))))</f>
        <v/>
      </c>
      <c r="H139" s="5">
        <f>IF(OR(C139="Удержание",C139="Зачёт встречного требования",C139="Неустойка заявлена"),N(E139),0)</f>
        <v/>
      </c>
      <c r="I139" s="6">
        <f>IF(AND(B139="",C139="",D139="",E139="",F139=""),"",IF(OR(B139="",C139="",E139=""),"БЛОК: нужны дата, тип операции и сумма",IF(N(E139)&lt;=0,"БЛОК: сумма должна быть больше нуля",IF(AND(G139&lt;&gt;0,F139=""),"БЛОК: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нельзя",IF(AND(F139&lt;&gt;"",COUNTIF('Долг по актам'!$B$5:$B$34,F139)=0),"БЛОК: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договору")&gt;0)*($C$5:$C$504&lt;&gt;C139)*($E$5:$E$504=E139)*(($D$5:$D$504=D139)*(D139&lt;&gt;"")+($B$5:$B$504=B139)*(B139&lt;&gt;"")&gt;0))&gt;0,"БЛОК: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139" s="5">
        <f>IF(AND(B139="",C139="",E139=""),"",SUM($G$5:G139))</f>
        <v/>
      </c>
    </row>
    <row r="140">
      <c r="A140" s="6" t="n">
        <v>136</v>
      </c>
      <c r="B140" s="7" t="n"/>
      <c r="C140" s="8" t="n"/>
      <c r="D140" s="8" t="n"/>
      <c r="E140" s="9" t="n"/>
      <c r="F140" s="8" t="n"/>
      <c r="G140" s="5">
        <f>IF(OR(C140="",E140=""),0,IF(C140="Начисление по акту",E140,IF(OR(C140="Оплата",C140="Зачёт аванса по договору"),-E140,IF(C140="Корректировка (подписана обеими сторонами)",E140,0))))</f>
        <v/>
      </c>
      <c r="H140" s="5">
        <f>IF(OR(C140="Удержание",C140="Зачёт встречного требования",C140="Неустойка заявлена"),N(E140),0)</f>
        <v/>
      </c>
      <c r="I140" s="6">
        <f>IF(AND(B140="",C140="",D140="",E140="",F140=""),"",IF(OR(B140="",C140="",E140=""),"БЛОК: нужны дата, тип операции и сумма",IF(N(E140)&lt;=0,"БЛОК: сумма должна быть больше нуля",IF(AND(G140&lt;&gt;0,F140=""),"БЛОК: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нельзя",IF(AND(F140&lt;&gt;"",COUNTIF('Долг по актам'!$B$5:$B$34,F140)=0),"БЛОК: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договору")&gt;0)*($C$5:$C$504&lt;&gt;C140)*($E$5:$E$504=E140)*(($D$5:$D$504=D140)*(D140&lt;&gt;"")+($B$5:$B$504=B140)*(B140&lt;&gt;"")&gt;0))&gt;0,"БЛОК: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140" s="5">
        <f>IF(AND(B140="",C140="",E140=""),"",SUM($G$5:G140))</f>
        <v/>
      </c>
    </row>
    <row r="141">
      <c r="A141" s="6" t="n">
        <v>137</v>
      </c>
      <c r="B141" s="7" t="n"/>
      <c r="C141" s="8" t="n"/>
      <c r="D141" s="8" t="n"/>
      <c r="E141" s="9" t="n"/>
      <c r="F141" s="8" t="n"/>
      <c r="G141" s="5">
        <f>IF(OR(C141="",E141=""),0,IF(C141="Начисление по акту",E141,IF(OR(C141="Оплата",C141="Зачёт аванса по договору"),-E141,IF(C141="Корректировка (подписана обеими сторонами)",E141,0))))</f>
        <v/>
      </c>
      <c r="H141" s="5">
        <f>IF(OR(C141="Удержание",C141="Зачёт встречного требования",C141="Неустойка заявлена"),N(E141),0)</f>
        <v/>
      </c>
      <c r="I141" s="6">
        <f>IF(AND(B141="",C141="",D141="",E141="",F141=""),"",IF(OR(B141="",C141="",E141=""),"БЛОК: нужны дата, тип операции и сумма",IF(N(E141)&lt;=0,"БЛОК: сумма должна быть больше нуля",IF(AND(G141&lt;&gt;0,F141=""),"БЛОК: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нельзя",IF(AND(F141&lt;&gt;"",COUNTIF('Долг по актам'!$B$5:$B$34,F141)=0),"БЛОК: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договору")&gt;0)*($C$5:$C$504&lt;&gt;C141)*($E$5:$E$504=E141)*(($D$5:$D$504=D141)*(D141&lt;&gt;"")+($B$5:$B$504=B141)*(B141&lt;&gt;"")&gt;0))&gt;0,"БЛОК: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141" s="5">
        <f>IF(AND(B141="",C141="",E141=""),"",SUM($G$5:G141))</f>
        <v/>
      </c>
    </row>
    <row r="142">
      <c r="A142" s="6" t="n">
        <v>138</v>
      </c>
      <c r="B142" s="7" t="n"/>
      <c r="C142" s="8" t="n"/>
      <c r="D142" s="8" t="n"/>
      <c r="E142" s="9" t="n"/>
      <c r="F142" s="8" t="n"/>
      <c r="G142" s="5">
        <f>IF(OR(C142="",E142=""),0,IF(C142="Начисление по акту",E142,IF(OR(C142="Оплата",C142="Зачёт аванса по договору"),-E142,IF(C142="Корректировка (подписана обеими сторонами)",E142,0))))</f>
        <v/>
      </c>
      <c r="H142" s="5">
        <f>IF(OR(C142="Удержание",C142="Зачёт встречного требования",C142="Неустойка заявлена"),N(E142),0)</f>
        <v/>
      </c>
      <c r="I142" s="6">
        <f>IF(AND(B142="",C142="",D142="",E142="",F142=""),"",IF(OR(B142="",C142="",E142=""),"БЛОК: нужны дата, тип операции и сумма",IF(N(E142)&lt;=0,"БЛОК: сумма должна быть больше нуля",IF(AND(G142&lt;&gt;0,F142=""),"БЛОК: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нельзя",IF(AND(F142&lt;&gt;"",COUNTIF('Долг по актам'!$B$5:$B$34,F142)=0),"БЛОК: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договору")&gt;0)*($C$5:$C$504&lt;&gt;C142)*($E$5:$E$504=E142)*(($D$5:$D$504=D142)*(D142&lt;&gt;"")+($B$5:$B$504=B142)*(B142&lt;&gt;"")&gt;0))&gt;0,"БЛОК: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142" s="5">
        <f>IF(AND(B142="",C142="",E142=""),"",SUM($G$5:G142))</f>
        <v/>
      </c>
    </row>
    <row r="143">
      <c r="A143" s="6" t="n">
        <v>139</v>
      </c>
      <c r="B143" s="7" t="n"/>
      <c r="C143" s="8" t="n"/>
      <c r="D143" s="8" t="n"/>
      <c r="E143" s="9" t="n"/>
      <c r="F143" s="8" t="n"/>
      <c r="G143" s="5">
        <f>IF(OR(C143="",E143=""),0,IF(C143="Начисление по акту",E143,IF(OR(C143="Оплата",C143="Зачёт аванса по договору"),-E143,IF(C143="Корректировка (подписана обеими сторонами)",E143,0))))</f>
        <v/>
      </c>
      <c r="H143" s="5">
        <f>IF(OR(C143="Удержание",C143="Зачёт встречного требования",C143="Неустойка заявлена"),N(E143),0)</f>
        <v/>
      </c>
      <c r="I143" s="6">
        <f>IF(AND(B143="",C143="",D143="",E143="",F143=""),"",IF(OR(B143="",C143="",E143=""),"БЛОК: нужны дата, тип операции и сумма",IF(N(E143)&lt;=0,"БЛОК: сумма должна быть больше нуля",IF(AND(G143&lt;&gt;0,F143=""),"БЛОК: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нельзя",IF(AND(F143&lt;&gt;"",COUNTIF('Долг по актам'!$B$5:$B$34,F143)=0),"БЛОК: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договору")&gt;0)*($C$5:$C$504&lt;&gt;C143)*($E$5:$E$504=E143)*(($D$5:$D$504=D143)*(D143&lt;&gt;"")+($B$5:$B$504=B143)*(B143&lt;&gt;"")&gt;0))&gt;0,"БЛОК: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143" s="5">
        <f>IF(AND(B143="",C143="",E143=""),"",SUM($G$5:G143))</f>
        <v/>
      </c>
    </row>
    <row r="144">
      <c r="A144" s="6" t="n">
        <v>140</v>
      </c>
      <c r="B144" s="7" t="n"/>
      <c r="C144" s="8" t="n"/>
      <c r="D144" s="8" t="n"/>
      <c r="E144" s="9" t="n"/>
      <c r="F144" s="8" t="n"/>
      <c r="G144" s="5">
        <f>IF(OR(C144="",E144=""),0,IF(C144="Начисление по акту",E144,IF(OR(C144="Оплата",C144="Зачёт аванса по договору"),-E144,IF(C144="Корректировка (подписана обеими сторонами)",E144,0))))</f>
        <v/>
      </c>
      <c r="H144" s="5">
        <f>IF(OR(C144="Удержание",C144="Зачёт встречного требования",C144="Неустойка заявлена"),N(E144),0)</f>
        <v/>
      </c>
      <c r="I144" s="6">
        <f>IF(AND(B144="",C144="",D144="",E144="",F144=""),"",IF(OR(B144="",C144="",E144=""),"БЛОК: нужны дата, тип операции и сумма",IF(N(E144)&lt;=0,"БЛОК: сумма должна быть больше нуля",IF(AND(G144&lt;&gt;0,F144=""),"БЛОК: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нельзя",IF(AND(F144&lt;&gt;"",COUNTIF('Долг по актам'!$B$5:$B$34,F144)=0),"БЛОК: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договору")&gt;0)*($C$5:$C$504&lt;&gt;C144)*($E$5:$E$504=E144)*(($D$5:$D$504=D144)*(D144&lt;&gt;"")+($B$5:$B$504=B144)*(B144&lt;&gt;"")&gt;0))&gt;0,"БЛОК: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144" s="5">
        <f>IF(AND(B144="",C144="",E144=""),"",SUM($G$5:G144))</f>
        <v/>
      </c>
    </row>
    <row r="145">
      <c r="A145" s="6" t="n">
        <v>141</v>
      </c>
      <c r="B145" s="7" t="n"/>
      <c r="C145" s="8" t="n"/>
      <c r="D145" s="8" t="n"/>
      <c r="E145" s="9" t="n"/>
      <c r="F145" s="8" t="n"/>
      <c r="G145" s="5">
        <f>IF(OR(C145="",E145=""),0,IF(C145="Начисление по акту",E145,IF(OR(C145="Оплата",C145="Зачёт аванса по договору"),-E145,IF(C145="Корректировка (подписана обеими сторонами)",E145,0))))</f>
        <v/>
      </c>
      <c r="H145" s="5">
        <f>IF(OR(C145="Удержание",C145="Зачёт встречного требования",C145="Неустойка заявлена"),N(E145),0)</f>
        <v/>
      </c>
      <c r="I145" s="6">
        <f>IF(AND(B145="",C145="",D145="",E145="",F145=""),"",IF(OR(B145="",C145="",E145=""),"БЛОК: нужны дата, тип операции и сумма",IF(N(E145)&lt;=0,"БЛОК: сумма должна быть больше нуля",IF(AND(G145&lt;&gt;0,F145=""),"БЛОК: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нельзя",IF(AND(F145&lt;&gt;"",COUNTIF('Долг по актам'!$B$5:$B$34,F145)=0),"БЛОК: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договору")&gt;0)*($C$5:$C$504&lt;&gt;C145)*($E$5:$E$504=E145)*(($D$5:$D$504=D145)*(D145&lt;&gt;"")+($B$5:$B$504=B145)*(B145&lt;&gt;"")&gt;0))&gt;0,"БЛОК: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145" s="5">
        <f>IF(AND(B145="",C145="",E145=""),"",SUM($G$5:G145))</f>
        <v/>
      </c>
    </row>
    <row r="146">
      <c r="A146" s="6" t="n">
        <v>142</v>
      </c>
      <c r="B146" s="7" t="n"/>
      <c r="C146" s="8" t="n"/>
      <c r="D146" s="8" t="n"/>
      <c r="E146" s="9" t="n"/>
      <c r="F146" s="8" t="n"/>
      <c r="G146" s="5">
        <f>IF(OR(C146="",E146=""),0,IF(C146="Начисление по акту",E146,IF(OR(C146="Оплата",C146="Зачёт аванса по договору"),-E146,IF(C146="Корректировка (подписана обеими сторонами)",E146,0))))</f>
        <v/>
      </c>
      <c r="H146" s="5">
        <f>IF(OR(C146="Удержание",C146="Зачёт встречного требования",C146="Неустойка заявлена"),N(E146),0)</f>
        <v/>
      </c>
      <c r="I146" s="6">
        <f>IF(AND(B146="",C146="",D146="",E146="",F146=""),"",IF(OR(B146="",C146="",E146=""),"БЛОК: нужны дата, тип операции и сумма",IF(N(E146)&lt;=0,"БЛОК: сумма должна быть больше нуля",IF(AND(G146&lt;&gt;0,F146=""),"БЛОК: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нельзя",IF(AND(F146&lt;&gt;"",COUNTIF('Долг по актам'!$B$5:$B$34,F146)=0),"БЛОК: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договору")&gt;0)*($C$5:$C$504&lt;&gt;C146)*($E$5:$E$504=E146)*(($D$5:$D$504=D146)*(D146&lt;&gt;"")+($B$5:$B$504=B146)*(B146&lt;&gt;"")&gt;0))&gt;0,"БЛОК: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146" s="5">
        <f>IF(AND(B146="",C146="",E146=""),"",SUM($G$5:G146))</f>
        <v/>
      </c>
    </row>
    <row r="147">
      <c r="A147" s="6" t="n">
        <v>143</v>
      </c>
      <c r="B147" s="7" t="n"/>
      <c r="C147" s="8" t="n"/>
      <c r="D147" s="8" t="n"/>
      <c r="E147" s="9" t="n"/>
      <c r="F147" s="8" t="n"/>
      <c r="G147" s="5">
        <f>IF(OR(C147="",E147=""),0,IF(C147="Начисление по акту",E147,IF(OR(C147="Оплата",C147="Зачёт аванса по договору"),-E147,IF(C147="Корректировка (подписана обеими сторонами)",E147,0))))</f>
        <v/>
      </c>
      <c r="H147" s="5">
        <f>IF(OR(C147="Удержание",C147="Зачёт встречного требования",C147="Неустойка заявлена"),N(E147),0)</f>
        <v/>
      </c>
      <c r="I147" s="6">
        <f>IF(AND(B147="",C147="",D147="",E147="",F147=""),"",IF(OR(B147="",C147="",E147=""),"БЛОК: нужны дата, тип операции и сумма",IF(N(E147)&lt;=0,"БЛОК: сумма должна быть больше нуля",IF(AND(G147&lt;&gt;0,F147=""),"БЛОК: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нельзя",IF(AND(F147&lt;&gt;"",COUNTIF('Долг по актам'!$B$5:$B$34,F147)=0),"БЛОК: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договору")&gt;0)*($C$5:$C$504&lt;&gt;C147)*($E$5:$E$504=E147)*(($D$5:$D$504=D147)*(D147&lt;&gt;"")+($B$5:$B$504=B147)*(B147&lt;&gt;"")&gt;0))&gt;0,"БЛОК: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147" s="5">
        <f>IF(AND(B147="",C147="",E147=""),"",SUM($G$5:G147))</f>
        <v/>
      </c>
    </row>
    <row r="148">
      <c r="A148" s="6" t="n">
        <v>144</v>
      </c>
      <c r="B148" s="7" t="n"/>
      <c r="C148" s="8" t="n"/>
      <c r="D148" s="8" t="n"/>
      <c r="E148" s="9" t="n"/>
      <c r="F148" s="8" t="n"/>
      <c r="G148" s="5">
        <f>IF(OR(C148="",E148=""),0,IF(C148="Начисление по акту",E148,IF(OR(C148="Оплата",C148="Зачёт аванса по договору"),-E148,IF(C148="Корректировка (подписана обеими сторонами)",E148,0))))</f>
        <v/>
      </c>
      <c r="H148" s="5">
        <f>IF(OR(C148="Удержание",C148="Зачёт встречного требования",C148="Неустойка заявлена"),N(E148),0)</f>
        <v/>
      </c>
      <c r="I148" s="6">
        <f>IF(AND(B148="",C148="",D148="",E148="",F148=""),"",IF(OR(B148="",C148="",E148=""),"БЛОК: нужны дата, тип операции и сумма",IF(N(E148)&lt;=0,"БЛОК: сумма должна быть больше нуля",IF(AND(G148&lt;&gt;0,F148=""),"БЛОК: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нельзя",IF(AND(F148&lt;&gt;"",COUNTIF('Долг по актам'!$B$5:$B$34,F148)=0),"БЛОК: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договору")&gt;0)*($C$5:$C$504&lt;&gt;C148)*($E$5:$E$504=E148)*(($D$5:$D$504=D148)*(D148&lt;&gt;"")+($B$5:$B$504=B148)*(B148&lt;&gt;"")&gt;0))&gt;0,"БЛОК: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148" s="5">
        <f>IF(AND(B148="",C148="",E148=""),"",SUM($G$5:G148))</f>
        <v/>
      </c>
    </row>
    <row r="149">
      <c r="A149" s="6" t="n">
        <v>145</v>
      </c>
      <c r="B149" s="7" t="n"/>
      <c r="C149" s="8" t="n"/>
      <c r="D149" s="8" t="n"/>
      <c r="E149" s="9" t="n"/>
      <c r="F149" s="8" t="n"/>
      <c r="G149" s="5">
        <f>IF(OR(C149="",E149=""),0,IF(C149="Начисление по акту",E149,IF(OR(C149="Оплата",C149="Зачёт аванса по договору"),-E149,IF(C149="Корректировка (подписана обеими сторонами)",E149,0))))</f>
        <v/>
      </c>
      <c r="H149" s="5">
        <f>IF(OR(C149="Удержание",C149="Зачёт встречного требования",C149="Неустойка заявлена"),N(E149),0)</f>
        <v/>
      </c>
      <c r="I149" s="6">
        <f>IF(AND(B149="",C149="",D149="",E149="",F149=""),"",IF(OR(B149="",C149="",E149=""),"БЛОК: нужны дата, тип операции и сумма",IF(N(E149)&lt;=0,"БЛОК: сумма должна быть больше нуля",IF(AND(G149&lt;&gt;0,F149=""),"БЛОК: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нельзя",IF(AND(F149&lt;&gt;"",COUNTIF('Долг по актам'!$B$5:$B$34,F149)=0),"БЛОК: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договору")&gt;0)*($C$5:$C$504&lt;&gt;C149)*($E$5:$E$504=E149)*(($D$5:$D$504=D149)*(D149&lt;&gt;"")+($B$5:$B$504=B149)*(B149&lt;&gt;"")&gt;0))&gt;0,"БЛОК: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149" s="5">
        <f>IF(AND(B149="",C149="",E149=""),"",SUM($G$5:G149))</f>
        <v/>
      </c>
    </row>
    <row r="150">
      <c r="A150" s="6" t="n">
        <v>146</v>
      </c>
      <c r="B150" s="7" t="n"/>
      <c r="C150" s="8" t="n"/>
      <c r="D150" s="8" t="n"/>
      <c r="E150" s="9" t="n"/>
      <c r="F150" s="8" t="n"/>
      <c r="G150" s="5">
        <f>IF(OR(C150="",E150=""),0,IF(C150="Начисление по акту",E150,IF(OR(C150="Оплата",C150="Зачёт аванса по договору"),-E150,IF(C150="Корректировка (подписана обеими сторонами)",E150,0))))</f>
        <v/>
      </c>
      <c r="H150" s="5">
        <f>IF(OR(C150="Удержание",C150="Зачёт встречного требования",C150="Неустойка заявлена"),N(E150),0)</f>
        <v/>
      </c>
      <c r="I150" s="6">
        <f>IF(AND(B150="",C150="",D150="",E150="",F150=""),"",IF(OR(B150="",C150="",E150=""),"БЛОК: нужны дата, тип операции и сумма",IF(N(E150)&lt;=0,"БЛОК: сумма должна быть больше нуля",IF(AND(G150&lt;&gt;0,F150=""),"БЛОК: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нельзя",IF(AND(F150&lt;&gt;"",COUNTIF('Долг по актам'!$B$5:$B$34,F150)=0),"БЛОК: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договору")&gt;0)*($C$5:$C$504&lt;&gt;C150)*($E$5:$E$504=E150)*(($D$5:$D$504=D150)*(D150&lt;&gt;"")+($B$5:$B$504=B150)*(B150&lt;&gt;"")&gt;0))&gt;0,"БЛОК: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150" s="5">
        <f>IF(AND(B150="",C150="",E150=""),"",SUM($G$5:G150))</f>
        <v/>
      </c>
    </row>
    <row r="151">
      <c r="A151" s="6" t="n">
        <v>147</v>
      </c>
      <c r="B151" s="7" t="n"/>
      <c r="C151" s="8" t="n"/>
      <c r="D151" s="8" t="n"/>
      <c r="E151" s="9" t="n"/>
      <c r="F151" s="8" t="n"/>
      <c r="G151" s="5">
        <f>IF(OR(C151="",E151=""),0,IF(C151="Начисление по акту",E151,IF(OR(C151="Оплата",C151="Зачёт аванса по договору"),-E151,IF(C151="Корректировка (подписана обеими сторонами)",E151,0))))</f>
        <v/>
      </c>
      <c r="H151" s="5">
        <f>IF(OR(C151="Удержание",C151="Зачёт встречного требования",C151="Неустойка заявлена"),N(E151),0)</f>
        <v/>
      </c>
      <c r="I151" s="6">
        <f>IF(AND(B151="",C151="",D151="",E151="",F151=""),"",IF(OR(B151="",C151="",E151=""),"БЛОК: нужны дата, тип операции и сумма",IF(N(E151)&lt;=0,"БЛОК: сумма должна быть больше нуля",IF(AND(G151&lt;&gt;0,F151=""),"БЛОК: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нельзя",IF(AND(F151&lt;&gt;"",COUNTIF('Долг по актам'!$B$5:$B$34,F151)=0),"БЛОК: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договору")&gt;0)*($C$5:$C$504&lt;&gt;C151)*($E$5:$E$504=E151)*(($D$5:$D$504=D151)*(D151&lt;&gt;"")+($B$5:$B$504=B151)*(B151&lt;&gt;"")&gt;0))&gt;0,"БЛОК: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151" s="5">
        <f>IF(AND(B151="",C151="",E151=""),"",SUM($G$5:G151))</f>
        <v/>
      </c>
    </row>
    <row r="152">
      <c r="A152" s="6" t="n">
        <v>148</v>
      </c>
      <c r="B152" s="7" t="n"/>
      <c r="C152" s="8" t="n"/>
      <c r="D152" s="8" t="n"/>
      <c r="E152" s="9" t="n"/>
      <c r="F152" s="8" t="n"/>
      <c r="G152" s="5">
        <f>IF(OR(C152="",E152=""),0,IF(C152="Начисление по акту",E152,IF(OR(C152="Оплата",C152="Зачёт аванса по договору"),-E152,IF(C152="Корректировка (подписана обеими сторонами)",E152,0))))</f>
        <v/>
      </c>
      <c r="H152" s="5">
        <f>IF(OR(C152="Удержание",C152="Зачёт встречного требования",C152="Неустойка заявлена"),N(E152),0)</f>
        <v/>
      </c>
      <c r="I152" s="6">
        <f>IF(AND(B152="",C152="",D152="",E152="",F152=""),"",IF(OR(B152="",C152="",E152=""),"БЛОК: нужны дата, тип операции и сумма",IF(N(E152)&lt;=0,"БЛОК: сумма должна быть больше нуля",IF(AND(G152&lt;&gt;0,F152=""),"БЛОК: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нельзя",IF(AND(F152&lt;&gt;"",COUNTIF('Долг по актам'!$B$5:$B$34,F152)=0),"БЛОК: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договору")&gt;0)*($C$5:$C$504&lt;&gt;C152)*($E$5:$E$504=E152)*(($D$5:$D$504=D152)*(D152&lt;&gt;"")+($B$5:$B$504=B152)*(B152&lt;&gt;"")&gt;0))&gt;0,"БЛОК: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152" s="5">
        <f>IF(AND(B152="",C152="",E152=""),"",SUM($G$5:G152))</f>
        <v/>
      </c>
    </row>
    <row r="153">
      <c r="A153" s="6" t="n">
        <v>149</v>
      </c>
      <c r="B153" s="7" t="n"/>
      <c r="C153" s="8" t="n"/>
      <c r="D153" s="8" t="n"/>
      <c r="E153" s="9" t="n"/>
      <c r="F153" s="8" t="n"/>
      <c r="G153" s="5">
        <f>IF(OR(C153="",E153=""),0,IF(C153="Начисление по акту",E153,IF(OR(C153="Оплата",C153="Зачёт аванса по договору"),-E153,IF(C153="Корректировка (подписана обеими сторонами)",E153,0))))</f>
        <v/>
      </c>
      <c r="H153" s="5">
        <f>IF(OR(C153="Удержание",C153="Зачёт встречного требования",C153="Неустойка заявлена"),N(E153),0)</f>
        <v/>
      </c>
      <c r="I153" s="6">
        <f>IF(AND(B153="",C153="",D153="",E153="",F153=""),"",IF(OR(B153="",C153="",E153=""),"БЛОК: нужны дата, тип операции и сумма",IF(N(E153)&lt;=0,"БЛОК: сумма должна быть больше нуля",IF(AND(G153&lt;&gt;0,F153=""),"БЛОК: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нельзя",IF(AND(F153&lt;&gt;"",COUNTIF('Долг по актам'!$B$5:$B$34,F153)=0),"БЛОК: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договору")&gt;0)*($C$5:$C$504&lt;&gt;C153)*($E$5:$E$504=E153)*(($D$5:$D$504=D153)*(D153&lt;&gt;"")+($B$5:$B$504=B153)*(B153&lt;&gt;"")&gt;0))&gt;0,"БЛОК: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153" s="5">
        <f>IF(AND(B153="",C153="",E153=""),"",SUM($G$5:G153))</f>
        <v/>
      </c>
    </row>
    <row r="154">
      <c r="A154" s="6" t="n">
        <v>150</v>
      </c>
      <c r="B154" s="7" t="n"/>
      <c r="C154" s="8" t="n"/>
      <c r="D154" s="8" t="n"/>
      <c r="E154" s="9" t="n"/>
      <c r="F154" s="8" t="n"/>
      <c r="G154" s="5">
        <f>IF(OR(C154="",E154=""),0,IF(C154="Начисление по акту",E154,IF(OR(C154="Оплата",C154="Зачёт аванса по договору"),-E154,IF(C154="Корректировка (подписана обеими сторонами)",E154,0))))</f>
        <v/>
      </c>
      <c r="H154" s="5">
        <f>IF(OR(C154="Удержание",C154="Зачёт встречного требования",C154="Неустойка заявлена"),N(E154),0)</f>
        <v/>
      </c>
      <c r="I154" s="6">
        <f>IF(AND(B154="",C154="",D154="",E154="",F154=""),"",IF(OR(B154="",C154="",E154=""),"БЛОК: нужны дата, тип операции и сумма",IF(N(E154)&lt;=0,"БЛОК: сумма должна быть больше нуля",IF(AND(G154&lt;&gt;0,F154=""),"БЛОК: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нельзя",IF(AND(F154&lt;&gt;"",COUNTIF('Долг по актам'!$B$5:$B$34,F154)=0),"БЛОК: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договору")&gt;0)*($C$5:$C$504&lt;&gt;C154)*($E$5:$E$504=E154)*(($D$5:$D$504=D154)*(D154&lt;&gt;"")+($B$5:$B$504=B154)*(B154&lt;&gt;"")&gt;0))&gt;0,"БЛОК: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154" s="5">
        <f>IF(AND(B154="",C154="",E154=""),"",SUM($G$5:G154))</f>
        <v/>
      </c>
    </row>
    <row r="155">
      <c r="A155" s="6" t="n">
        <v>151</v>
      </c>
      <c r="B155" s="7" t="n"/>
      <c r="C155" s="8" t="n"/>
      <c r="D155" s="8" t="n"/>
      <c r="E155" s="9" t="n"/>
      <c r="F155" s="8" t="n"/>
      <c r="G155" s="5">
        <f>IF(OR(C155="",E155=""),0,IF(C155="Начисление по акту",E155,IF(OR(C155="Оплата",C155="Зачёт аванса по договору"),-E155,IF(C155="Корректировка (подписана обеими сторонами)",E155,0))))</f>
        <v/>
      </c>
      <c r="H155" s="5">
        <f>IF(OR(C155="Удержание",C155="Зачёт встречного требования",C155="Неустойка заявлена"),N(E155),0)</f>
        <v/>
      </c>
      <c r="I155" s="6">
        <f>IF(AND(B155="",C155="",D155="",E155="",F155=""),"",IF(OR(B155="",C155="",E155=""),"БЛОК: нужны дата, тип операции и сумма",IF(N(E155)&lt;=0,"БЛОК: сумма должна быть больше нуля",IF(AND(G155&lt;&gt;0,F155=""),"БЛОК: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нельзя",IF(AND(F155&lt;&gt;"",COUNTIF('Долг по актам'!$B$5:$B$34,F155)=0),"БЛОК: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договору")&gt;0)*($C$5:$C$504&lt;&gt;C155)*($E$5:$E$504=E155)*(($D$5:$D$504=D155)*(D155&lt;&gt;"")+($B$5:$B$504=B155)*(B155&lt;&gt;"")&gt;0))&gt;0,"БЛОК: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155" s="5">
        <f>IF(AND(B155="",C155="",E155=""),"",SUM($G$5:G155))</f>
        <v/>
      </c>
    </row>
    <row r="156">
      <c r="A156" s="6" t="n">
        <v>152</v>
      </c>
      <c r="B156" s="7" t="n"/>
      <c r="C156" s="8" t="n"/>
      <c r="D156" s="8" t="n"/>
      <c r="E156" s="9" t="n"/>
      <c r="F156" s="8" t="n"/>
      <c r="G156" s="5">
        <f>IF(OR(C156="",E156=""),0,IF(C156="Начисление по акту",E156,IF(OR(C156="Оплата",C156="Зачёт аванса по договору"),-E156,IF(C156="Корректировка (подписана обеими сторонами)",E156,0))))</f>
        <v/>
      </c>
      <c r="H156" s="5">
        <f>IF(OR(C156="Удержание",C156="Зачёт встречного требования",C156="Неустойка заявлена"),N(E156),0)</f>
        <v/>
      </c>
      <c r="I156" s="6">
        <f>IF(AND(B156="",C156="",D156="",E156="",F156=""),"",IF(OR(B156="",C156="",E156=""),"БЛОК: нужны дата, тип операции и сумма",IF(N(E156)&lt;=0,"БЛОК: сумма должна быть больше нуля",IF(AND(G156&lt;&gt;0,F156=""),"БЛОК: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нельзя",IF(AND(F156&lt;&gt;"",COUNTIF('Долг по актам'!$B$5:$B$34,F156)=0),"БЛОК: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договору")&gt;0)*($C$5:$C$504&lt;&gt;C156)*($E$5:$E$504=E156)*(($D$5:$D$504=D156)*(D156&lt;&gt;"")+($B$5:$B$504=B156)*(B156&lt;&gt;"")&gt;0))&gt;0,"БЛОК: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156" s="5">
        <f>IF(AND(B156="",C156="",E156=""),"",SUM($G$5:G156))</f>
        <v/>
      </c>
    </row>
    <row r="157">
      <c r="A157" s="6" t="n">
        <v>153</v>
      </c>
      <c r="B157" s="7" t="n"/>
      <c r="C157" s="8" t="n"/>
      <c r="D157" s="8" t="n"/>
      <c r="E157" s="9" t="n"/>
      <c r="F157" s="8" t="n"/>
      <c r="G157" s="5">
        <f>IF(OR(C157="",E157=""),0,IF(C157="Начисление по акту",E157,IF(OR(C157="Оплата",C157="Зачёт аванса по договору"),-E157,IF(C157="Корректировка (подписана обеими сторонами)",E157,0))))</f>
        <v/>
      </c>
      <c r="H157" s="5">
        <f>IF(OR(C157="Удержание",C157="Зачёт встречного требования",C157="Неустойка заявлена"),N(E157),0)</f>
        <v/>
      </c>
      <c r="I157" s="6">
        <f>IF(AND(B157="",C157="",D157="",E157="",F157=""),"",IF(OR(B157="",C157="",E157=""),"БЛОК: нужны дата, тип операции и сумма",IF(N(E157)&lt;=0,"БЛОК: сумма должна быть больше нуля",IF(AND(G157&lt;&gt;0,F157=""),"БЛОК: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нельзя",IF(AND(F157&lt;&gt;"",COUNTIF('Долг по актам'!$B$5:$B$34,F157)=0),"БЛОК: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договору")&gt;0)*($C$5:$C$504&lt;&gt;C157)*($E$5:$E$504=E157)*(($D$5:$D$504=D157)*(D157&lt;&gt;"")+($B$5:$B$504=B157)*(B157&lt;&gt;"")&gt;0))&gt;0,"БЛОК: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157" s="5">
        <f>IF(AND(B157="",C157="",E157=""),"",SUM($G$5:G157))</f>
        <v/>
      </c>
    </row>
    <row r="158">
      <c r="A158" s="6" t="n">
        <v>154</v>
      </c>
      <c r="B158" s="7" t="n"/>
      <c r="C158" s="8" t="n"/>
      <c r="D158" s="8" t="n"/>
      <c r="E158" s="9" t="n"/>
      <c r="F158" s="8" t="n"/>
      <c r="G158" s="5">
        <f>IF(OR(C158="",E158=""),0,IF(C158="Начисление по акту",E158,IF(OR(C158="Оплата",C158="Зачёт аванса по договору"),-E158,IF(C158="Корректировка (подписана обеими сторонами)",E158,0))))</f>
        <v/>
      </c>
      <c r="H158" s="5">
        <f>IF(OR(C158="Удержание",C158="Зачёт встречного требования",C158="Неустойка заявлена"),N(E158),0)</f>
        <v/>
      </c>
      <c r="I158" s="6">
        <f>IF(AND(B158="",C158="",D158="",E158="",F158=""),"",IF(OR(B158="",C158="",E158=""),"БЛОК: нужны дата, тип операции и сумма",IF(N(E158)&lt;=0,"БЛОК: сумма должна быть больше нуля",IF(AND(G158&lt;&gt;0,F158=""),"БЛОК: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нельзя",IF(AND(F158&lt;&gt;"",COUNTIF('Долг по актам'!$B$5:$B$34,F158)=0),"БЛОК: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договору")&gt;0)*($C$5:$C$504&lt;&gt;C158)*($E$5:$E$504=E158)*(($D$5:$D$504=D158)*(D158&lt;&gt;"")+($B$5:$B$504=B158)*(B158&lt;&gt;"")&gt;0))&gt;0,"БЛОК: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158" s="5">
        <f>IF(AND(B158="",C158="",E158=""),"",SUM($G$5:G158))</f>
        <v/>
      </c>
    </row>
    <row r="159">
      <c r="A159" s="6" t="n">
        <v>155</v>
      </c>
      <c r="B159" s="7" t="n"/>
      <c r="C159" s="8" t="n"/>
      <c r="D159" s="8" t="n"/>
      <c r="E159" s="9" t="n"/>
      <c r="F159" s="8" t="n"/>
      <c r="G159" s="5">
        <f>IF(OR(C159="",E159=""),0,IF(C159="Начисление по акту",E159,IF(OR(C159="Оплата",C159="Зачёт аванса по договору"),-E159,IF(C159="Корректировка (подписана обеими сторонами)",E159,0))))</f>
        <v/>
      </c>
      <c r="H159" s="5">
        <f>IF(OR(C159="Удержание",C159="Зачёт встречного требования",C159="Неустойка заявлена"),N(E159),0)</f>
        <v/>
      </c>
      <c r="I159" s="6">
        <f>IF(AND(B159="",C159="",D159="",E159="",F159=""),"",IF(OR(B159="",C159="",E159=""),"БЛОК: нужны дата, тип операции и сумма",IF(N(E159)&lt;=0,"БЛОК: сумма должна быть больше нуля",IF(AND(G159&lt;&gt;0,F159=""),"БЛОК: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нельзя",IF(AND(F159&lt;&gt;"",COUNTIF('Долг по актам'!$B$5:$B$34,F159)=0),"БЛОК: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договору")&gt;0)*($C$5:$C$504&lt;&gt;C159)*($E$5:$E$504=E159)*(($D$5:$D$504=D159)*(D159&lt;&gt;"")+($B$5:$B$504=B159)*(B159&lt;&gt;"")&gt;0))&gt;0,"БЛОК: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159" s="5">
        <f>IF(AND(B159="",C159="",E159=""),"",SUM($G$5:G159))</f>
        <v/>
      </c>
    </row>
    <row r="160">
      <c r="A160" s="6" t="n">
        <v>156</v>
      </c>
      <c r="B160" s="7" t="n"/>
      <c r="C160" s="8" t="n"/>
      <c r="D160" s="8" t="n"/>
      <c r="E160" s="9" t="n"/>
      <c r="F160" s="8" t="n"/>
      <c r="G160" s="5">
        <f>IF(OR(C160="",E160=""),0,IF(C160="Начисление по акту",E160,IF(OR(C160="Оплата",C160="Зачёт аванса по договору"),-E160,IF(C160="Корректировка (подписана обеими сторонами)",E160,0))))</f>
        <v/>
      </c>
      <c r="H160" s="5">
        <f>IF(OR(C160="Удержание",C160="Зачёт встречного требования",C160="Неустойка заявлена"),N(E160),0)</f>
        <v/>
      </c>
      <c r="I160" s="6">
        <f>IF(AND(B160="",C160="",D160="",E160="",F160=""),"",IF(OR(B160="",C160="",E160=""),"БЛОК: нужны дата, тип операции и сумма",IF(N(E160)&lt;=0,"БЛОК: сумма должна быть больше нуля",IF(AND(G160&lt;&gt;0,F160=""),"БЛОК: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нельзя",IF(AND(F160&lt;&gt;"",COUNTIF('Долг по актам'!$B$5:$B$34,F160)=0),"БЛОК: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договору")&gt;0)*($C$5:$C$504&lt;&gt;C160)*($E$5:$E$504=E160)*(($D$5:$D$504=D160)*(D160&lt;&gt;"")+($B$5:$B$504=B160)*(B160&lt;&gt;"")&gt;0))&gt;0,"БЛОК: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160" s="5">
        <f>IF(AND(B160="",C160="",E160=""),"",SUM($G$5:G160))</f>
        <v/>
      </c>
    </row>
    <row r="161">
      <c r="A161" s="6" t="n">
        <v>157</v>
      </c>
      <c r="B161" s="7" t="n"/>
      <c r="C161" s="8" t="n"/>
      <c r="D161" s="8" t="n"/>
      <c r="E161" s="9" t="n"/>
      <c r="F161" s="8" t="n"/>
      <c r="G161" s="5">
        <f>IF(OR(C161="",E161=""),0,IF(C161="Начисление по акту",E161,IF(OR(C161="Оплата",C161="Зачёт аванса по договору"),-E161,IF(C161="Корректировка (подписана обеими сторонами)",E161,0))))</f>
        <v/>
      </c>
      <c r="H161" s="5">
        <f>IF(OR(C161="Удержание",C161="Зачёт встречного требования",C161="Неустойка заявлена"),N(E161),0)</f>
        <v/>
      </c>
      <c r="I161" s="6">
        <f>IF(AND(B161="",C161="",D161="",E161="",F161=""),"",IF(OR(B161="",C161="",E161=""),"БЛОК: нужны дата, тип операции и сумма",IF(N(E161)&lt;=0,"БЛОК: сумма должна быть больше нуля",IF(AND(G161&lt;&gt;0,F161=""),"БЛОК: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нельзя",IF(AND(F161&lt;&gt;"",COUNTIF('Долг по актам'!$B$5:$B$34,F161)=0),"БЛОК: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договору")&gt;0)*($C$5:$C$504&lt;&gt;C161)*($E$5:$E$504=E161)*(($D$5:$D$504=D161)*(D161&lt;&gt;"")+($B$5:$B$504=B161)*(B161&lt;&gt;"")&gt;0))&gt;0,"БЛОК: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161" s="5">
        <f>IF(AND(B161="",C161="",E161=""),"",SUM($G$5:G161))</f>
        <v/>
      </c>
    </row>
    <row r="162">
      <c r="A162" s="6" t="n">
        <v>158</v>
      </c>
      <c r="B162" s="7" t="n"/>
      <c r="C162" s="8" t="n"/>
      <c r="D162" s="8" t="n"/>
      <c r="E162" s="9" t="n"/>
      <c r="F162" s="8" t="n"/>
      <c r="G162" s="5">
        <f>IF(OR(C162="",E162=""),0,IF(C162="Начисление по акту",E162,IF(OR(C162="Оплата",C162="Зачёт аванса по договору"),-E162,IF(C162="Корректировка (подписана обеими сторонами)",E162,0))))</f>
        <v/>
      </c>
      <c r="H162" s="5">
        <f>IF(OR(C162="Удержание",C162="Зачёт встречного требования",C162="Неустойка заявлена"),N(E162),0)</f>
        <v/>
      </c>
      <c r="I162" s="6">
        <f>IF(AND(B162="",C162="",D162="",E162="",F162=""),"",IF(OR(B162="",C162="",E162=""),"БЛОК: нужны дата, тип операции и сумма",IF(N(E162)&lt;=0,"БЛОК: сумма должна быть больше нуля",IF(AND(G162&lt;&gt;0,F162=""),"БЛОК: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нельзя",IF(AND(F162&lt;&gt;"",COUNTIF('Долг по актам'!$B$5:$B$34,F162)=0),"БЛОК: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договору")&gt;0)*($C$5:$C$504&lt;&gt;C162)*($E$5:$E$504=E162)*(($D$5:$D$504=D162)*(D162&lt;&gt;"")+($B$5:$B$504=B162)*(B162&lt;&gt;"")&gt;0))&gt;0,"БЛОК: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162" s="5">
        <f>IF(AND(B162="",C162="",E162=""),"",SUM($G$5:G162))</f>
        <v/>
      </c>
    </row>
    <row r="163">
      <c r="A163" s="6" t="n">
        <v>159</v>
      </c>
      <c r="B163" s="7" t="n"/>
      <c r="C163" s="8" t="n"/>
      <c r="D163" s="8" t="n"/>
      <c r="E163" s="9" t="n"/>
      <c r="F163" s="8" t="n"/>
      <c r="G163" s="5">
        <f>IF(OR(C163="",E163=""),0,IF(C163="Начисление по акту",E163,IF(OR(C163="Оплата",C163="Зачёт аванса по договору"),-E163,IF(C163="Корректировка (подписана обеими сторонами)",E163,0))))</f>
        <v/>
      </c>
      <c r="H163" s="5">
        <f>IF(OR(C163="Удержание",C163="Зачёт встречного требования",C163="Неустойка заявлена"),N(E163),0)</f>
        <v/>
      </c>
      <c r="I163" s="6">
        <f>IF(AND(B163="",C163="",D163="",E163="",F163=""),"",IF(OR(B163="",C163="",E163=""),"БЛОК: нужны дата, тип операции и сумма",IF(N(E163)&lt;=0,"БЛОК: сумма должна быть больше нуля",IF(AND(G163&lt;&gt;0,F163=""),"БЛОК: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нельзя",IF(AND(F163&lt;&gt;"",COUNTIF('Долг по актам'!$B$5:$B$34,F163)=0),"БЛОК: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договору")&gt;0)*($C$5:$C$504&lt;&gt;C163)*($E$5:$E$504=E163)*(($D$5:$D$504=D163)*(D163&lt;&gt;"")+($B$5:$B$504=B163)*(B163&lt;&gt;"")&gt;0))&gt;0,"БЛОК: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163" s="5">
        <f>IF(AND(B163="",C163="",E163=""),"",SUM($G$5:G163))</f>
        <v/>
      </c>
    </row>
    <row r="164">
      <c r="A164" s="6" t="n">
        <v>160</v>
      </c>
      <c r="B164" s="7" t="n"/>
      <c r="C164" s="8" t="n"/>
      <c r="D164" s="8" t="n"/>
      <c r="E164" s="9" t="n"/>
      <c r="F164" s="8" t="n"/>
      <c r="G164" s="5">
        <f>IF(OR(C164="",E164=""),0,IF(C164="Начисление по акту",E164,IF(OR(C164="Оплата",C164="Зачёт аванса по договору"),-E164,IF(C164="Корректировка (подписана обеими сторонами)",E164,0))))</f>
        <v/>
      </c>
      <c r="H164" s="5">
        <f>IF(OR(C164="Удержание",C164="Зачёт встречного требования",C164="Неустойка заявлена"),N(E164),0)</f>
        <v/>
      </c>
      <c r="I164" s="6">
        <f>IF(AND(B164="",C164="",D164="",E164="",F164=""),"",IF(OR(B164="",C164="",E164=""),"БЛОК: нужны дата, тип операции и сумма",IF(N(E164)&lt;=0,"БЛОК: сумма должна быть больше нуля",IF(AND(G164&lt;&gt;0,F164=""),"БЛОК: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нельзя",IF(AND(F164&lt;&gt;"",COUNTIF('Долг по актам'!$B$5:$B$34,F164)=0),"БЛОК: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договору")&gt;0)*($C$5:$C$504&lt;&gt;C164)*($E$5:$E$504=E164)*(($D$5:$D$504=D164)*(D164&lt;&gt;"")+($B$5:$B$504=B164)*(B164&lt;&gt;"")&gt;0))&gt;0,"БЛОК: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164" s="5">
        <f>IF(AND(B164="",C164="",E164=""),"",SUM($G$5:G164))</f>
        <v/>
      </c>
    </row>
    <row r="165">
      <c r="A165" s="6" t="n">
        <v>161</v>
      </c>
      <c r="B165" s="7" t="n"/>
      <c r="C165" s="8" t="n"/>
      <c r="D165" s="8" t="n"/>
      <c r="E165" s="9" t="n"/>
      <c r="F165" s="8" t="n"/>
      <c r="G165" s="5">
        <f>IF(OR(C165="",E165=""),0,IF(C165="Начисление по акту",E165,IF(OR(C165="Оплата",C165="Зачёт аванса по договору"),-E165,IF(C165="Корректировка (подписана обеими сторонами)",E165,0))))</f>
        <v/>
      </c>
      <c r="H165" s="5">
        <f>IF(OR(C165="Удержание",C165="Зачёт встречного требования",C165="Неустойка заявлена"),N(E165),0)</f>
        <v/>
      </c>
      <c r="I165" s="6">
        <f>IF(AND(B165="",C165="",D165="",E165="",F165=""),"",IF(OR(B165="",C165="",E165=""),"БЛОК: нужны дата, тип операции и сумма",IF(N(E165)&lt;=0,"БЛОК: сумма должна быть больше нуля",IF(AND(G165&lt;&gt;0,F165=""),"БЛОК: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нельзя",IF(AND(F165&lt;&gt;"",COUNTIF('Долг по актам'!$B$5:$B$34,F165)=0),"БЛОК: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договору")&gt;0)*($C$5:$C$504&lt;&gt;C165)*($E$5:$E$504=E165)*(($D$5:$D$504=D165)*(D165&lt;&gt;"")+($B$5:$B$504=B165)*(B165&lt;&gt;"")&gt;0))&gt;0,"БЛОК: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165" s="5">
        <f>IF(AND(B165="",C165="",E165=""),"",SUM($G$5:G165))</f>
        <v/>
      </c>
    </row>
    <row r="166">
      <c r="A166" s="6" t="n">
        <v>162</v>
      </c>
      <c r="B166" s="7" t="n"/>
      <c r="C166" s="8" t="n"/>
      <c r="D166" s="8" t="n"/>
      <c r="E166" s="9" t="n"/>
      <c r="F166" s="8" t="n"/>
      <c r="G166" s="5">
        <f>IF(OR(C166="",E166=""),0,IF(C166="Начисление по акту",E166,IF(OR(C166="Оплата",C166="Зачёт аванса по договору"),-E166,IF(C166="Корректировка (подписана обеими сторонами)",E166,0))))</f>
        <v/>
      </c>
      <c r="H166" s="5">
        <f>IF(OR(C166="Удержание",C166="Зачёт встречного требования",C166="Неустойка заявлена"),N(E166),0)</f>
        <v/>
      </c>
      <c r="I166" s="6">
        <f>IF(AND(B166="",C166="",D166="",E166="",F166=""),"",IF(OR(B166="",C166="",E166=""),"БЛОК: нужны дата, тип операции и сумма",IF(N(E166)&lt;=0,"БЛОК: сумма должна быть больше нуля",IF(AND(G166&lt;&gt;0,F166=""),"БЛОК: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нельзя",IF(AND(F166&lt;&gt;"",COUNTIF('Долг по актам'!$B$5:$B$34,F166)=0),"БЛОК: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договору")&gt;0)*($C$5:$C$504&lt;&gt;C166)*($E$5:$E$504=E166)*(($D$5:$D$504=D166)*(D166&lt;&gt;"")+($B$5:$B$504=B166)*(B166&lt;&gt;"")&gt;0))&gt;0,"БЛОК: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166" s="5">
        <f>IF(AND(B166="",C166="",E166=""),"",SUM($G$5:G166))</f>
        <v/>
      </c>
    </row>
    <row r="167">
      <c r="A167" s="6" t="n">
        <v>163</v>
      </c>
      <c r="B167" s="7" t="n"/>
      <c r="C167" s="8" t="n"/>
      <c r="D167" s="8" t="n"/>
      <c r="E167" s="9" t="n"/>
      <c r="F167" s="8" t="n"/>
      <c r="G167" s="5">
        <f>IF(OR(C167="",E167=""),0,IF(C167="Начисление по акту",E167,IF(OR(C167="Оплата",C167="Зачёт аванса по договору"),-E167,IF(C167="Корректировка (подписана обеими сторонами)",E167,0))))</f>
        <v/>
      </c>
      <c r="H167" s="5">
        <f>IF(OR(C167="Удержание",C167="Зачёт встречного требования",C167="Неустойка заявлена"),N(E167),0)</f>
        <v/>
      </c>
      <c r="I167" s="6">
        <f>IF(AND(B167="",C167="",D167="",E167="",F167=""),"",IF(OR(B167="",C167="",E167=""),"БЛОК: нужны дата, тип операции и сумма",IF(N(E167)&lt;=0,"БЛОК: сумма должна быть больше нуля",IF(AND(G167&lt;&gt;0,F167=""),"БЛОК: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нельзя",IF(AND(F167&lt;&gt;"",COUNTIF('Долг по актам'!$B$5:$B$34,F167)=0),"БЛОК: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договору")&gt;0)*($C$5:$C$504&lt;&gt;C167)*($E$5:$E$504=E167)*(($D$5:$D$504=D167)*(D167&lt;&gt;"")+($B$5:$B$504=B167)*(B167&lt;&gt;"")&gt;0))&gt;0,"БЛОК: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167" s="5">
        <f>IF(AND(B167="",C167="",E167=""),"",SUM($G$5:G167))</f>
        <v/>
      </c>
    </row>
    <row r="168">
      <c r="A168" s="6" t="n">
        <v>164</v>
      </c>
      <c r="B168" s="7" t="n"/>
      <c r="C168" s="8" t="n"/>
      <c r="D168" s="8" t="n"/>
      <c r="E168" s="9" t="n"/>
      <c r="F168" s="8" t="n"/>
      <c r="G168" s="5">
        <f>IF(OR(C168="",E168=""),0,IF(C168="Начисление по акту",E168,IF(OR(C168="Оплата",C168="Зачёт аванса по договору"),-E168,IF(C168="Корректировка (подписана обеими сторонами)",E168,0))))</f>
        <v/>
      </c>
      <c r="H168" s="5">
        <f>IF(OR(C168="Удержание",C168="Зачёт встречного требования",C168="Неустойка заявлена"),N(E168),0)</f>
        <v/>
      </c>
      <c r="I168" s="6">
        <f>IF(AND(B168="",C168="",D168="",E168="",F168=""),"",IF(OR(B168="",C168="",E168=""),"БЛОК: нужны дата, тип операции и сумма",IF(N(E168)&lt;=0,"БЛОК: сумма должна быть больше нуля",IF(AND(G168&lt;&gt;0,F168=""),"БЛОК: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нельзя",IF(AND(F168&lt;&gt;"",COUNTIF('Долг по актам'!$B$5:$B$34,F168)=0),"БЛОК: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договору")&gt;0)*($C$5:$C$504&lt;&gt;C168)*($E$5:$E$504=E168)*(($D$5:$D$504=D168)*(D168&lt;&gt;"")+($B$5:$B$504=B168)*(B168&lt;&gt;"")&gt;0))&gt;0,"БЛОК: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168" s="5">
        <f>IF(AND(B168="",C168="",E168=""),"",SUM($G$5:G168))</f>
        <v/>
      </c>
    </row>
    <row r="169">
      <c r="A169" s="6" t="n">
        <v>165</v>
      </c>
      <c r="B169" s="7" t="n"/>
      <c r="C169" s="8" t="n"/>
      <c r="D169" s="8" t="n"/>
      <c r="E169" s="9" t="n"/>
      <c r="F169" s="8" t="n"/>
      <c r="G169" s="5">
        <f>IF(OR(C169="",E169=""),0,IF(C169="Начисление по акту",E169,IF(OR(C169="Оплата",C169="Зачёт аванса по договору"),-E169,IF(C169="Корректировка (подписана обеими сторонами)",E169,0))))</f>
        <v/>
      </c>
      <c r="H169" s="5">
        <f>IF(OR(C169="Удержание",C169="Зачёт встречного требования",C169="Неустойка заявлена"),N(E169),0)</f>
        <v/>
      </c>
      <c r="I169" s="6">
        <f>IF(AND(B169="",C169="",D169="",E169="",F169=""),"",IF(OR(B169="",C169="",E169=""),"БЛОК: нужны дата, тип операции и сумма",IF(N(E169)&lt;=0,"БЛОК: сумма должна быть больше нуля",IF(AND(G169&lt;&gt;0,F169=""),"БЛОК: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нельзя",IF(AND(F169&lt;&gt;"",COUNTIF('Долг по актам'!$B$5:$B$34,F169)=0),"БЛОК: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договору")&gt;0)*($C$5:$C$504&lt;&gt;C169)*($E$5:$E$504=E169)*(($D$5:$D$504=D169)*(D169&lt;&gt;"")+($B$5:$B$504=B169)*(B169&lt;&gt;"")&gt;0))&gt;0,"БЛОК: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169" s="5">
        <f>IF(AND(B169="",C169="",E169=""),"",SUM($G$5:G169))</f>
        <v/>
      </c>
    </row>
    <row r="170">
      <c r="A170" s="6" t="n">
        <v>166</v>
      </c>
      <c r="B170" s="7" t="n"/>
      <c r="C170" s="8" t="n"/>
      <c r="D170" s="8" t="n"/>
      <c r="E170" s="9" t="n"/>
      <c r="F170" s="8" t="n"/>
      <c r="G170" s="5">
        <f>IF(OR(C170="",E170=""),0,IF(C170="Начисление по акту",E170,IF(OR(C170="Оплата",C170="Зачёт аванса по договору"),-E170,IF(C170="Корректировка (подписана обеими сторонами)",E170,0))))</f>
        <v/>
      </c>
      <c r="H170" s="5">
        <f>IF(OR(C170="Удержание",C170="Зачёт встречного требования",C170="Неустойка заявлена"),N(E170),0)</f>
        <v/>
      </c>
      <c r="I170" s="6">
        <f>IF(AND(B170="",C170="",D170="",E170="",F170=""),"",IF(OR(B170="",C170="",E170=""),"БЛОК: нужны дата, тип операции и сумма",IF(N(E170)&lt;=0,"БЛОК: сумма должна быть больше нуля",IF(AND(G170&lt;&gt;0,F170=""),"БЛОК: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нельзя",IF(AND(F170&lt;&gt;"",COUNTIF('Долг по актам'!$B$5:$B$34,F170)=0),"БЛОК: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договору")&gt;0)*($C$5:$C$504&lt;&gt;C170)*($E$5:$E$504=E170)*(($D$5:$D$504=D170)*(D170&lt;&gt;"")+($B$5:$B$504=B170)*(B170&lt;&gt;"")&gt;0))&gt;0,"БЛОК: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170" s="5">
        <f>IF(AND(B170="",C170="",E170=""),"",SUM($G$5:G170))</f>
        <v/>
      </c>
    </row>
    <row r="171">
      <c r="A171" s="6" t="n">
        <v>167</v>
      </c>
      <c r="B171" s="7" t="n"/>
      <c r="C171" s="8" t="n"/>
      <c r="D171" s="8" t="n"/>
      <c r="E171" s="9" t="n"/>
      <c r="F171" s="8" t="n"/>
      <c r="G171" s="5">
        <f>IF(OR(C171="",E171=""),0,IF(C171="Начисление по акту",E171,IF(OR(C171="Оплата",C171="Зачёт аванса по договору"),-E171,IF(C171="Корректировка (подписана обеими сторонами)",E171,0))))</f>
        <v/>
      </c>
      <c r="H171" s="5">
        <f>IF(OR(C171="Удержание",C171="Зачёт встречного требования",C171="Неустойка заявлена"),N(E171),0)</f>
        <v/>
      </c>
      <c r="I171" s="6">
        <f>IF(AND(B171="",C171="",D171="",E171="",F171=""),"",IF(OR(B171="",C171="",E171=""),"БЛОК: нужны дата, тип операции и сумма",IF(N(E171)&lt;=0,"БЛОК: сумма должна быть больше нуля",IF(AND(G171&lt;&gt;0,F171=""),"БЛОК: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нельзя",IF(AND(F171&lt;&gt;"",COUNTIF('Долг по актам'!$B$5:$B$34,F171)=0),"БЛОК: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договору")&gt;0)*($C$5:$C$504&lt;&gt;C171)*($E$5:$E$504=E171)*(($D$5:$D$504=D171)*(D171&lt;&gt;"")+($B$5:$B$504=B171)*(B171&lt;&gt;"")&gt;0))&gt;0,"БЛОК: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171" s="5">
        <f>IF(AND(B171="",C171="",E171=""),"",SUM($G$5:G171))</f>
        <v/>
      </c>
    </row>
    <row r="172">
      <c r="A172" s="6" t="n">
        <v>168</v>
      </c>
      <c r="B172" s="7" t="n"/>
      <c r="C172" s="8" t="n"/>
      <c r="D172" s="8" t="n"/>
      <c r="E172" s="9" t="n"/>
      <c r="F172" s="8" t="n"/>
      <c r="G172" s="5">
        <f>IF(OR(C172="",E172=""),0,IF(C172="Начисление по акту",E172,IF(OR(C172="Оплата",C172="Зачёт аванса по договору"),-E172,IF(C172="Корректировка (подписана обеими сторонами)",E172,0))))</f>
        <v/>
      </c>
      <c r="H172" s="5">
        <f>IF(OR(C172="Удержание",C172="Зачёт встречного требования",C172="Неустойка заявлена"),N(E172),0)</f>
        <v/>
      </c>
      <c r="I172" s="6">
        <f>IF(AND(B172="",C172="",D172="",E172="",F172=""),"",IF(OR(B172="",C172="",E172=""),"БЛОК: нужны дата, тип операции и сумма",IF(N(E172)&lt;=0,"БЛОК: сумма должна быть больше нуля",IF(AND(G172&lt;&gt;0,F172=""),"БЛОК: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нельзя",IF(AND(F172&lt;&gt;"",COUNTIF('Долг по актам'!$B$5:$B$34,F172)=0),"БЛОК: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договору")&gt;0)*($C$5:$C$504&lt;&gt;C172)*($E$5:$E$504=E172)*(($D$5:$D$504=D172)*(D172&lt;&gt;"")+($B$5:$B$504=B172)*(B172&lt;&gt;"")&gt;0))&gt;0,"БЛОК: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172" s="5">
        <f>IF(AND(B172="",C172="",E172=""),"",SUM($G$5:G172))</f>
        <v/>
      </c>
    </row>
    <row r="173">
      <c r="A173" s="6" t="n">
        <v>169</v>
      </c>
      <c r="B173" s="7" t="n"/>
      <c r="C173" s="8" t="n"/>
      <c r="D173" s="8" t="n"/>
      <c r="E173" s="9" t="n"/>
      <c r="F173" s="8" t="n"/>
      <c r="G173" s="5">
        <f>IF(OR(C173="",E173=""),0,IF(C173="Начисление по акту",E173,IF(OR(C173="Оплата",C173="Зачёт аванса по договору"),-E173,IF(C173="Корректировка (подписана обеими сторонами)",E173,0))))</f>
        <v/>
      </c>
      <c r="H173" s="5">
        <f>IF(OR(C173="Удержание",C173="Зачёт встречного требования",C173="Неустойка заявлена"),N(E173),0)</f>
        <v/>
      </c>
      <c r="I173" s="6">
        <f>IF(AND(B173="",C173="",D173="",E173="",F173=""),"",IF(OR(B173="",C173="",E173=""),"БЛОК: нужны дата, тип операции и сумма",IF(N(E173)&lt;=0,"БЛОК: сумма должна быть больше нуля",IF(AND(G173&lt;&gt;0,F173=""),"БЛОК: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нельзя",IF(AND(F173&lt;&gt;"",COUNTIF('Долг по актам'!$B$5:$B$34,F173)=0),"БЛОК: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договору")&gt;0)*($C$5:$C$504&lt;&gt;C173)*($E$5:$E$504=E173)*(($D$5:$D$504=D173)*(D173&lt;&gt;"")+($B$5:$B$504=B173)*(B173&lt;&gt;"")&gt;0))&gt;0,"БЛОК: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173" s="5">
        <f>IF(AND(B173="",C173="",E173=""),"",SUM($G$5:G173))</f>
        <v/>
      </c>
    </row>
    <row r="174">
      <c r="A174" s="6" t="n">
        <v>170</v>
      </c>
      <c r="B174" s="7" t="n"/>
      <c r="C174" s="8" t="n"/>
      <c r="D174" s="8" t="n"/>
      <c r="E174" s="9" t="n"/>
      <c r="F174" s="8" t="n"/>
      <c r="G174" s="5">
        <f>IF(OR(C174="",E174=""),0,IF(C174="Начисление по акту",E174,IF(OR(C174="Оплата",C174="Зачёт аванса по договору"),-E174,IF(C174="Корректировка (подписана обеими сторонами)",E174,0))))</f>
        <v/>
      </c>
      <c r="H174" s="5">
        <f>IF(OR(C174="Удержание",C174="Зачёт встречного требования",C174="Неустойка заявлена"),N(E174),0)</f>
        <v/>
      </c>
      <c r="I174" s="6">
        <f>IF(AND(B174="",C174="",D174="",E174="",F174=""),"",IF(OR(B174="",C174="",E174=""),"БЛОК: нужны дата, тип операции и сумма",IF(N(E174)&lt;=0,"БЛОК: сумма должна быть больше нуля",IF(AND(G174&lt;&gt;0,F174=""),"БЛОК: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нельзя",IF(AND(F174&lt;&gt;"",COUNTIF('Долг по актам'!$B$5:$B$34,F174)=0),"БЛОК: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договору")&gt;0)*($C$5:$C$504&lt;&gt;C174)*($E$5:$E$504=E174)*(($D$5:$D$504=D174)*(D174&lt;&gt;"")+($B$5:$B$504=B174)*(B174&lt;&gt;"")&gt;0))&gt;0,"БЛОК: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174" s="5">
        <f>IF(AND(B174="",C174="",E174=""),"",SUM($G$5:G174))</f>
        <v/>
      </c>
    </row>
    <row r="175">
      <c r="A175" s="6" t="n">
        <v>171</v>
      </c>
      <c r="B175" s="7" t="n"/>
      <c r="C175" s="8" t="n"/>
      <c r="D175" s="8" t="n"/>
      <c r="E175" s="9" t="n"/>
      <c r="F175" s="8" t="n"/>
      <c r="G175" s="5">
        <f>IF(OR(C175="",E175=""),0,IF(C175="Начисление по акту",E175,IF(OR(C175="Оплата",C175="Зачёт аванса по договору"),-E175,IF(C175="Корректировка (подписана обеими сторонами)",E175,0))))</f>
        <v/>
      </c>
      <c r="H175" s="5">
        <f>IF(OR(C175="Удержание",C175="Зачёт встречного требования",C175="Неустойка заявлена"),N(E175),0)</f>
        <v/>
      </c>
      <c r="I175" s="6">
        <f>IF(AND(B175="",C175="",D175="",E175="",F175=""),"",IF(OR(B175="",C175="",E175=""),"БЛОК: нужны дата, тип операции и сумма",IF(N(E175)&lt;=0,"БЛОК: сумма должна быть больше нуля",IF(AND(G175&lt;&gt;0,F175=""),"БЛОК: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нельзя",IF(AND(F175&lt;&gt;"",COUNTIF('Долг по актам'!$B$5:$B$34,F175)=0),"БЛОК: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договору")&gt;0)*($C$5:$C$504&lt;&gt;C175)*($E$5:$E$504=E175)*(($D$5:$D$504=D175)*(D175&lt;&gt;"")+($B$5:$B$504=B175)*(B175&lt;&gt;"")&gt;0))&gt;0,"БЛОК: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175" s="5">
        <f>IF(AND(B175="",C175="",E175=""),"",SUM($G$5:G175))</f>
        <v/>
      </c>
    </row>
    <row r="176">
      <c r="A176" s="6" t="n">
        <v>172</v>
      </c>
      <c r="B176" s="7" t="n"/>
      <c r="C176" s="8" t="n"/>
      <c r="D176" s="8" t="n"/>
      <c r="E176" s="9" t="n"/>
      <c r="F176" s="8" t="n"/>
      <c r="G176" s="5">
        <f>IF(OR(C176="",E176=""),0,IF(C176="Начисление по акту",E176,IF(OR(C176="Оплата",C176="Зачёт аванса по договору"),-E176,IF(C176="Корректировка (подписана обеими сторонами)",E176,0))))</f>
        <v/>
      </c>
      <c r="H176" s="5">
        <f>IF(OR(C176="Удержание",C176="Зачёт встречного требования",C176="Неустойка заявлена"),N(E176),0)</f>
        <v/>
      </c>
      <c r="I176" s="6">
        <f>IF(AND(B176="",C176="",D176="",E176="",F176=""),"",IF(OR(B176="",C176="",E176=""),"БЛОК: нужны дата, тип операции и сумма",IF(N(E176)&lt;=0,"БЛОК: сумма должна быть больше нуля",IF(AND(G176&lt;&gt;0,F176=""),"БЛОК: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нельзя",IF(AND(F176&lt;&gt;"",COUNTIF('Долг по актам'!$B$5:$B$34,F176)=0),"БЛОК: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договору")&gt;0)*($C$5:$C$504&lt;&gt;C176)*($E$5:$E$504=E176)*(($D$5:$D$504=D176)*(D176&lt;&gt;"")+($B$5:$B$504=B176)*(B176&lt;&gt;"")&gt;0))&gt;0,"БЛОК: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176" s="5">
        <f>IF(AND(B176="",C176="",E176=""),"",SUM($G$5:G176))</f>
        <v/>
      </c>
    </row>
    <row r="177">
      <c r="A177" s="6" t="n">
        <v>173</v>
      </c>
      <c r="B177" s="7" t="n"/>
      <c r="C177" s="8" t="n"/>
      <c r="D177" s="8" t="n"/>
      <c r="E177" s="9" t="n"/>
      <c r="F177" s="8" t="n"/>
      <c r="G177" s="5">
        <f>IF(OR(C177="",E177=""),0,IF(C177="Начисление по акту",E177,IF(OR(C177="Оплата",C177="Зачёт аванса по договору"),-E177,IF(C177="Корректировка (подписана обеими сторонами)",E177,0))))</f>
        <v/>
      </c>
      <c r="H177" s="5">
        <f>IF(OR(C177="Удержание",C177="Зачёт встречного требования",C177="Неустойка заявлена"),N(E177),0)</f>
        <v/>
      </c>
      <c r="I177" s="6">
        <f>IF(AND(B177="",C177="",D177="",E177="",F177=""),"",IF(OR(B177="",C177="",E177=""),"БЛОК: нужны дата, тип операции и сумма",IF(N(E177)&lt;=0,"БЛОК: сумма должна быть больше нуля",IF(AND(G177&lt;&gt;0,F177=""),"БЛОК: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нельзя",IF(AND(F177&lt;&gt;"",COUNTIF('Долг по актам'!$B$5:$B$34,F177)=0),"БЛОК: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договору")&gt;0)*($C$5:$C$504&lt;&gt;C177)*($E$5:$E$504=E177)*(($D$5:$D$504=D177)*(D177&lt;&gt;"")+($B$5:$B$504=B177)*(B177&lt;&gt;"")&gt;0))&gt;0,"БЛОК: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177" s="5">
        <f>IF(AND(B177="",C177="",E177=""),"",SUM($G$5:G177))</f>
        <v/>
      </c>
    </row>
    <row r="178">
      <c r="A178" s="6" t="n">
        <v>174</v>
      </c>
      <c r="B178" s="7" t="n"/>
      <c r="C178" s="8" t="n"/>
      <c r="D178" s="8" t="n"/>
      <c r="E178" s="9" t="n"/>
      <c r="F178" s="8" t="n"/>
      <c r="G178" s="5">
        <f>IF(OR(C178="",E178=""),0,IF(C178="Начисление по акту",E178,IF(OR(C178="Оплата",C178="Зачёт аванса по договору"),-E178,IF(C178="Корректировка (подписана обеими сторонами)",E178,0))))</f>
        <v/>
      </c>
      <c r="H178" s="5">
        <f>IF(OR(C178="Удержание",C178="Зачёт встречного требования",C178="Неустойка заявлена"),N(E178),0)</f>
        <v/>
      </c>
      <c r="I178" s="6">
        <f>IF(AND(B178="",C178="",D178="",E178="",F178=""),"",IF(OR(B178="",C178="",E178=""),"БЛОК: нужны дата, тип операции и сумма",IF(N(E178)&lt;=0,"БЛОК: сумма должна быть больше нуля",IF(AND(G178&lt;&gt;0,F178=""),"БЛОК: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нельзя",IF(AND(F178&lt;&gt;"",COUNTIF('Долг по актам'!$B$5:$B$34,F178)=0),"БЛОК: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договору")&gt;0)*($C$5:$C$504&lt;&gt;C178)*($E$5:$E$504=E178)*(($D$5:$D$504=D178)*(D178&lt;&gt;"")+($B$5:$B$504=B178)*(B178&lt;&gt;"")&gt;0))&gt;0,"БЛОК: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178" s="5">
        <f>IF(AND(B178="",C178="",E178=""),"",SUM($G$5:G178))</f>
        <v/>
      </c>
    </row>
    <row r="179">
      <c r="A179" s="6" t="n">
        <v>175</v>
      </c>
      <c r="B179" s="7" t="n"/>
      <c r="C179" s="8" t="n"/>
      <c r="D179" s="8" t="n"/>
      <c r="E179" s="9" t="n"/>
      <c r="F179" s="8" t="n"/>
      <c r="G179" s="5">
        <f>IF(OR(C179="",E179=""),0,IF(C179="Начисление по акту",E179,IF(OR(C179="Оплата",C179="Зачёт аванса по договору"),-E179,IF(C179="Корректировка (подписана обеими сторонами)",E179,0))))</f>
        <v/>
      </c>
      <c r="H179" s="5">
        <f>IF(OR(C179="Удержание",C179="Зачёт встречного требования",C179="Неустойка заявлена"),N(E179),0)</f>
        <v/>
      </c>
      <c r="I179" s="6">
        <f>IF(AND(B179="",C179="",D179="",E179="",F179=""),"",IF(OR(B179="",C179="",E179=""),"БЛОК: нужны дата, тип операции и сумма",IF(N(E179)&lt;=0,"БЛОК: сумма должна быть больше нуля",IF(AND(G179&lt;&gt;0,F179=""),"БЛОК: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нельзя",IF(AND(F179&lt;&gt;"",COUNTIF('Долг по актам'!$B$5:$B$34,F179)=0),"БЛОК: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договору")&gt;0)*($C$5:$C$504&lt;&gt;C179)*($E$5:$E$504=E179)*(($D$5:$D$504=D179)*(D179&lt;&gt;"")+($B$5:$B$504=B179)*(B179&lt;&gt;"")&gt;0))&gt;0,"БЛОК: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179" s="5">
        <f>IF(AND(B179="",C179="",E179=""),"",SUM($G$5:G179))</f>
        <v/>
      </c>
    </row>
    <row r="180">
      <c r="A180" s="6" t="n">
        <v>176</v>
      </c>
      <c r="B180" s="7" t="n"/>
      <c r="C180" s="8" t="n"/>
      <c r="D180" s="8" t="n"/>
      <c r="E180" s="9" t="n"/>
      <c r="F180" s="8" t="n"/>
      <c r="G180" s="5">
        <f>IF(OR(C180="",E180=""),0,IF(C180="Начисление по акту",E180,IF(OR(C180="Оплата",C180="Зачёт аванса по договору"),-E180,IF(C180="Корректировка (подписана обеими сторонами)",E180,0))))</f>
        <v/>
      </c>
      <c r="H180" s="5">
        <f>IF(OR(C180="Удержание",C180="Зачёт встречного требования",C180="Неустойка заявлена"),N(E180),0)</f>
        <v/>
      </c>
      <c r="I180" s="6">
        <f>IF(AND(B180="",C180="",D180="",E180="",F180=""),"",IF(OR(B180="",C180="",E180=""),"БЛОК: нужны дата, тип операции и сумма",IF(N(E180)&lt;=0,"БЛОК: сумма должна быть больше нуля",IF(AND(G180&lt;&gt;0,F180=""),"БЛОК: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нельзя",IF(AND(F180&lt;&gt;"",COUNTIF('Долг по актам'!$B$5:$B$34,F180)=0),"БЛОК: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договору")&gt;0)*($C$5:$C$504&lt;&gt;C180)*($E$5:$E$504=E180)*(($D$5:$D$504=D180)*(D180&lt;&gt;"")+($B$5:$B$504=B180)*(B180&lt;&gt;"")&gt;0))&gt;0,"БЛОК: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180" s="5">
        <f>IF(AND(B180="",C180="",E180=""),"",SUM($G$5:G180))</f>
        <v/>
      </c>
    </row>
    <row r="181">
      <c r="A181" s="6" t="n">
        <v>177</v>
      </c>
      <c r="B181" s="7" t="n"/>
      <c r="C181" s="8" t="n"/>
      <c r="D181" s="8" t="n"/>
      <c r="E181" s="9" t="n"/>
      <c r="F181" s="8" t="n"/>
      <c r="G181" s="5">
        <f>IF(OR(C181="",E181=""),0,IF(C181="Начисление по акту",E181,IF(OR(C181="Оплата",C181="Зачёт аванса по договору"),-E181,IF(C181="Корректировка (подписана обеими сторонами)",E181,0))))</f>
        <v/>
      </c>
      <c r="H181" s="5">
        <f>IF(OR(C181="Удержание",C181="Зачёт встречного требования",C181="Неустойка заявлена"),N(E181),0)</f>
        <v/>
      </c>
      <c r="I181" s="6">
        <f>IF(AND(B181="",C181="",D181="",E181="",F181=""),"",IF(OR(B181="",C181="",E181=""),"БЛОК: нужны дата, тип операции и сумма",IF(N(E181)&lt;=0,"БЛОК: сумма должна быть больше нуля",IF(AND(G181&lt;&gt;0,F181=""),"БЛОК: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нельзя",IF(AND(F181&lt;&gt;"",COUNTIF('Долг по актам'!$B$5:$B$34,F181)=0),"БЛОК: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договору")&gt;0)*($C$5:$C$504&lt;&gt;C181)*($E$5:$E$504=E181)*(($D$5:$D$504=D181)*(D181&lt;&gt;"")+($B$5:$B$504=B181)*(B181&lt;&gt;"")&gt;0))&gt;0,"БЛОК: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181" s="5">
        <f>IF(AND(B181="",C181="",E181=""),"",SUM($G$5:G181))</f>
        <v/>
      </c>
    </row>
    <row r="182">
      <c r="A182" s="6" t="n">
        <v>178</v>
      </c>
      <c r="B182" s="7" t="n"/>
      <c r="C182" s="8" t="n"/>
      <c r="D182" s="8" t="n"/>
      <c r="E182" s="9" t="n"/>
      <c r="F182" s="8" t="n"/>
      <c r="G182" s="5">
        <f>IF(OR(C182="",E182=""),0,IF(C182="Начисление по акту",E182,IF(OR(C182="Оплата",C182="Зачёт аванса по договору"),-E182,IF(C182="Корректировка (подписана обеими сторонами)",E182,0))))</f>
        <v/>
      </c>
      <c r="H182" s="5">
        <f>IF(OR(C182="Удержание",C182="Зачёт встречного требования",C182="Неустойка заявлена"),N(E182),0)</f>
        <v/>
      </c>
      <c r="I182" s="6">
        <f>IF(AND(B182="",C182="",D182="",E182="",F182=""),"",IF(OR(B182="",C182="",E182=""),"БЛОК: нужны дата, тип операции и сумма",IF(N(E182)&lt;=0,"БЛОК: сумма должна быть больше нуля",IF(AND(G182&lt;&gt;0,F182=""),"БЛОК: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нельзя",IF(AND(F182&lt;&gt;"",COUNTIF('Долг по актам'!$B$5:$B$34,F182)=0),"БЛОК: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договору")&gt;0)*($C$5:$C$504&lt;&gt;C182)*($E$5:$E$504=E182)*(($D$5:$D$504=D182)*(D182&lt;&gt;"")+($B$5:$B$504=B182)*(B182&lt;&gt;"")&gt;0))&gt;0,"БЛОК: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182" s="5">
        <f>IF(AND(B182="",C182="",E182=""),"",SUM($G$5:G182))</f>
        <v/>
      </c>
    </row>
    <row r="183">
      <c r="A183" s="6" t="n">
        <v>179</v>
      </c>
      <c r="B183" s="7" t="n"/>
      <c r="C183" s="8" t="n"/>
      <c r="D183" s="8" t="n"/>
      <c r="E183" s="9" t="n"/>
      <c r="F183" s="8" t="n"/>
      <c r="G183" s="5">
        <f>IF(OR(C183="",E183=""),0,IF(C183="Начисление по акту",E183,IF(OR(C183="Оплата",C183="Зачёт аванса по договору"),-E183,IF(C183="Корректировка (подписана обеими сторонами)",E183,0))))</f>
        <v/>
      </c>
      <c r="H183" s="5">
        <f>IF(OR(C183="Удержание",C183="Зачёт встречного требования",C183="Неустойка заявлена"),N(E183),0)</f>
        <v/>
      </c>
      <c r="I183" s="6">
        <f>IF(AND(B183="",C183="",D183="",E183="",F183=""),"",IF(OR(B183="",C183="",E183=""),"БЛОК: нужны дата, тип операции и сумма",IF(N(E183)&lt;=0,"БЛОК: сумма должна быть больше нуля",IF(AND(G183&lt;&gt;0,F183=""),"БЛОК: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нельзя",IF(AND(F183&lt;&gt;"",COUNTIF('Долг по актам'!$B$5:$B$34,F183)=0),"БЛОК: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договору")&gt;0)*($C$5:$C$504&lt;&gt;C183)*($E$5:$E$504=E183)*(($D$5:$D$504=D183)*(D183&lt;&gt;"")+($B$5:$B$504=B183)*(B183&lt;&gt;"")&gt;0))&gt;0,"БЛОК: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183" s="5">
        <f>IF(AND(B183="",C183="",E183=""),"",SUM($G$5:G183))</f>
        <v/>
      </c>
    </row>
    <row r="184">
      <c r="A184" s="6" t="n">
        <v>180</v>
      </c>
      <c r="B184" s="7" t="n"/>
      <c r="C184" s="8" t="n"/>
      <c r="D184" s="8" t="n"/>
      <c r="E184" s="9" t="n"/>
      <c r="F184" s="8" t="n"/>
      <c r="G184" s="5">
        <f>IF(OR(C184="",E184=""),0,IF(C184="Начисление по акту",E184,IF(OR(C184="Оплата",C184="Зачёт аванса по договору"),-E184,IF(C184="Корректировка (подписана обеими сторонами)",E184,0))))</f>
        <v/>
      </c>
      <c r="H184" s="5">
        <f>IF(OR(C184="Удержание",C184="Зачёт встречного требования",C184="Неустойка заявлена"),N(E184),0)</f>
        <v/>
      </c>
      <c r="I184" s="6">
        <f>IF(AND(B184="",C184="",D184="",E184="",F184=""),"",IF(OR(B184="",C184="",E184=""),"БЛОК: нужны дата, тип операции и сумма",IF(N(E184)&lt;=0,"БЛОК: сумма должна быть больше нуля",IF(AND(G184&lt;&gt;0,F184=""),"БЛОК: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нельзя",IF(AND(F184&lt;&gt;"",COUNTIF('Долг по актам'!$B$5:$B$34,F184)=0),"БЛОК: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договору")&gt;0)*($C$5:$C$504&lt;&gt;C184)*($E$5:$E$504=E184)*(($D$5:$D$504=D184)*(D184&lt;&gt;"")+($B$5:$B$504=B184)*(B184&lt;&gt;"")&gt;0))&gt;0,"БЛОК: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184" s="5">
        <f>IF(AND(B184="",C184="",E184=""),"",SUM($G$5:G184))</f>
        <v/>
      </c>
    </row>
    <row r="185">
      <c r="A185" s="6" t="n">
        <v>181</v>
      </c>
      <c r="B185" s="7" t="n"/>
      <c r="C185" s="8" t="n"/>
      <c r="D185" s="8" t="n"/>
      <c r="E185" s="9" t="n"/>
      <c r="F185" s="8" t="n"/>
      <c r="G185" s="5">
        <f>IF(OR(C185="",E185=""),0,IF(C185="Начисление по акту",E185,IF(OR(C185="Оплата",C185="Зачёт аванса по договору"),-E185,IF(C185="Корректировка (подписана обеими сторонами)",E185,0))))</f>
        <v/>
      </c>
      <c r="H185" s="5">
        <f>IF(OR(C185="Удержание",C185="Зачёт встречного требования",C185="Неустойка заявлена"),N(E185),0)</f>
        <v/>
      </c>
      <c r="I185" s="6">
        <f>IF(AND(B185="",C185="",D185="",E185="",F185=""),"",IF(OR(B185="",C185="",E185=""),"БЛОК: нужны дата, тип операции и сумма",IF(N(E185)&lt;=0,"БЛОК: сумма должна быть больше нуля",IF(AND(G185&lt;&gt;0,F185=""),"БЛОК: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нельзя",IF(AND(F185&lt;&gt;"",COUNTIF('Долг по актам'!$B$5:$B$34,F185)=0),"БЛОК: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договору")&gt;0)*($C$5:$C$504&lt;&gt;C185)*($E$5:$E$504=E185)*(($D$5:$D$504=D185)*(D185&lt;&gt;"")+($B$5:$B$504=B185)*(B185&lt;&gt;"")&gt;0))&gt;0,"БЛОК: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185" s="5">
        <f>IF(AND(B185="",C185="",E185=""),"",SUM($G$5:G185))</f>
        <v/>
      </c>
    </row>
    <row r="186">
      <c r="A186" s="6" t="n">
        <v>182</v>
      </c>
      <c r="B186" s="7" t="n"/>
      <c r="C186" s="8" t="n"/>
      <c r="D186" s="8" t="n"/>
      <c r="E186" s="9" t="n"/>
      <c r="F186" s="8" t="n"/>
      <c r="G186" s="5">
        <f>IF(OR(C186="",E186=""),0,IF(C186="Начисление по акту",E186,IF(OR(C186="Оплата",C186="Зачёт аванса по договору"),-E186,IF(C186="Корректировка (подписана обеими сторонами)",E186,0))))</f>
        <v/>
      </c>
      <c r="H186" s="5">
        <f>IF(OR(C186="Удержание",C186="Зачёт встречного требования",C186="Неустойка заявлена"),N(E186),0)</f>
        <v/>
      </c>
      <c r="I186" s="6">
        <f>IF(AND(B186="",C186="",D186="",E186="",F186=""),"",IF(OR(B186="",C186="",E186=""),"БЛОК: нужны дата, тип операции и сумма",IF(N(E186)&lt;=0,"БЛОК: сумма должна быть больше нуля",IF(AND(G186&lt;&gt;0,F186=""),"БЛОК: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нельзя",IF(AND(F186&lt;&gt;"",COUNTIF('Долг по актам'!$B$5:$B$34,F186)=0),"БЛОК: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договору")&gt;0)*($C$5:$C$504&lt;&gt;C186)*($E$5:$E$504=E186)*(($D$5:$D$504=D186)*(D186&lt;&gt;"")+($B$5:$B$504=B186)*(B186&lt;&gt;"")&gt;0))&gt;0,"БЛОК: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186" s="5">
        <f>IF(AND(B186="",C186="",E186=""),"",SUM($G$5:G186))</f>
        <v/>
      </c>
    </row>
    <row r="187">
      <c r="A187" s="6" t="n">
        <v>183</v>
      </c>
      <c r="B187" s="7" t="n"/>
      <c r="C187" s="8" t="n"/>
      <c r="D187" s="8" t="n"/>
      <c r="E187" s="9" t="n"/>
      <c r="F187" s="8" t="n"/>
      <c r="G187" s="5">
        <f>IF(OR(C187="",E187=""),0,IF(C187="Начисление по акту",E187,IF(OR(C187="Оплата",C187="Зачёт аванса по договору"),-E187,IF(C187="Корректировка (подписана обеими сторонами)",E187,0))))</f>
        <v/>
      </c>
      <c r="H187" s="5">
        <f>IF(OR(C187="Удержание",C187="Зачёт встречного требования",C187="Неустойка заявлена"),N(E187),0)</f>
        <v/>
      </c>
      <c r="I187" s="6">
        <f>IF(AND(B187="",C187="",D187="",E187="",F187=""),"",IF(OR(B187="",C187="",E187=""),"БЛОК: нужны дата, тип операции и сумма",IF(N(E187)&lt;=0,"БЛОК: сумма должна быть больше нуля",IF(AND(G187&lt;&gt;0,F187=""),"БЛОК: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нельзя",IF(AND(F187&lt;&gt;"",COUNTIF('Долг по актам'!$B$5:$B$34,F187)=0),"БЛОК: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договору")&gt;0)*($C$5:$C$504&lt;&gt;C187)*($E$5:$E$504=E187)*(($D$5:$D$504=D187)*(D187&lt;&gt;"")+($B$5:$B$504=B187)*(B187&lt;&gt;"")&gt;0))&gt;0,"БЛОК: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187" s="5">
        <f>IF(AND(B187="",C187="",E187=""),"",SUM($G$5:G187))</f>
        <v/>
      </c>
    </row>
    <row r="188">
      <c r="A188" s="6" t="n">
        <v>184</v>
      </c>
      <c r="B188" s="7" t="n"/>
      <c r="C188" s="8" t="n"/>
      <c r="D188" s="8" t="n"/>
      <c r="E188" s="9" t="n"/>
      <c r="F188" s="8" t="n"/>
      <c r="G188" s="5">
        <f>IF(OR(C188="",E188=""),0,IF(C188="Начисление по акту",E188,IF(OR(C188="Оплата",C188="Зачёт аванса по договору"),-E188,IF(C188="Корректировка (подписана обеими сторонами)",E188,0))))</f>
        <v/>
      </c>
      <c r="H188" s="5">
        <f>IF(OR(C188="Удержание",C188="Зачёт встречного требования",C188="Неустойка заявлена"),N(E188),0)</f>
        <v/>
      </c>
      <c r="I188" s="6">
        <f>IF(AND(B188="",C188="",D188="",E188="",F188=""),"",IF(OR(B188="",C188="",E188=""),"БЛОК: нужны дата, тип операции и сумма",IF(N(E188)&lt;=0,"БЛОК: сумма должна быть больше нуля",IF(AND(G188&lt;&gt;0,F188=""),"БЛОК: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нельзя",IF(AND(F188&lt;&gt;"",COUNTIF('Долг по актам'!$B$5:$B$34,F188)=0),"БЛОК: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договору")&gt;0)*($C$5:$C$504&lt;&gt;C188)*($E$5:$E$504=E188)*(($D$5:$D$504=D188)*(D188&lt;&gt;"")+($B$5:$B$504=B188)*(B188&lt;&gt;"")&gt;0))&gt;0,"БЛОК: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188" s="5">
        <f>IF(AND(B188="",C188="",E188=""),"",SUM($G$5:G188))</f>
        <v/>
      </c>
    </row>
    <row r="189">
      <c r="A189" s="6" t="n">
        <v>185</v>
      </c>
      <c r="B189" s="7" t="n"/>
      <c r="C189" s="8" t="n"/>
      <c r="D189" s="8" t="n"/>
      <c r="E189" s="9" t="n"/>
      <c r="F189" s="8" t="n"/>
      <c r="G189" s="5">
        <f>IF(OR(C189="",E189=""),0,IF(C189="Начисление по акту",E189,IF(OR(C189="Оплата",C189="Зачёт аванса по договору"),-E189,IF(C189="Корректировка (подписана обеими сторонами)",E189,0))))</f>
        <v/>
      </c>
      <c r="H189" s="5">
        <f>IF(OR(C189="Удержание",C189="Зачёт встречного требования",C189="Неустойка заявлена"),N(E189),0)</f>
        <v/>
      </c>
      <c r="I189" s="6">
        <f>IF(AND(B189="",C189="",D189="",E189="",F189=""),"",IF(OR(B189="",C189="",E189=""),"БЛОК: нужны дата, тип операции и сумма",IF(N(E189)&lt;=0,"БЛОК: сумма должна быть больше нуля",IF(AND(G189&lt;&gt;0,F189=""),"БЛОК: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нельзя",IF(AND(F189&lt;&gt;"",COUNTIF('Долг по актам'!$B$5:$B$34,F189)=0),"БЛОК: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договору")&gt;0)*($C$5:$C$504&lt;&gt;C189)*($E$5:$E$504=E189)*(($D$5:$D$504=D189)*(D189&lt;&gt;"")+($B$5:$B$504=B189)*(B189&lt;&gt;"")&gt;0))&gt;0,"БЛОК: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189" s="5">
        <f>IF(AND(B189="",C189="",E189=""),"",SUM($G$5:G189))</f>
        <v/>
      </c>
    </row>
    <row r="190">
      <c r="A190" s="6" t="n">
        <v>186</v>
      </c>
      <c r="B190" s="7" t="n"/>
      <c r="C190" s="8" t="n"/>
      <c r="D190" s="8" t="n"/>
      <c r="E190" s="9" t="n"/>
      <c r="F190" s="8" t="n"/>
      <c r="G190" s="5">
        <f>IF(OR(C190="",E190=""),0,IF(C190="Начисление по акту",E190,IF(OR(C190="Оплата",C190="Зачёт аванса по договору"),-E190,IF(C190="Корректировка (подписана обеими сторонами)",E190,0))))</f>
        <v/>
      </c>
      <c r="H190" s="5">
        <f>IF(OR(C190="Удержание",C190="Зачёт встречного требования",C190="Неустойка заявлена"),N(E190),0)</f>
        <v/>
      </c>
      <c r="I190" s="6">
        <f>IF(AND(B190="",C190="",D190="",E190="",F190=""),"",IF(OR(B190="",C190="",E190=""),"БЛОК: нужны дата, тип операции и сумма",IF(N(E190)&lt;=0,"БЛОК: сумма должна быть больше нуля",IF(AND(G190&lt;&gt;0,F190=""),"БЛОК: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нельзя",IF(AND(F190&lt;&gt;"",COUNTIF('Долг по актам'!$B$5:$B$34,F190)=0),"БЛОК: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договору")&gt;0)*($C$5:$C$504&lt;&gt;C190)*($E$5:$E$504=E190)*(($D$5:$D$504=D190)*(D190&lt;&gt;"")+($B$5:$B$504=B190)*(B190&lt;&gt;"")&gt;0))&gt;0,"БЛОК: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190" s="5">
        <f>IF(AND(B190="",C190="",E190=""),"",SUM($G$5:G190))</f>
        <v/>
      </c>
    </row>
    <row r="191">
      <c r="A191" s="6" t="n">
        <v>187</v>
      </c>
      <c r="B191" s="7" t="n"/>
      <c r="C191" s="8" t="n"/>
      <c r="D191" s="8" t="n"/>
      <c r="E191" s="9" t="n"/>
      <c r="F191" s="8" t="n"/>
      <c r="G191" s="5">
        <f>IF(OR(C191="",E191=""),0,IF(C191="Начисление по акту",E191,IF(OR(C191="Оплата",C191="Зачёт аванса по договору"),-E191,IF(C191="Корректировка (подписана обеими сторонами)",E191,0))))</f>
        <v/>
      </c>
      <c r="H191" s="5">
        <f>IF(OR(C191="Удержание",C191="Зачёт встречного требования",C191="Неустойка заявлена"),N(E191),0)</f>
        <v/>
      </c>
      <c r="I191" s="6">
        <f>IF(AND(B191="",C191="",D191="",E191="",F191=""),"",IF(OR(B191="",C191="",E191=""),"БЛОК: нужны дата, тип операции и сумма",IF(N(E191)&lt;=0,"БЛОК: сумма должна быть больше нуля",IF(AND(G191&lt;&gt;0,F191=""),"БЛОК: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нельзя",IF(AND(F191&lt;&gt;"",COUNTIF('Долг по актам'!$B$5:$B$34,F191)=0),"БЛОК: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договору")&gt;0)*($C$5:$C$504&lt;&gt;C191)*($E$5:$E$504=E191)*(($D$5:$D$504=D191)*(D191&lt;&gt;"")+($B$5:$B$504=B191)*(B191&lt;&gt;"")&gt;0))&gt;0,"БЛОК: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191" s="5">
        <f>IF(AND(B191="",C191="",E191=""),"",SUM($G$5:G191))</f>
        <v/>
      </c>
    </row>
    <row r="192">
      <c r="A192" s="6" t="n">
        <v>188</v>
      </c>
      <c r="B192" s="7" t="n"/>
      <c r="C192" s="8" t="n"/>
      <c r="D192" s="8" t="n"/>
      <c r="E192" s="9" t="n"/>
      <c r="F192" s="8" t="n"/>
      <c r="G192" s="5">
        <f>IF(OR(C192="",E192=""),0,IF(C192="Начисление по акту",E192,IF(OR(C192="Оплата",C192="Зачёт аванса по договору"),-E192,IF(C192="Корректировка (подписана обеими сторонами)",E192,0))))</f>
        <v/>
      </c>
      <c r="H192" s="5">
        <f>IF(OR(C192="Удержание",C192="Зачёт встречного требования",C192="Неустойка заявлена"),N(E192),0)</f>
        <v/>
      </c>
      <c r="I192" s="6">
        <f>IF(AND(B192="",C192="",D192="",E192="",F192=""),"",IF(OR(B192="",C192="",E192=""),"БЛОК: нужны дата, тип операции и сумма",IF(N(E192)&lt;=0,"БЛОК: сумма должна быть больше нуля",IF(AND(G192&lt;&gt;0,F192=""),"БЛОК: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нельзя",IF(AND(F192&lt;&gt;"",COUNTIF('Долг по актам'!$B$5:$B$34,F192)=0),"БЛОК: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договору")&gt;0)*($C$5:$C$504&lt;&gt;C192)*($E$5:$E$504=E192)*(($D$5:$D$504=D192)*(D192&lt;&gt;"")+($B$5:$B$504=B192)*(B192&lt;&gt;"")&gt;0))&gt;0,"БЛОК: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192" s="5">
        <f>IF(AND(B192="",C192="",E192=""),"",SUM($G$5:G192))</f>
        <v/>
      </c>
    </row>
    <row r="193">
      <c r="A193" s="6" t="n">
        <v>189</v>
      </c>
      <c r="B193" s="7" t="n"/>
      <c r="C193" s="8" t="n"/>
      <c r="D193" s="8" t="n"/>
      <c r="E193" s="9" t="n"/>
      <c r="F193" s="8" t="n"/>
      <c r="G193" s="5">
        <f>IF(OR(C193="",E193=""),0,IF(C193="Начисление по акту",E193,IF(OR(C193="Оплата",C193="Зачёт аванса по договору"),-E193,IF(C193="Корректировка (подписана обеими сторонами)",E193,0))))</f>
        <v/>
      </c>
      <c r="H193" s="5">
        <f>IF(OR(C193="Удержание",C193="Зачёт встречного требования",C193="Неустойка заявлена"),N(E193),0)</f>
        <v/>
      </c>
      <c r="I193" s="6">
        <f>IF(AND(B193="",C193="",D193="",E193="",F193=""),"",IF(OR(B193="",C193="",E193=""),"БЛОК: нужны дата, тип операции и сумма",IF(N(E193)&lt;=0,"БЛОК: сумма должна быть больше нуля",IF(AND(G193&lt;&gt;0,F193=""),"БЛОК: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нельзя",IF(AND(F193&lt;&gt;"",COUNTIF('Долг по актам'!$B$5:$B$34,F193)=0),"БЛОК: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договору")&gt;0)*($C$5:$C$504&lt;&gt;C193)*($E$5:$E$504=E193)*(($D$5:$D$504=D193)*(D193&lt;&gt;"")+($B$5:$B$504=B193)*(B193&lt;&gt;"")&gt;0))&gt;0,"БЛОК: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193" s="5">
        <f>IF(AND(B193="",C193="",E193=""),"",SUM($G$5:G193))</f>
        <v/>
      </c>
    </row>
    <row r="194">
      <c r="A194" s="6" t="n">
        <v>190</v>
      </c>
      <c r="B194" s="7" t="n"/>
      <c r="C194" s="8" t="n"/>
      <c r="D194" s="8" t="n"/>
      <c r="E194" s="9" t="n"/>
      <c r="F194" s="8" t="n"/>
      <c r="G194" s="5">
        <f>IF(OR(C194="",E194=""),0,IF(C194="Начисление по акту",E194,IF(OR(C194="Оплата",C194="Зачёт аванса по договору"),-E194,IF(C194="Корректировка (подписана обеими сторонами)",E194,0))))</f>
        <v/>
      </c>
      <c r="H194" s="5">
        <f>IF(OR(C194="Удержание",C194="Зачёт встречного требования",C194="Неустойка заявлена"),N(E194),0)</f>
        <v/>
      </c>
      <c r="I194" s="6">
        <f>IF(AND(B194="",C194="",D194="",E194="",F194=""),"",IF(OR(B194="",C194="",E194=""),"БЛОК: нужны дата, тип операции и сумма",IF(N(E194)&lt;=0,"БЛОК: сумма должна быть больше нуля",IF(AND(G194&lt;&gt;0,F194=""),"БЛОК: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нельзя",IF(AND(F194&lt;&gt;"",COUNTIF('Долг по актам'!$B$5:$B$34,F194)=0),"БЛОК: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договору")&gt;0)*($C$5:$C$504&lt;&gt;C194)*($E$5:$E$504=E194)*(($D$5:$D$504=D194)*(D194&lt;&gt;"")+($B$5:$B$504=B194)*(B194&lt;&gt;"")&gt;0))&gt;0,"БЛОК: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194" s="5">
        <f>IF(AND(B194="",C194="",E194=""),"",SUM($G$5:G194))</f>
        <v/>
      </c>
    </row>
    <row r="195">
      <c r="A195" s="6" t="n">
        <v>191</v>
      </c>
      <c r="B195" s="7" t="n"/>
      <c r="C195" s="8" t="n"/>
      <c r="D195" s="8" t="n"/>
      <c r="E195" s="9" t="n"/>
      <c r="F195" s="8" t="n"/>
      <c r="G195" s="5">
        <f>IF(OR(C195="",E195=""),0,IF(C195="Начисление по акту",E195,IF(OR(C195="Оплата",C195="Зачёт аванса по договору"),-E195,IF(C195="Корректировка (подписана обеими сторонами)",E195,0))))</f>
        <v/>
      </c>
      <c r="H195" s="5">
        <f>IF(OR(C195="Удержание",C195="Зачёт встречного требования",C195="Неустойка заявлена"),N(E195),0)</f>
        <v/>
      </c>
      <c r="I195" s="6">
        <f>IF(AND(B195="",C195="",D195="",E195="",F195=""),"",IF(OR(B195="",C195="",E195=""),"БЛОК: нужны дата, тип операции и сумма",IF(N(E195)&lt;=0,"БЛОК: сумма должна быть больше нуля",IF(AND(G195&lt;&gt;0,F195=""),"БЛОК: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нельзя",IF(AND(F195&lt;&gt;"",COUNTIF('Долг по актам'!$B$5:$B$34,F195)=0),"БЛОК: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договору")&gt;0)*($C$5:$C$504&lt;&gt;C195)*($E$5:$E$504=E195)*(($D$5:$D$504=D195)*(D195&lt;&gt;"")+($B$5:$B$504=B195)*(B195&lt;&gt;"")&gt;0))&gt;0,"БЛОК: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195" s="5">
        <f>IF(AND(B195="",C195="",E195=""),"",SUM($G$5:G195))</f>
        <v/>
      </c>
    </row>
    <row r="196">
      <c r="A196" s="6" t="n">
        <v>192</v>
      </c>
      <c r="B196" s="7" t="n"/>
      <c r="C196" s="8" t="n"/>
      <c r="D196" s="8" t="n"/>
      <c r="E196" s="9" t="n"/>
      <c r="F196" s="8" t="n"/>
      <c r="G196" s="5">
        <f>IF(OR(C196="",E196=""),0,IF(C196="Начисление по акту",E196,IF(OR(C196="Оплата",C196="Зачёт аванса по договору"),-E196,IF(C196="Корректировка (подписана обеими сторонами)",E196,0))))</f>
        <v/>
      </c>
      <c r="H196" s="5">
        <f>IF(OR(C196="Удержание",C196="Зачёт встречного требования",C196="Неустойка заявлена"),N(E196),0)</f>
        <v/>
      </c>
      <c r="I196" s="6">
        <f>IF(AND(B196="",C196="",D196="",E196="",F196=""),"",IF(OR(B196="",C196="",E196=""),"БЛОК: нужны дата, тип операции и сумма",IF(N(E196)&lt;=0,"БЛОК: сумма должна быть больше нуля",IF(AND(G196&lt;&gt;0,F196=""),"БЛОК: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нельзя",IF(AND(F196&lt;&gt;"",COUNTIF('Долг по актам'!$B$5:$B$34,F196)=0),"БЛОК: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договору")&gt;0)*($C$5:$C$504&lt;&gt;C196)*($E$5:$E$504=E196)*(($D$5:$D$504=D196)*(D196&lt;&gt;"")+($B$5:$B$504=B196)*(B196&lt;&gt;"")&gt;0))&gt;0,"БЛОК: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196" s="5">
        <f>IF(AND(B196="",C196="",E196=""),"",SUM($G$5:G196))</f>
        <v/>
      </c>
    </row>
    <row r="197">
      <c r="A197" s="6" t="n">
        <v>193</v>
      </c>
      <c r="B197" s="7" t="n"/>
      <c r="C197" s="8" t="n"/>
      <c r="D197" s="8" t="n"/>
      <c r="E197" s="9" t="n"/>
      <c r="F197" s="8" t="n"/>
      <c r="G197" s="5">
        <f>IF(OR(C197="",E197=""),0,IF(C197="Начисление по акту",E197,IF(OR(C197="Оплата",C197="Зачёт аванса по договору"),-E197,IF(C197="Корректировка (подписана обеими сторонами)",E197,0))))</f>
        <v/>
      </c>
      <c r="H197" s="5">
        <f>IF(OR(C197="Удержание",C197="Зачёт встречного требования",C197="Неустойка заявлена"),N(E197),0)</f>
        <v/>
      </c>
      <c r="I197" s="6">
        <f>IF(AND(B197="",C197="",D197="",E197="",F197=""),"",IF(OR(B197="",C197="",E197=""),"БЛОК: нужны дата, тип операции и сумма",IF(N(E197)&lt;=0,"БЛОК: сумма должна быть больше нуля",IF(AND(G197&lt;&gt;0,F197=""),"БЛОК: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нельзя",IF(AND(F197&lt;&gt;"",COUNTIF('Долг по актам'!$B$5:$B$34,F197)=0),"БЛОК: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договору")&gt;0)*($C$5:$C$504&lt;&gt;C197)*($E$5:$E$504=E197)*(($D$5:$D$504=D197)*(D197&lt;&gt;"")+($B$5:$B$504=B197)*(B197&lt;&gt;"")&gt;0))&gt;0,"БЛОК: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197" s="5">
        <f>IF(AND(B197="",C197="",E197=""),"",SUM($G$5:G197))</f>
        <v/>
      </c>
    </row>
    <row r="198">
      <c r="A198" s="6" t="n">
        <v>194</v>
      </c>
      <c r="B198" s="7" t="n"/>
      <c r="C198" s="8" t="n"/>
      <c r="D198" s="8" t="n"/>
      <c r="E198" s="9" t="n"/>
      <c r="F198" s="8" t="n"/>
      <c r="G198" s="5">
        <f>IF(OR(C198="",E198=""),0,IF(C198="Начисление по акту",E198,IF(OR(C198="Оплата",C198="Зачёт аванса по договору"),-E198,IF(C198="Корректировка (подписана обеими сторонами)",E198,0))))</f>
        <v/>
      </c>
      <c r="H198" s="5">
        <f>IF(OR(C198="Удержание",C198="Зачёт встречного требования",C198="Неустойка заявлена"),N(E198),0)</f>
        <v/>
      </c>
      <c r="I198" s="6">
        <f>IF(AND(B198="",C198="",D198="",E198="",F198=""),"",IF(OR(B198="",C198="",E198=""),"БЛОК: нужны дата, тип операции и сумма",IF(N(E198)&lt;=0,"БЛОК: сумма должна быть больше нуля",IF(AND(G198&lt;&gt;0,F198=""),"БЛОК: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нельзя",IF(AND(F198&lt;&gt;"",COUNTIF('Долг по актам'!$B$5:$B$34,F198)=0),"БЛОК: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договору")&gt;0)*($C$5:$C$504&lt;&gt;C198)*($E$5:$E$504=E198)*(($D$5:$D$504=D198)*(D198&lt;&gt;"")+($B$5:$B$504=B198)*(B198&lt;&gt;"")&gt;0))&gt;0,"БЛОК: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198" s="5">
        <f>IF(AND(B198="",C198="",E198=""),"",SUM($G$5:G198))</f>
        <v/>
      </c>
    </row>
    <row r="199">
      <c r="A199" s="6" t="n">
        <v>195</v>
      </c>
      <c r="B199" s="7" t="n"/>
      <c r="C199" s="8" t="n"/>
      <c r="D199" s="8" t="n"/>
      <c r="E199" s="9" t="n"/>
      <c r="F199" s="8" t="n"/>
      <c r="G199" s="5">
        <f>IF(OR(C199="",E199=""),0,IF(C199="Начисление по акту",E199,IF(OR(C199="Оплата",C199="Зачёт аванса по договору"),-E199,IF(C199="Корректировка (подписана обеими сторонами)",E199,0))))</f>
        <v/>
      </c>
      <c r="H199" s="5">
        <f>IF(OR(C199="Удержание",C199="Зачёт встречного требования",C199="Неустойка заявлена"),N(E199),0)</f>
        <v/>
      </c>
      <c r="I199" s="6">
        <f>IF(AND(B199="",C199="",D199="",E199="",F199=""),"",IF(OR(B199="",C199="",E199=""),"БЛОК: нужны дата, тип операции и сумма",IF(N(E199)&lt;=0,"БЛОК: сумма должна быть больше нуля",IF(AND(G199&lt;&gt;0,F199=""),"БЛОК: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нельзя",IF(AND(F199&lt;&gt;"",COUNTIF('Долг по актам'!$B$5:$B$34,F199)=0),"БЛОК: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договору")&gt;0)*($C$5:$C$504&lt;&gt;C199)*($E$5:$E$504=E199)*(($D$5:$D$504=D199)*(D199&lt;&gt;"")+($B$5:$B$504=B199)*(B199&lt;&gt;"")&gt;0))&gt;0,"БЛОК: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199" s="5">
        <f>IF(AND(B199="",C199="",E199=""),"",SUM($G$5:G199))</f>
        <v/>
      </c>
    </row>
    <row r="200">
      <c r="A200" s="6" t="n">
        <v>196</v>
      </c>
      <c r="B200" s="7" t="n"/>
      <c r="C200" s="8" t="n"/>
      <c r="D200" s="8" t="n"/>
      <c r="E200" s="9" t="n"/>
      <c r="F200" s="8" t="n"/>
      <c r="G200" s="5">
        <f>IF(OR(C200="",E200=""),0,IF(C200="Начисление по акту",E200,IF(OR(C200="Оплата",C200="Зачёт аванса по договору"),-E200,IF(C200="Корректировка (подписана обеими сторонами)",E200,0))))</f>
        <v/>
      </c>
      <c r="H200" s="5">
        <f>IF(OR(C200="Удержание",C200="Зачёт встречного требования",C200="Неустойка заявлена"),N(E200),0)</f>
        <v/>
      </c>
      <c r="I200" s="6">
        <f>IF(AND(B200="",C200="",D200="",E200="",F200=""),"",IF(OR(B200="",C200="",E200=""),"БЛОК: нужны дата, тип операции и сумма",IF(N(E200)&lt;=0,"БЛОК: сумма должна быть больше нуля",IF(AND(G200&lt;&gt;0,F200=""),"БЛОК: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нельзя",IF(AND(F200&lt;&gt;"",COUNTIF('Долг по актам'!$B$5:$B$34,F200)=0),"БЛОК: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договору")&gt;0)*($C$5:$C$504&lt;&gt;C200)*($E$5:$E$504=E200)*(($D$5:$D$504=D200)*(D200&lt;&gt;"")+($B$5:$B$504=B200)*(B200&lt;&gt;"")&gt;0))&gt;0,"БЛОК: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200" s="5">
        <f>IF(AND(B200="",C200="",E200=""),"",SUM($G$5:G200))</f>
        <v/>
      </c>
    </row>
    <row r="201">
      <c r="A201" s="6" t="n">
        <v>197</v>
      </c>
      <c r="B201" s="7" t="n"/>
      <c r="C201" s="8" t="n"/>
      <c r="D201" s="8" t="n"/>
      <c r="E201" s="9" t="n"/>
      <c r="F201" s="8" t="n"/>
      <c r="G201" s="5">
        <f>IF(OR(C201="",E201=""),0,IF(C201="Начисление по акту",E201,IF(OR(C201="Оплата",C201="Зачёт аванса по договору"),-E201,IF(C201="Корректировка (подписана обеими сторонами)",E201,0))))</f>
        <v/>
      </c>
      <c r="H201" s="5">
        <f>IF(OR(C201="Удержание",C201="Зачёт встречного требования",C201="Неустойка заявлена"),N(E201),0)</f>
        <v/>
      </c>
      <c r="I201" s="6">
        <f>IF(AND(B201="",C201="",D201="",E201="",F201=""),"",IF(OR(B201="",C201="",E201=""),"БЛОК: нужны дата, тип операции и сумма",IF(N(E201)&lt;=0,"БЛОК: сумма должна быть больше нуля",IF(AND(G201&lt;&gt;0,F201=""),"БЛОК: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нельзя",IF(AND(F201&lt;&gt;"",COUNTIF('Долг по актам'!$B$5:$B$34,F201)=0),"БЛОК: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договору")&gt;0)*($C$5:$C$504&lt;&gt;C201)*($E$5:$E$504=E201)*(($D$5:$D$504=D201)*(D201&lt;&gt;"")+($B$5:$B$504=B201)*(B201&lt;&gt;"")&gt;0))&gt;0,"БЛОК: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201" s="5">
        <f>IF(AND(B201="",C201="",E201=""),"",SUM($G$5:G201))</f>
        <v/>
      </c>
    </row>
    <row r="202">
      <c r="A202" s="6" t="n">
        <v>198</v>
      </c>
      <c r="B202" s="7" t="n"/>
      <c r="C202" s="8" t="n"/>
      <c r="D202" s="8" t="n"/>
      <c r="E202" s="9" t="n"/>
      <c r="F202" s="8" t="n"/>
      <c r="G202" s="5">
        <f>IF(OR(C202="",E202=""),0,IF(C202="Начисление по акту",E202,IF(OR(C202="Оплата",C202="Зачёт аванса по договору"),-E202,IF(C202="Корректировка (подписана обеими сторонами)",E202,0))))</f>
        <v/>
      </c>
      <c r="H202" s="5">
        <f>IF(OR(C202="Удержание",C202="Зачёт встречного требования",C202="Неустойка заявлена"),N(E202),0)</f>
        <v/>
      </c>
      <c r="I202" s="6">
        <f>IF(AND(B202="",C202="",D202="",E202="",F202=""),"",IF(OR(B202="",C202="",E202=""),"БЛОК: нужны дата, тип операции и сумма",IF(N(E202)&lt;=0,"БЛОК: сумма должна быть больше нуля",IF(AND(G202&lt;&gt;0,F202=""),"БЛОК: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нельзя",IF(AND(F202&lt;&gt;"",COUNTIF('Долг по актам'!$B$5:$B$34,F202)=0),"БЛОК: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договору")&gt;0)*($C$5:$C$504&lt;&gt;C202)*($E$5:$E$504=E202)*(($D$5:$D$504=D202)*(D202&lt;&gt;"")+($B$5:$B$504=B202)*(B202&lt;&gt;"")&gt;0))&gt;0,"БЛОК: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202" s="5">
        <f>IF(AND(B202="",C202="",E202=""),"",SUM($G$5:G202))</f>
        <v/>
      </c>
    </row>
    <row r="203">
      <c r="A203" s="6" t="n">
        <v>199</v>
      </c>
      <c r="B203" s="7" t="n"/>
      <c r="C203" s="8" t="n"/>
      <c r="D203" s="8" t="n"/>
      <c r="E203" s="9" t="n"/>
      <c r="F203" s="8" t="n"/>
      <c r="G203" s="5">
        <f>IF(OR(C203="",E203=""),0,IF(C203="Начисление по акту",E203,IF(OR(C203="Оплата",C203="Зачёт аванса по договору"),-E203,IF(C203="Корректировка (подписана обеими сторонами)",E203,0))))</f>
        <v/>
      </c>
      <c r="H203" s="5">
        <f>IF(OR(C203="Удержание",C203="Зачёт встречного требования",C203="Неустойка заявлена"),N(E203),0)</f>
        <v/>
      </c>
      <c r="I203" s="6">
        <f>IF(AND(B203="",C203="",D203="",E203="",F203=""),"",IF(OR(B203="",C203="",E203=""),"БЛОК: нужны дата, тип операции и сумма",IF(N(E203)&lt;=0,"БЛОК: сумма должна быть больше нуля",IF(AND(G203&lt;&gt;0,F203=""),"БЛОК: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нельзя",IF(AND(F203&lt;&gt;"",COUNTIF('Долг по актам'!$B$5:$B$34,F203)=0),"БЛОК: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договору")&gt;0)*($C$5:$C$504&lt;&gt;C203)*($E$5:$E$504=E203)*(($D$5:$D$504=D203)*(D203&lt;&gt;"")+($B$5:$B$504=B203)*(B203&lt;&gt;"")&gt;0))&gt;0,"БЛОК: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203" s="5">
        <f>IF(AND(B203="",C203="",E203=""),"",SUM($G$5:G203))</f>
        <v/>
      </c>
    </row>
    <row r="204">
      <c r="A204" s="6" t="n">
        <v>200</v>
      </c>
      <c r="B204" s="7" t="n"/>
      <c r="C204" s="8" t="n"/>
      <c r="D204" s="8" t="n"/>
      <c r="E204" s="9" t="n"/>
      <c r="F204" s="8" t="n"/>
      <c r="G204" s="5">
        <f>IF(OR(C204="",E204=""),0,IF(C204="Начисление по акту",E204,IF(OR(C204="Оплата",C204="Зачёт аванса по договору"),-E204,IF(C204="Корректировка (подписана обеими сторонами)",E204,0))))</f>
        <v/>
      </c>
      <c r="H204" s="5">
        <f>IF(OR(C204="Удержание",C204="Зачёт встречного требования",C204="Неустойка заявлена"),N(E204),0)</f>
        <v/>
      </c>
      <c r="I204" s="6">
        <f>IF(AND(B204="",C204="",D204="",E204="",F204=""),"",IF(OR(B204="",C204="",E204=""),"БЛОК: нужны дата, тип операции и сумма",IF(N(E204)&lt;=0,"БЛОК: сумма должна быть больше нуля",IF(AND(G204&lt;&gt;0,F204=""),"БЛОК: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нельзя",IF(AND(F204&lt;&gt;"",COUNTIF('Долг по актам'!$B$5:$B$34,F204)=0),"БЛОК: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договору")&gt;0)*($C$5:$C$504&lt;&gt;C204)*($E$5:$E$504=E204)*(($D$5:$D$504=D204)*(D204&lt;&gt;"")+($B$5:$B$504=B204)*(B204&lt;&gt;"")&gt;0))&gt;0,"БЛОК: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204" s="5">
        <f>IF(AND(B204="",C204="",E204=""),"",SUM($G$5:G204))</f>
        <v/>
      </c>
    </row>
    <row r="205">
      <c r="A205" s="6" t="n">
        <v>201</v>
      </c>
      <c r="B205" s="7" t="n"/>
      <c r="C205" s="8" t="n"/>
      <c r="D205" s="8" t="n"/>
      <c r="E205" s="9" t="n"/>
      <c r="F205" s="8" t="n"/>
      <c r="G205" s="5">
        <f>IF(OR(C205="",E205=""),0,IF(C205="Начисление по акту",E205,IF(OR(C205="Оплата",C205="Зачёт аванса по договору"),-E205,IF(C205="Корректировка (подписана обеими сторонами)",E205,0))))</f>
        <v/>
      </c>
      <c r="H205" s="5">
        <f>IF(OR(C205="Удержание",C205="Зачёт встречного требования",C205="Неустойка заявлена"),N(E205),0)</f>
        <v/>
      </c>
      <c r="I205" s="6">
        <f>IF(AND(B205="",C205="",D205="",E205="",F205=""),"",IF(OR(B205="",C205="",E205=""),"БЛОК: нужны дата, тип операции и сумма",IF(N(E205)&lt;=0,"БЛОК: сумма должна быть больше нуля",IF(AND(G205&lt;&gt;0,F205=""),"БЛОК: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нельзя",IF(AND(F205&lt;&gt;"",COUNTIF('Долг по актам'!$B$5:$B$34,F205)=0),"БЛОК: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договору")&gt;0)*($C$5:$C$504&lt;&gt;C205)*($E$5:$E$504=E205)*(($D$5:$D$504=D205)*(D205&lt;&gt;"")+($B$5:$B$504=B205)*(B205&lt;&gt;"")&gt;0))&gt;0,"БЛОК: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205" s="5">
        <f>IF(AND(B205="",C205="",E205=""),"",SUM($G$5:G205))</f>
        <v/>
      </c>
    </row>
    <row r="206">
      <c r="A206" s="6" t="n">
        <v>202</v>
      </c>
      <c r="B206" s="7" t="n"/>
      <c r="C206" s="8" t="n"/>
      <c r="D206" s="8" t="n"/>
      <c r="E206" s="9" t="n"/>
      <c r="F206" s="8" t="n"/>
      <c r="G206" s="5">
        <f>IF(OR(C206="",E206=""),0,IF(C206="Начисление по акту",E206,IF(OR(C206="Оплата",C206="Зачёт аванса по договору"),-E206,IF(C206="Корректировка (подписана обеими сторонами)",E206,0))))</f>
        <v/>
      </c>
      <c r="H206" s="5">
        <f>IF(OR(C206="Удержание",C206="Зачёт встречного требования",C206="Неустойка заявлена"),N(E206),0)</f>
        <v/>
      </c>
      <c r="I206" s="6">
        <f>IF(AND(B206="",C206="",D206="",E206="",F206=""),"",IF(OR(B206="",C206="",E206=""),"БЛОК: нужны дата, тип операции и сумма",IF(N(E206)&lt;=0,"БЛОК: сумма должна быть больше нуля",IF(AND(G206&lt;&gt;0,F206=""),"БЛОК: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нельзя",IF(AND(F206&lt;&gt;"",COUNTIF('Долг по актам'!$B$5:$B$34,F206)=0),"БЛОК: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договору")&gt;0)*($C$5:$C$504&lt;&gt;C206)*($E$5:$E$504=E206)*(($D$5:$D$504=D206)*(D206&lt;&gt;"")+($B$5:$B$504=B206)*(B206&lt;&gt;"")&gt;0))&gt;0,"БЛОК: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206" s="5">
        <f>IF(AND(B206="",C206="",E206=""),"",SUM($G$5:G206))</f>
        <v/>
      </c>
    </row>
    <row r="207">
      <c r="A207" s="6" t="n">
        <v>203</v>
      </c>
      <c r="B207" s="7" t="n"/>
      <c r="C207" s="8" t="n"/>
      <c r="D207" s="8" t="n"/>
      <c r="E207" s="9" t="n"/>
      <c r="F207" s="8" t="n"/>
      <c r="G207" s="5">
        <f>IF(OR(C207="",E207=""),0,IF(C207="Начисление по акту",E207,IF(OR(C207="Оплата",C207="Зачёт аванса по договору"),-E207,IF(C207="Корректировка (подписана обеими сторонами)",E207,0))))</f>
        <v/>
      </c>
      <c r="H207" s="5">
        <f>IF(OR(C207="Удержание",C207="Зачёт встречного требования",C207="Неустойка заявлена"),N(E207),0)</f>
        <v/>
      </c>
      <c r="I207" s="6">
        <f>IF(AND(B207="",C207="",D207="",E207="",F207=""),"",IF(OR(B207="",C207="",E207=""),"БЛОК: нужны дата, тип операции и сумма",IF(N(E207)&lt;=0,"БЛОК: сумма должна быть больше нуля",IF(AND(G207&lt;&gt;0,F207=""),"БЛОК: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нельзя",IF(AND(F207&lt;&gt;"",COUNTIF('Долг по актам'!$B$5:$B$34,F207)=0),"БЛОК: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договору")&gt;0)*($C$5:$C$504&lt;&gt;C207)*($E$5:$E$504=E207)*(($D$5:$D$504=D207)*(D207&lt;&gt;"")+($B$5:$B$504=B207)*(B207&lt;&gt;"")&gt;0))&gt;0,"БЛОК: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207" s="5">
        <f>IF(AND(B207="",C207="",E207=""),"",SUM($G$5:G207))</f>
        <v/>
      </c>
    </row>
    <row r="208">
      <c r="A208" s="6" t="n">
        <v>204</v>
      </c>
      <c r="B208" s="7" t="n"/>
      <c r="C208" s="8" t="n"/>
      <c r="D208" s="8" t="n"/>
      <c r="E208" s="9" t="n"/>
      <c r="F208" s="8" t="n"/>
      <c r="G208" s="5">
        <f>IF(OR(C208="",E208=""),0,IF(C208="Начисление по акту",E208,IF(OR(C208="Оплата",C208="Зачёт аванса по договору"),-E208,IF(C208="Корректировка (подписана обеими сторонами)",E208,0))))</f>
        <v/>
      </c>
      <c r="H208" s="5">
        <f>IF(OR(C208="Удержание",C208="Зачёт встречного требования",C208="Неустойка заявлена"),N(E208),0)</f>
        <v/>
      </c>
      <c r="I208" s="6">
        <f>IF(AND(B208="",C208="",D208="",E208="",F208=""),"",IF(OR(B208="",C208="",E208=""),"БЛОК: нужны дата, тип операции и сумма",IF(N(E208)&lt;=0,"БЛОК: сумма должна быть больше нуля",IF(AND(G208&lt;&gt;0,F208=""),"БЛОК: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нельзя",IF(AND(F208&lt;&gt;"",COUNTIF('Долг по актам'!$B$5:$B$34,F208)=0),"БЛОК: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договору")&gt;0)*($C$5:$C$504&lt;&gt;C208)*($E$5:$E$504=E208)*(($D$5:$D$504=D208)*(D208&lt;&gt;"")+($B$5:$B$504=B208)*(B208&lt;&gt;"")&gt;0))&gt;0,"БЛОК: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208" s="5">
        <f>IF(AND(B208="",C208="",E208=""),"",SUM($G$5:G208))</f>
        <v/>
      </c>
    </row>
    <row r="209">
      <c r="A209" s="6" t="n">
        <v>205</v>
      </c>
      <c r="B209" s="7" t="n"/>
      <c r="C209" s="8" t="n"/>
      <c r="D209" s="8" t="n"/>
      <c r="E209" s="9" t="n"/>
      <c r="F209" s="8" t="n"/>
      <c r="G209" s="5">
        <f>IF(OR(C209="",E209=""),0,IF(C209="Начисление по акту",E209,IF(OR(C209="Оплата",C209="Зачёт аванса по договору"),-E209,IF(C209="Корректировка (подписана обеими сторонами)",E209,0))))</f>
        <v/>
      </c>
      <c r="H209" s="5">
        <f>IF(OR(C209="Удержание",C209="Зачёт встречного требования",C209="Неустойка заявлена"),N(E209),0)</f>
        <v/>
      </c>
      <c r="I209" s="6">
        <f>IF(AND(B209="",C209="",D209="",E209="",F209=""),"",IF(OR(B209="",C209="",E209=""),"БЛОК: нужны дата, тип операции и сумма",IF(N(E209)&lt;=0,"БЛОК: сумма должна быть больше нуля",IF(AND(G209&lt;&gt;0,F209=""),"БЛОК: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нельзя",IF(AND(F209&lt;&gt;"",COUNTIF('Долг по актам'!$B$5:$B$34,F209)=0),"БЛОК: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договору")&gt;0)*($C$5:$C$504&lt;&gt;C209)*($E$5:$E$504=E209)*(($D$5:$D$504=D209)*(D209&lt;&gt;"")+($B$5:$B$504=B209)*(B209&lt;&gt;"")&gt;0))&gt;0,"БЛОК: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209" s="5">
        <f>IF(AND(B209="",C209="",E209=""),"",SUM($G$5:G209))</f>
        <v/>
      </c>
    </row>
    <row r="210">
      <c r="A210" s="6" t="n">
        <v>206</v>
      </c>
      <c r="B210" s="7" t="n"/>
      <c r="C210" s="8" t="n"/>
      <c r="D210" s="8" t="n"/>
      <c r="E210" s="9" t="n"/>
      <c r="F210" s="8" t="n"/>
      <c r="G210" s="5">
        <f>IF(OR(C210="",E210=""),0,IF(C210="Начисление по акту",E210,IF(OR(C210="Оплата",C210="Зачёт аванса по договору"),-E210,IF(C210="Корректировка (подписана обеими сторонами)",E210,0))))</f>
        <v/>
      </c>
      <c r="H210" s="5">
        <f>IF(OR(C210="Удержание",C210="Зачёт встречного требования",C210="Неустойка заявлена"),N(E210),0)</f>
        <v/>
      </c>
      <c r="I210" s="6">
        <f>IF(AND(B210="",C210="",D210="",E210="",F210=""),"",IF(OR(B210="",C210="",E210=""),"БЛОК: нужны дата, тип операции и сумма",IF(N(E210)&lt;=0,"БЛОК: сумма должна быть больше нуля",IF(AND(G210&lt;&gt;0,F210=""),"БЛОК: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нельзя",IF(AND(F210&lt;&gt;"",COUNTIF('Долг по актам'!$B$5:$B$34,F210)=0),"БЛОК: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договору")&gt;0)*($C$5:$C$504&lt;&gt;C210)*($E$5:$E$504=E210)*(($D$5:$D$504=D210)*(D210&lt;&gt;"")+($B$5:$B$504=B210)*(B210&lt;&gt;"")&gt;0))&gt;0,"БЛОК: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210" s="5">
        <f>IF(AND(B210="",C210="",E210=""),"",SUM($G$5:G210))</f>
        <v/>
      </c>
    </row>
    <row r="211">
      <c r="A211" s="6" t="n">
        <v>207</v>
      </c>
      <c r="B211" s="7" t="n"/>
      <c r="C211" s="8" t="n"/>
      <c r="D211" s="8" t="n"/>
      <c r="E211" s="9" t="n"/>
      <c r="F211" s="8" t="n"/>
      <c r="G211" s="5">
        <f>IF(OR(C211="",E211=""),0,IF(C211="Начисление по акту",E211,IF(OR(C211="Оплата",C211="Зачёт аванса по договору"),-E211,IF(C211="Корректировка (подписана обеими сторонами)",E211,0))))</f>
        <v/>
      </c>
      <c r="H211" s="5">
        <f>IF(OR(C211="Удержание",C211="Зачёт встречного требования",C211="Неустойка заявлена"),N(E211),0)</f>
        <v/>
      </c>
      <c r="I211" s="6">
        <f>IF(AND(B211="",C211="",D211="",E211="",F211=""),"",IF(OR(B211="",C211="",E211=""),"БЛОК: нужны дата, тип операции и сумма",IF(N(E211)&lt;=0,"БЛОК: сумма должна быть больше нуля",IF(AND(G211&lt;&gt;0,F211=""),"БЛОК: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нельзя",IF(AND(F211&lt;&gt;"",COUNTIF('Долг по актам'!$B$5:$B$34,F211)=0),"БЛОК: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договору")&gt;0)*($C$5:$C$504&lt;&gt;C211)*($E$5:$E$504=E211)*(($D$5:$D$504=D211)*(D211&lt;&gt;"")+($B$5:$B$504=B211)*(B211&lt;&gt;"")&gt;0))&gt;0,"БЛОК: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211" s="5">
        <f>IF(AND(B211="",C211="",E211=""),"",SUM($G$5:G211))</f>
        <v/>
      </c>
    </row>
    <row r="212">
      <c r="A212" s="6" t="n">
        <v>208</v>
      </c>
      <c r="B212" s="7" t="n"/>
      <c r="C212" s="8" t="n"/>
      <c r="D212" s="8" t="n"/>
      <c r="E212" s="9" t="n"/>
      <c r="F212" s="8" t="n"/>
      <c r="G212" s="5">
        <f>IF(OR(C212="",E212=""),0,IF(C212="Начисление по акту",E212,IF(OR(C212="Оплата",C212="Зачёт аванса по договору"),-E212,IF(C212="Корректировка (подписана обеими сторонами)",E212,0))))</f>
        <v/>
      </c>
      <c r="H212" s="5">
        <f>IF(OR(C212="Удержание",C212="Зачёт встречного требования",C212="Неустойка заявлена"),N(E212),0)</f>
        <v/>
      </c>
      <c r="I212" s="6">
        <f>IF(AND(B212="",C212="",D212="",E212="",F212=""),"",IF(OR(B212="",C212="",E212=""),"БЛОК: нужны дата, тип операции и сумма",IF(N(E212)&lt;=0,"БЛОК: сумма должна быть больше нуля",IF(AND(G212&lt;&gt;0,F212=""),"БЛОК: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нельзя",IF(AND(F212&lt;&gt;"",COUNTIF('Долг по актам'!$B$5:$B$34,F212)=0),"БЛОК: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договору")&gt;0)*($C$5:$C$504&lt;&gt;C212)*($E$5:$E$504=E212)*(($D$5:$D$504=D212)*(D212&lt;&gt;"")+($B$5:$B$504=B212)*(B212&lt;&gt;"")&gt;0))&gt;0,"БЛОК: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212" s="5">
        <f>IF(AND(B212="",C212="",E212=""),"",SUM($G$5:G212))</f>
        <v/>
      </c>
    </row>
    <row r="213">
      <c r="A213" s="6" t="n">
        <v>209</v>
      </c>
      <c r="B213" s="7" t="n"/>
      <c r="C213" s="8" t="n"/>
      <c r="D213" s="8" t="n"/>
      <c r="E213" s="9" t="n"/>
      <c r="F213" s="8" t="n"/>
      <c r="G213" s="5">
        <f>IF(OR(C213="",E213=""),0,IF(C213="Начисление по акту",E213,IF(OR(C213="Оплата",C213="Зачёт аванса по договору"),-E213,IF(C213="Корректировка (подписана обеими сторонами)",E213,0))))</f>
        <v/>
      </c>
      <c r="H213" s="5">
        <f>IF(OR(C213="Удержание",C213="Зачёт встречного требования",C213="Неустойка заявлена"),N(E213),0)</f>
        <v/>
      </c>
      <c r="I213" s="6">
        <f>IF(AND(B213="",C213="",D213="",E213="",F213=""),"",IF(OR(B213="",C213="",E213=""),"БЛОК: нужны дата, тип операции и сумма",IF(N(E213)&lt;=0,"БЛОК: сумма должна быть больше нуля",IF(AND(G213&lt;&gt;0,F213=""),"БЛОК: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нельзя",IF(AND(F213&lt;&gt;"",COUNTIF('Долг по актам'!$B$5:$B$34,F213)=0),"БЛОК: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договору")&gt;0)*($C$5:$C$504&lt;&gt;C213)*($E$5:$E$504=E213)*(($D$5:$D$504=D213)*(D213&lt;&gt;"")+($B$5:$B$504=B213)*(B213&lt;&gt;"")&gt;0))&gt;0,"БЛОК: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213" s="5">
        <f>IF(AND(B213="",C213="",E213=""),"",SUM($G$5:G213))</f>
        <v/>
      </c>
    </row>
    <row r="214">
      <c r="A214" s="6" t="n">
        <v>210</v>
      </c>
      <c r="B214" s="7" t="n"/>
      <c r="C214" s="8" t="n"/>
      <c r="D214" s="8" t="n"/>
      <c r="E214" s="9" t="n"/>
      <c r="F214" s="8" t="n"/>
      <c r="G214" s="5">
        <f>IF(OR(C214="",E214=""),0,IF(C214="Начисление по акту",E214,IF(OR(C214="Оплата",C214="Зачёт аванса по договору"),-E214,IF(C214="Корректировка (подписана обеими сторонами)",E214,0))))</f>
        <v/>
      </c>
      <c r="H214" s="5">
        <f>IF(OR(C214="Удержание",C214="Зачёт встречного требования",C214="Неустойка заявлена"),N(E214),0)</f>
        <v/>
      </c>
      <c r="I214" s="6">
        <f>IF(AND(B214="",C214="",D214="",E214="",F214=""),"",IF(OR(B214="",C214="",E214=""),"БЛОК: нужны дата, тип операции и сумма",IF(N(E214)&lt;=0,"БЛОК: сумма должна быть больше нуля",IF(AND(G214&lt;&gt;0,F214=""),"БЛОК: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нельзя",IF(AND(F214&lt;&gt;"",COUNTIF('Долг по актам'!$B$5:$B$34,F214)=0),"БЛОК: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договору")&gt;0)*($C$5:$C$504&lt;&gt;C214)*($E$5:$E$504=E214)*(($D$5:$D$504=D214)*(D214&lt;&gt;"")+($B$5:$B$504=B214)*(B214&lt;&gt;"")&gt;0))&gt;0,"БЛОК: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214" s="5">
        <f>IF(AND(B214="",C214="",E214=""),"",SUM($G$5:G214))</f>
        <v/>
      </c>
    </row>
    <row r="215">
      <c r="A215" s="6" t="n">
        <v>211</v>
      </c>
      <c r="B215" s="7" t="n"/>
      <c r="C215" s="8" t="n"/>
      <c r="D215" s="8" t="n"/>
      <c r="E215" s="9" t="n"/>
      <c r="F215" s="8" t="n"/>
      <c r="G215" s="5">
        <f>IF(OR(C215="",E215=""),0,IF(C215="Начисление по акту",E215,IF(OR(C215="Оплата",C215="Зачёт аванса по договору"),-E215,IF(C215="Корректировка (подписана обеими сторонами)",E215,0))))</f>
        <v/>
      </c>
      <c r="H215" s="5">
        <f>IF(OR(C215="Удержание",C215="Зачёт встречного требования",C215="Неустойка заявлена"),N(E215),0)</f>
        <v/>
      </c>
      <c r="I215" s="6">
        <f>IF(AND(B215="",C215="",D215="",E215="",F215=""),"",IF(OR(B215="",C215="",E215=""),"БЛОК: нужны дата, тип операции и сумма",IF(N(E215)&lt;=0,"БЛОК: сумма должна быть больше нуля",IF(AND(G215&lt;&gt;0,F215=""),"БЛОК: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нельзя",IF(AND(F215&lt;&gt;"",COUNTIF('Долг по актам'!$B$5:$B$34,F215)=0),"БЛОК: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договору")&gt;0)*($C$5:$C$504&lt;&gt;C215)*($E$5:$E$504=E215)*(($D$5:$D$504=D215)*(D215&lt;&gt;"")+($B$5:$B$504=B215)*(B215&lt;&gt;"")&gt;0))&gt;0,"БЛОК: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215" s="5">
        <f>IF(AND(B215="",C215="",E215=""),"",SUM($G$5:G215))</f>
        <v/>
      </c>
    </row>
    <row r="216">
      <c r="A216" s="6" t="n">
        <v>212</v>
      </c>
      <c r="B216" s="7" t="n"/>
      <c r="C216" s="8" t="n"/>
      <c r="D216" s="8" t="n"/>
      <c r="E216" s="9" t="n"/>
      <c r="F216" s="8" t="n"/>
      <c r="G216" s="5">
        <f>IF(OR(C216="",E216=""),0,IF(C216="Начисление по акту",E216,IF(OR(C216="Оплата",C216="Зачёт аванса по договору"),-E216,IF(C216="Корректировка (подписана обеими сторонами)",E216,0))))</f>
        <v/>
      </c>
      <c r="H216" s="5">
        <f>IF(OR(C216="Удержание",C216="Зачёт встречного требования",C216="Неустойка заявлена"),N(E216),0)</f>
        <v/>
      </c>
      <c r="I216" s="6">
        <f>IF(AND(B216="",C216="",D216="",E216="",F216=""),"",IF(OR(B216="",C216="",E216=""),"БЛОК: нужны дата, тип операции и сумма",IF(N(E216)&lt;=0,"БЛОК: сумма должна быть больше нуля",IF(AND(G216&lt;&gt;0,F216=""),"БЛОК: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нельзя",IF(AND(F216&lt;&gt;"",COUNTIF('Долг по актам'!$B$5:$B$34,F216)=0),"БЛОК: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договору")&gt;0)*($C$5:$C$504&lt;&gt;C216)*($E$5:$E$504=E216)*(($D$5:$D$504=D216)*(D216&lt;&gt;"")+($B$5:$B$504=B216)*(B216&lt;&gt;"")&gt;0))&gt;0,"БЛОК: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216" s="5">
        <f>IF(AND(B216="",C216="",E216=""),"",SUM($G$5:G216))</f>
        <v/>
      </c>
    </row>
    <row r="217">
      <c r="A217" s="6" t="n">
        <v>213</v>
      </c>
      <c r="B217" s="7" t="n"/>
      <c r="C217" s="8" t="n"/>
      <c r="D217" s="8" t="n"/>
      <c r="E217" s="9" t="n"/>
      <c r="F217" s="8" t="n"/>
      <c r="G217" s="5">
        <f>IF(OR(C217="",E217=""),0,IF(C217="Начисление по акту",E217,IF(OR(C217="Оплата",C217="Зачёт аванса по договору"),-E217,IF(C217="Корректировка (подписана обеими сторонами)",E217,0))))</f>
        <v/>
      </c>
      <c r="H217" s="5">
        <f>IF(OR(C217="Удержание",C217="Зачёт встречного требования",C217="Неустойка заявлена"),N(E217),0)</f>
        <v/>
      </c>
      <c r="I217" s="6">
        <f>IF(AND(B217="",C217="",D217="",E217="",F217=""),"",IF(OR(B217="",C217="",E217=""),"БЛОК: нужны дата, тип операции и сумма",IF(N(E217)&lt;=0,"БЛОК: сумма должна быть больше нуля",IF(AND(G217&lt;&gt;0,F217=""),"БЛОК: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нельзя",IF(AND(F217&lt;&gt;"",COUNTIF('Долг по актам'!$B$5:$B$34,F217)=0),"БЛОК: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договору")&gt;0)*($C$5:$C$504&lt;&gt;C217)*($E$5:$E$504=E217)*(($D$5:$D$504=D217)*(D217&lt;&gt;"")+($B$5:$B$504=B217)*(B217&lt;&gt;"")&gt;0))&gt;0,"БЛОК: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217" s="5">
        <f>IF(AND(B217="",C217="",E217=""),"",SUM($G$5:G217))</f>
        <v/>
      </c>
    </row>
    <row r="218">
      <c r="A218" s="6" t="n">
        <v>214</v>
      </c>
      <c r="B218" s="7" t="n"/>
      <c r="C218" s="8" t="n"/>
      <c r="D218" s="8" t="n"/>
      <c r="E218" s="9" t="n"/>
      <c r="F218" s="8" t="n"/>
      <c r="G218" s="5">
        <f>IF(OR(C218="",E218=""),0,IF(C218="Начисление по акту",E218,IF(OR(C218="Оплата",C218="Зачёт аванса по договору"),-E218,IF(C218="Корректировка (подписана обеими сторонами)",E218,0))))</f>
        <v/>
      </c>
      <c r="H218" s="5">
        <f>IF(OR(C218="Удержание",C218="Зачёт встречного требования",C218="Неустойка заявлена"),N(E218),0)</f>
        <v/>
      </c>
      <c r="I218" s="6">
        <f>IF(AND(B218="",C218="",D218="",E218="",F218=""),"",IF(OR(B218="",C218="",E218=""),"БЛОК: нужны дата, тип операции и сумма",IF(N(E218)&lt;=0,"БЛОК: сумма должна быть больше нуля",IF(AND(G218&lt;&gt;0,F218=""),"БЛОК: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нельзя",IF(AND(F218&lt;&gt;"",COUNTIF('Долг по актам'!$B$5:$B$34,F218)=0),"БЛОК: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договору")&gt;0)*($C$5:$C$504&lt;&gt;C218)*($E$5:$E$504=E218)*(($D$5:$D$504=D218)*(D218&lt;&gt;"")+($B$5:$B$504=B218)*(B218&lt;&gt;"")&gt;0))&gt;0,"БЛОК: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218" s="5">
        <f>IF(AND(B218="",C218="",E218=""),"",SUM($G$5:G218))</f>
        <v/>
      </c>
    </row>
    <row r="219">
      <c r="A219" s="6" t="n">
        <v>215</v>
      </c>
      <c r="B219" s="7" t="n"/>
      <c r="C219" s="8" t="n"/>
      <c r="D219" s="8" t="n"/>
      <c r="E219" s="9" t="n"/>
      <c r="F219" s="8" t="n"/>
      <c r="G219" s="5">
        <f>IF(OR(C219="",E219=""),0,IF(C219="Начисление по акту",E219,IF(OR(C219="Оплата",C219="Зачёт аванса по договору"),-E219,IF(C219="Корректировка (подписана обеими сторонами)",E219,0))))</f>
        <v/>
      </c>
      <c r="H219" s="5">
        <f>IF(OR(C219="Удержание",C219="Зачёт встречного требования",C219="Неустойка заявлена"),N(E219),0)</f>
        <v/>
      </c>
      <c r="I219" s="6">
        <f>IF(AND(B219="",C219="",D219="",E219="",F219=""),"",IF(OR(B219="",C219="",E219=""),"БЛОК: нужны дата, тип операции и сумма",IF(N(E219)&lt;=0,"БЛОК: сумма должна быть больше нуля",IF(AND(G219&lt;&gt;0,F219=""),"БЛОК: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нельзя",IF(AND(F219&lt;&gt;"",COUNTIF('Долг по актам'!$B$5:$B$34,F219)=0),"БЛОК: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договору")&gt;0)*($C$5:$C$504&lt;&gt;C219)*($E$5:$E$504=E219)*(($D$5:$D$504=D219)*(D219&lt;&gt;"")+($B$5:$B$504=B219)*(B219&lt;&gt;"")&gt;0))&gt;0,"БЛОК: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219" s="5">
        <f>IF(AND(B219="",C219="",E219=""),"",SUM($G$5:G219))</f>
        <v/>
      </c>
    </row>
    <row r="220">
      <c r="A220" s="6" t="n">
        <v>216</v>
      </c>
      <c r="B220" s="7" t="n"/>
      <c r="C220" s="8" t="n"/>
      <c r="D220" s="8" t="n"/>
      <c r="E220" s="9" t="n"/>
      <c r="F220" s="8" t="n"/>
      <c r="G220" s="5">
        <f>IF(OR(C220="",E220=""),0,IF(C220="Начисление по акту",E220,IF(OR(C220="Оплата",C220="Зачёт аванса по договору"),-E220,IF(C220="Корректировка (подписана обеими сторонами)",E220,0))))</f>
        <v/>
      </c>
      <c r="H220" s="5">
        <f>IF(OR(C220="Удержание",C220="Зачёт встречного требования",C220="Неустойка заявлена"),N(E220),0)</f>
        <v/>
      </c>
      <c r="I220" s="6">
        <f>IF(AND(B220="",C220="",D220="",E220="",F220=""),"",IF(OR(B220="",C220="",E220=""),"БЛОК: нужны дата, тип операции и сумма",IF(N(E220)&lt;=0,"БЛОК: сумма должна быть больше нуля",IF(AND(G220&lt;&gt;0,F220=""),"БЛОК: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нельзя",IF(AND(F220&lt;&gt;"",COUNTIF('Долг по актам'!$B$5:$B$34,F220)=0),"БЛОК: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договору")&gt;0)*($C$5:$C$504&lt;&gt;C220)*($E$5:$E$504=E220)*(($D$5:$D$504=D220)*(D220&lt;&gt;"")+($B$5:$B$504=B220)*(B220&lt;&gt;"")&gt;0))&gt;0,"БЛОК: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220" s="5">
        <f>IF(AND(B220="",C220="",E220=""),"",SUM($G$5:G220))</f>
        <v/>
      </c>
    </row>
    <row r="221">
      <c r="A221" s="6" t="n">
        <v>217</v>
      </c>
      <c r="B221" s="7" t="n"/>
      <c r="C221" s="8" t="n"/>
      <c r="D221" s="8" t="n"/>
      <c r="E221" s="9" t="n"/>
      <c r="F221" s="8" t="n"/>
      <c r="G221" s="5">
        <f>IF(OR(C221="",E221=""),0,IF(C221="Начисление по акту",E221,IF(OR(C221="Оплата",C221="Зачёт аванса по договору"),-E221,IF(C221="Корректировка (подписана обеими сторонами)",E221,0))))</f>
        <v/>
      </c>
      <c r="H221" s="5">
        <f>IF(OR(C221="Удержание",C221="Зачёт встречного требования",C221="Неустойка заявлена"),N(E221),0)</f>
        <v/>
      </c>
      <c r="I221" s="6">
        <f>IF(AND(B221="",C221="",D221="",E221="",F221=""),"",IF(OR(B221="",C221="",E221=""),"БЛОК: нужны дата, тип операции и сумма",IF(N(E221)&lt;=0,"БЛОК: сумма должна быть больше нуля",IF(AND(G221&lt;&gt;0,F221=""),"БЛОК: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нельзя",IF(AND(F221&lt;&gt;"",COUNTIF('Долг по актам'!$B$5:$B$34,F221)=0),"БЛОК: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договору")&gt;0)*($C$5:$C$504&lt;&gt;C221)*($E$5:$E$504=E221)*(($D$5:$D$504=D221)*(D221&lt;&gt;"")+($B$5:$B$504=B221)*(B221&lt;&gt;"")&gt;0))&gt;0,"БЛОК: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221" s="5">
        <f>IF(AND(B221="",C221="",E221=""),"",SUM($G$5:G221))</f>
        <v/>
      </c>
    </row>
    <row r="222">
      <c r="A222" s="6" t="n">
        <v>218</v>
      </c>
      <c r="B222" s="7" t="n"/>
      <c r="C222" s="8" t="n"/>
      <c r="D222" s="8" t="n"/>
      <c r="E222" s="9" t="n"/>
      <c r="F222" s="8" t="n"/>
      <c r="G222" s="5">
        <f>IF(OR(C222="",E222=""),0,IF(C222="Начисление по акту",E222,IF(OR(C222="Оплата",C222="Зачёт аванса по договору"),-E222,IF(C222="Корректировка (подписана обеими сторонами)",E222,0))))</f>
        <v/>
      </c>
      <c r="H222" s="5">
        <f>IF(OR(C222="Удержание",C222="Зачёт встречного требования",C222="Неустойка заявлена"),N(E222),0)</f>
        <v/>
      </c>
      <c r="I222" s="6">
        <f>IF(AND(B222="",C222="",D222="",E222="",F222=""),"",IF(OR(B222="",C222="",E222=""),"БЛОК: нужны дата, тип операции и сумма",IF(N(E222)&lt;=0,"БЛОК: сумма должна быть больше нуля",IF(AND(G222&lt;&gt;0,F222=""),"БЛОК: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нельзя",IF(AND(F222&lt;&gt;"",COUNTIF('Долг по актам'!$B$5:$B$34,F222)=0),"БЛОК: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договору")&gt;0)*($C$5:$C$504&lt;&gt;C222)*($E$5:$E$504=E222)*(($D$5:$D$504=D222)*(D222&lt;&gt;"")+($B$5:$B$504=B222)*(B222&lt;&gt;"")&gt;0))&gt;0,"БЛОК: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222" s="5">
        <f>IF(AND(B222="",C222="",E222=""),"",SUM($G$5:G222))</f>
        <v/>
      </c>
    </row>
    <row r="223">
      <c r="A223" s="6" t="n">
        <v>219</v>
      </c>
      <c r="B223" s="7" t="n"/>
      <c r="C223" s="8" t="n"/>
      <c r="D223" s="8" t="n"/>
      <c r="E223" s="9" t="n"/>
      <c r="F223" s="8" t="n"/>
      <c r="G223" s="5">
        <f>IF(OR(C223="",E223=""),0,IF(C223="Начисление по акту",E223,IF(OR(C223="Оплата",C223="Зачёт аванса по договору"),-E223,IF(C223="Корректировка (подписана обеими сторонами)",E223,0))))</f>
        <v/>
      </c>
      <c r="H223" s="5">
        <f>IF(OR(C223="Удержание",C223="Зачёт встречного требования",C223="Неустойка заявлена"),N(E223),0)</f>
        <v/>
      </c>
      <c r="I223" s="6">
        <f>IF(AND(B223="",C223="",D223="",E223="",F223=""),"",IF(OR(B223="",C223="",E223=""),"БЛОК: нужны дата, тип операции и сумма",IF(N(E223)&lt;=0,"БЛОК: сумма должна быть больше нуля",IF(AND(G223&lt;&gt;0,F223=""),"БЛОК: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нельзя",IF(AND(F223&lt;&gt;"",COUNTIF('Долг по актам'!$B$5:$B$34,F223)=0),"БЛОК: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договору")&gt;0)*($C$5:$C$504&lt;&gt;C223)*($E$5:$E$504=E223)*(($D$5:$D$504=D223)*(D223&lt;&gt;"")+($B$5:$B$504=B223)*(B223&lt;&gt;"")&gt;0))&gt;0,"БЛОК: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223" s="5">
        <f>IF(AND(B223="",C223="",E223=""),"",SUM($G$5:G223))</f>
        <v/>
      </c>
    </row>
    <row r="224">
      <c r="A224" s="6" t="n">
        <v>220</v>
      </c>
      <c r="B224" s="7" t="n"/>
      <c r="C224" s="8" t="n"/>
      <c r="D224" s="8" t="n"/>
      <c r="E224" s="9" t="n"/>
      <c r="F224" s="8" t="n"/>
      <c r="G224" s="5">
        <f>IF(OR(C224="",E224=""),0,IF(C224="Начисление по акту",E224,IF(OR(C224="Оплата",C224="Зачёт аванса по договору"),-E224,IF(C224="Корректировка (подписана обеими сторонами)",E224,0))))</f>
        <v/>
      </c>
      <c r="H224" s="5">
        <f>IF(OR(C224="Удержание",C224="Зачёт встречного требования",C224="Неустойка заявлена"),N(E224),0)</f>
        <v/>
      </c>
      <c r="I224" s="6">
        <f>IF(AND(B224="",C224="",D224="",E224="",F224=""),"",IF(OR(B224="",C224="",E224=""),"БЛОК: нужны дата, тип операции и сумма",IF(N(E224)&lt;=0,"БЛОК: сумма должна быть больше нуля",IF(AND(G224&lt;&gt;0,F224=""),"БЛОК: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нельзя",IF(AND(F224&lt;&gt;"",COUNTIF('Долг по актам'!$B$5:$B$34,F224)=0),"БЛОК: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договору")&gt;0)*($C$5:$C$504&lt;&gt;C224)*($E$5:$E$504=E224)*(($D$5:$D$504=D224)*(D224&lt;&gt;"")+($B$5:$B$504=B224)*(B224&lt;&gt;"")&gt;0))&gt;0,"БЛОК: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224" s="5">
        <f>IF(AND(B224="",C224="",E224=""),"",SUM($G$5:G224))</f>
        <v/>
      </c>
    </row>
    <row r="225">
      <c r="A225" s="6" t="n">
        <v>221</v>
      </c>
      <c r="B225" s="7" t="n"/>
      <c r="C225" s="8" t="n"/>
      <c r="D225" s="8" t="n"/>
      <c r="E225" s="9" t="n"/>
      <c r="F225" s="8" t="n"/>
      <c r="G225" s="5">
        <f>IF(OR(C225="",E225=""),0,IF(C225="Начисление по акту",E225,IF(OR(C225="Оплата",C225="Зачёт аванса по договору"),-E225,IF(C225="Корректировка (подписана обеими сторонами)",E225,0))))</f>
        <v/>
      </c>
      <c r="H225" s="5">
        <f>IF(OR(C225="Удержание",C225="Зачёт встречного требования",C225="Неустойка заявлена"),N(E225),0)</f>
        <v/>
      </c>
      <c r="I225" s="6">
        <f>IF(AND(B225="",C225="",D225="",E225="",F225=""),"",IF(OR(B225="",C225="",E225=""),"БЛОК: нужны дата, тип операции и сумма",IF(N(E225)&lt;=0,"БЛОК: сумма должна быть больше нуля",IF(AND(G225&lt;&gt;0,F225=""),"БЛОК: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нельзя",IF(AND(F225&lt;&gt;"",COUNTIF('Долг по актам'!$B$5:$B$34,F225)=0),"БЛОК: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договору")&gt;0)*($C$5:$C$504&lt;&gt;C225)*($E$5:$E$504=E225)*(($D$5:$D$504=D225)*(D225&lt;&gt;"")+($B$5:$B$504=B225)*(B225&lt;&gt;"")&gt;0))&gt;0,"БЛОК: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225" s="5">
        <f>IF(AND(B225="",C225="",E225=""),"",SUM($G$5:G225))</f>
        <v/>
      </c>
    </row>
    <row r="226">
      <c r="A226" s="6" t="n">
        <v>222</v>
      </c>
      <c r="B226" s="7" t="n"/>
      <c r="C226" s="8" t="n"/>
      <c r="D226" s="8" t="n"/>
      <c r="E226" s="9" t="n"/>
      <c r="F226" s="8" t="n"/>
      <c r="G226" s="5">
        <f>IF(OR(C226="",E226=""),0,IF(C226="Начисление по акту",E226,IF(OR(C226="Оплата",C226="Зачёт аванса по договору"),-E226,IF(C226="Корректировка (подписана обеими сторонами)",E226,0))))</f>
        <v/>
      </c>
      <c r="H226" s="5">
        <f>IF(OR(C226="Удержание",C226="Зачёт встречного требования",C226="Неустойка заявлена"),N(E226),0)</f>
        <v/>
      </c>
      <c r="I226" s="6">
        <f>IF(AND(B226="",C226="",D226="",E226="",F226=""),"",IF(OR(B226="",C226="",E226=""),"БЛОК: нужны дата, тип операции и сумма",IF(N(E226)&lt;=0,"БЛОК: сумма должна быть больше нуля",IF(AND(G226&lt;&gt;0,F226=""),"БЛОК: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нельзя",IF(AND(F226&lt;&gt;"",COUNTIF('Долг по актам'!$B$5:$B$34,F226)=0),"БЛОК: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договору")&gt;0)*($C$5:$C$504&lt;&gt;C226)*($E$5:$E$504=E226)*(($D$5:$D$504=D226)*(D226&lt;&gt;"")+($B$5:$B$504=B226)*(B226&lt;&gt;"")&gt;0))&gt;0,"БЛОК: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226" s="5">
        <f>IF(AND(B226="",C226="",E226=""),"",SUM($G$5:G226))</f>
        <v/>
      </c>
    </row>
    <row r="227">
      <c r="A227" s="6" t="n">
        <v>223</v>
      </c>
      <c r="B227" s="7" t="n"/>
      <c r="C227" s="8" t="n"/>
      <c r="D227" s="8" t="n"/>
      <c r="E227" s="9" t="n"/>
      <c r="F227" s="8" t="n"/>
      <c r="G227" s="5">
        <f>IF(OR(C227="",E227=""),0,IF(C227="Начисление по акту",E227,IF(OR(C227="Оплата",C227="Зачёт аванса по договору"),-E227,IF(C227="Корректировка (подписана обеими сторонами)",E227,0))))</f>
        <v/>
      </c>
      <c r="H227" s="5">
        <f>IF(OR(C227="Удержание",C227="Зачёт встречного требования",C227="Неустойка заявлена"),N(E227),0)</f>
        <v/>
      </c>
      <c r="I227" s="6">
        <f>IF(AND(B227="",C227="",D227="",E227="",F227=""),"",IF(OR(B227="",C227="",E227=""),"БЛОК: нужны дата, тип операции и сумма",IF(N(E227)&lt;=0,"БЛОК: сумма должна быть больше нуля",IF(AND(G227&lt;&gt;0,F227=""),"БЛОК: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нельзя",IF(AND(F227&lt;&gt;"",COUNTIF('Долг по актам'!$B$5:$B$34,F227)=0),"БЛОК: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договору")&gt;0)*($C$5:$C$504&lt;&gt;C227)*($E$5:$E$504=E227)*(($D$5:$D$504=D227)*(D227&lt;&gt;"")+($B$5:$B$504=B227)*(B227&lt;&gt;"")&gt;0))&gt;0,"БЛОК: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227" s="5">
        <f>IF(AND(B227="",C227="",E227=""),"",SUM($G$5:G227))</f>
        <v/>
      </c>
    </row>
    <row r="228">
      <c r="A228" s="6" t="n">
        <v>224</v>
      </c>
      <c r="B228" s="7" t="n"/>
      <c r="C228" s="8" t="n"/>
      <c r="D228" s="8" t="n"/>
      <c r="E228" s="9" t="n"/>
      <c r="F228" s="8" t="n"/>
      <c r="G228" s="5">
        <f>IF(OR(C228="",E228=""),0,IF(C228="Начисление по акту",E228,IF(OR(C228="Оплата",C228="Зачёт аванса по договору"),-E228,IF(C228="Корректировка (подписана обеими сторонами)",E228,0))))</f>
        <v/>
      </c>
      <c r="H228" s="5">
        <f>IF(OR(C228="Удержание",C228="Зачёт встречного требования",C228="Неустойка заявлена"),N(E228),0)</f>
        <v/>
      </c>
      <c r="I228" s="6">
        <f>IF(AND(B228="",C228="",D228="",E228="",F228=""),"",IF(OR(B228="",C228="",E228=""),"БЛОК: нужны дата, тип операции и сумма",IF(N(E228)&lt;=0,"БЛОК: сумма должна быть больше нуля",IF(AND(G228&lt;&gt;0,F228=""),"БЛОК: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нельзя",IF(AND(F228&lt;&gt;"",COUNTIF('Долг по актам'!$B$5:$B$34,F228)=0),"БЛОК: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договору")&gt;0)*($C$5:$C$504&lt;&gt;C228)*($E$5:$E$504=E228)*(($D$5:$D$504=D228)*(D228&lt;&gt;"")+($B$5:$B$504=B228)*(B228&lt;&gt;"")&gt;0))&gt;0,"БЛОК: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228" s="5">
        <f>IF(AND(B228="",C228="",E228=""),"",SUM($G$5:G228))</f>
        <v/>
      </c>
    </row>
    <row r="229">
      <c r="A229" s="6" t="n">
        <v>225</v>
      </c>
      <c r="B229" s="7" t="n"/>
      <c r="C229" s="8" t="n"/>
      <c r="D229" s="8" t="n"/>
      <c r="E229" s="9" t="n"/>
      <c r="F229" s="8" t="n"/>
      <c r="G229" s="5">
        <f>IF(OR(C229="",E229=""),0,IF(C229="Начисление по акту",E229,IF(OR(C229="Оплата",C229="Зачёт аванса по договору"),-E229,IF(C229="Корректировка (подписана обеими сторонами)",E229,0))))</f>
        <v/>
      </c>
      <c r="H229" s="5">
        <f>IF(OR(C229="Удержание",C229="Зачёт встречного требования",C229="Неустойка заявлена"),N(E229),0)</f>
        <v/>
      </c>
      <c r="I229" s="6">
        <f>IF(AND(B229="",C229="",D229="",E229="",F229=""),"",IF(OR(B229="",C229="",E229=""),"БЛОК: нужны дата, тип операции и сумма",IF(N(E229)&lt;=0,"БЛОК: сумма должна быть больше нуля",IF(AND(G229&lt;&gt;0,F229=""),"БЛОК: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нельзя",IF(AND(F229&lt;&gt;"",COUNTIF('Долг по актам'!$B$5:$B$34,F229)=0),"БЛОК: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договору")&gt;0)*($C$5:$C$504&lt;&gt;C229)*($E$5:$E$504=E229)*(($D$5:$D$504=D229)*(D229&lt;&gt;"")+($B$5:$B$504=B229)*(B229&lt;&gt;"")&gt;0))&gt;0,"БЛОК: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229" s="5">
        <f>IF(AND(B229="",C229="",E229=""),"",SUM($G$5:G229))</f>
        <v/>
      </c>
    </row>
    <row r="230">
      <c r="A230" s="6" t="n">
        <v>226</v>
      </c>
      <c r="B230" s="7" t="n"/>
      <c r="C230" s="8" t="n"/>
      <c r="D230" s="8" t="n"/>
      <c r="E230" s="9" t="n"/>
      <c r="F230" s="8" t="n"/>
      <c r="G230" s="5">
        <f>IF(OR(C230="",E230=""),0,IF(C230="Начисление по акту",E230,IF(OR(C230="Оплата",C230="Зачёт аванса по договору"),-E230,IF(C230="Корректировка (подписана обеими сторонами)",E230,0))))</f>
        <v/>
      </c>
      <c r="H230" s="5">
        <f>IF(OR(C230="Удержание",C230="Зачёт встречного требования",C230="Неустойка заявлена"),N(E230),0)</f>
        <v/>
      </c>
      <c r="I230" s="6">
        <f>IF(AND(B230="",C230="",D230="",E230="",F230=""),"",IF(OR(B230="",C230="",E230=""),"БЛОК: нужны дата, тип операции и сумма",IF(N(E230)&lt;=0,"БЛОК: сумма должна быть больше нуля",IF(AND(G230&lt;&gt;0,F230=""),"БЛОК: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нельзя",IF(AND(F230&lt;&gt;"",COUNTIF('Долг по актам'!$B$5:$B$34,F230)=0),"БЛОК: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договору")&gt;0)*($C$5:$C$504&lt;&gt;C230)*($E$5:$E$504=E230)*(($D$5:$D$504=D230)*(D230&lt;&gt;"")+($B$5:$B$504=B230)*(B230&lt;&gt;"")&gt;0))&gt;0,"БЛОК: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230" s="5">
        <f>IF(AND(B230="",C230="",E230=""),"",SUM($G$5:G230))</f>
        <v/>
      </c>
    </row>
    <row r="231">
      <c r="A231" s="6" t="n">
        <v>227</v>
      </c>
      <c r="B231" s="7" t="n"/>
      <c r="C231" s="8" t="n"/>
      <c r="D231" s="8" t="n"/>
      <c r="E231" s="9" t="n"/>
      <c r="F231" s="8" t="n"/>
      <c r="G231" s="5">
        <f>IF(OR(C231="",E231=""),0,IF(C231="Начисление по акту",E231,IF(OR(C231="Оплата",C231="Зачёт аванса по договору"),-E231,IF(C231="Корректировка (подписана обеими сторонами)",E231,0))))</f>
        <v/>
      </c>
      <c r="H231" s="5">
        <f>IF(OR(C231="Удержание",C231="Зачёт встречного требования",C231="Неустойка заявлена"),N(E231),0)</f>
        <v/>
      </c>
      <c r="I231" s="6">
        <f>IF(AND(B231="",C231="",D231="",E231="",F231=""),"",IF(OR(B231="",C231="",E231=""),"БЛОК: нужны дата, тип операции и сумма",IF(N(E231)&lt;=0,"БЛОК: сумма должна быть больше нуля",IF(AND(G231&lt;&gt;0,F231=""),"БЛОК: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нельзя",IF(AND(F231&lt;&gt;"",COUNTIF('Долг по актам'!$B$5:$B$34,F231)=0),"БЛОК: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договору")&gt;0)*($C$5:$C$504&lt;&gt;C231)*($E$5:$E$504=E231)*(($D$5:$D$504=D231)*(D231&lt;&gt;"")+($B$5:$B$504=B231)*(B231&lt;&gt;"")&gt;0))&gt;0,"БЛОК: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231" s="5">
        <f>IF(AND(B231="",C231="",E231=""),"",SUM($G$5:G231))</f>
        <v/>
      </c>
    </row>
    <row r="232">
      <c r="A232" s="6" t="n">
        <v>228</v>
      </c>
      <c r="B232" s="7" t="n"/>
      <c r="C232" s="8" t="n"/>
      <c r="D232" s="8" t="n"/>
      <c r="E232" s="9" t="n"/>
      <c r="F232" s="8" t="n"/>
      <c r="G232" s="5">
        <f>IF(OR(C232="",E232=""),0,IF(C232="Начисление по акту",E232,IF(OR(C232="Оплата",C232="Зачёт аванса по договору"),-E232,IF(C232="Корректировка (подписана обеими сторонами)",E232,0))))</f>
        <v/>
      </c>
      <c r="H232" s="5">
        <f>IF(OR(C232="Удержание",C232="Зачёт встречного требования",C232="Неустойка заявлена"),N(E232),0)</f>
        <v/>
      </c>
      <c r="I232" s="6">
        <f>IF(AND(B232="",C232="",D232="",E232="",F232=""),"",IF(OR(B232="",C232="",E232=""),"БЛОК: нужны дата, тип операции и сумма",IF(N(E232)&lt;=0,"БЛОК: сумма должна быть больше нуля",IF(AND(G232&lt;&gt;0,F232=""),"БЛОК: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нельзя",IF(AND(F232&lt;&gt;"",COUNTIF('Долг по актам'!$B$5:$B$34,F232)=0),"БЛОК: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договору")&gt;0)*($C$5:$C$504&lt;&gt;C232)*($E$5:$E$504=E232)*(($D$5:$D$504=D232)*(D232&lt;&gt;"")+($B$5:$B$504=B232)*(B232&lt;&gt;"")&gt;0))&gt;0,"БЛОК: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232" s="5">
        <f>IF(AND(B232="",C232="",E232=""),"",SUM($G$5:G232))</f>
        <v/>
      </c>
    </row>
    <row r="233">
      <c r="A233" s="6" t="n">
        <v>229</v>
      </c>
      <c r="B233" s="7" t="n"/>
      <c r="C233" s="8" t="n"/>
      <c r="D233" s="8" t="n"/>
      <c r="E233" s="9" t="n"/>
      <c r="F233" s="8" t="n"/>
      <c r="G233" s="5">
        <f>IF(OR(C233="",E233=""),0,IF(C233="Начисление по акту",E233,IF(OR(C233="Оплата",C233="Зачёт аванса по договору"),-E233,IF(C233="Корректировка (подписана обеими сторонами)",E233,0))))</f>
        <v/>
      </c>
      <c r="H233" s="5">
        <f>IF(OR(C233="Удержание",C233="Зачёт встречного требования",C233="Неустойка заявлена"),N(E233),0)</f>
        <v/>
      </c>
      <c r="I233" s="6">
        <f>IF(AND(B233="",C233="",D233="",E233="",F233=""),"",IF(OR(B233="",C233="",E233=""),"БЛОК: нужны дата, тип операции и сумма",IF(N(E233)&lt;=0,"БЛОК: сумма должна быть больше нуля",IF(AND(G233&lt;&gt;0,F233=""),"БЛОК: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нельзя",IF(AND(F233&lt;&gt;"",COUNTIF('Долг по актам'!$B$5:$B$34,F233)=0),"БЛОК: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договору")&gt;0)*($C$5:$C$504&lt;&gt;C233)*($E$5:$E$504=E233)*(($D$5:$D$504=D233)*(D233&lt;&gt;"")+($B$5:$B$504=B233)*(B233&lt;&gt;"")&gt;0))&gt;0,"БЛОК: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233" s="5">
        <f>IF(AND(B233="",C233="",E233=""),"",SUM($G$5:G233))</f>
        <v/>
      </c>
    </row>
    <row r="234">
      <c r="A234" s="6" t="n">
        <v>230</v>
      </c>
      <c r="B234" s="7" t="n"/>
      <c r="C234" s="8" t="n"/>
      <c r="D234" s="8" t="n"/>
      <c r="E234" s="9" t="n"/>
      <c r="F234" s="8" t="n"/>
      <c r="G234" s="5">
        <f>IF(OR(C234="",E234=""),0,IF(C234="Начисление по акту",E234,IF(OR(C234="Оплата",C234="Зачёт аванса по договору"),-E234,IF(C234="Корректировка (подписана обеими сторонами)",E234,0))))</f>
        <v/>
      </c>
      <c r="H234" s="5">
        <f>IF(OR(C234="Удержание",C234="Зачёт встречного требования",C234="Неустойка заявлена"),N(E234),0)</f>
        <v/>
      </c>
      <c r="I234" s="6">
        <f>IF(AND(B234="",C234="",D234="",E234="",F234=""),"",IF(OR(B234="",C234="",E234=""),"БЛОК: нужны дата, тип операции и сумма",IF(N(E234)&lt;=0,"БЛОК: сумма должна быть больше нуля",IF(AND(G234&lt;&gt;0,F234=""),"БЛОК: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нельзя",IF(AND(F234&lt;&gt;"",COUNTIF('Долг по актам'!$B$5:$B$34,F234)=0),"БЛОК: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договору")&gt;0)*($C$5:$C$504&lt;&gt;C234)*($E$5:$E$504=E234)*(($D$5:$D$504=D234)*(D234&lt;&gt;"")+($B$5:$B$504=B234)*(B234&lt;&gt;"")&gt;0))&gt;0,"БЛОК: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234" s="5">
        <f>IF(AND(B234="",C234="",E234=""),"",SUM($G$5:G234))</f>
        <v/>
      </c>
    </row>
    <row r="235">
      <c r="A235" s="6" t="n">
        <v>231</v>
      </c>
      <c r="B235" s="7" t="n"/>
      <c r="C235" s="8" t="n"/>
      <c r="D235" s="8" t="n"/>
      <c r="E235" s="9" t="n"/>
      <c r="F235" s="8" t="n"/>
      <c r="G235" s="5">
        <f>IF(OR(C235="",E235=""),0,IF(C235="Начисление по акту",E235,IF(OR(C235="Оплата",C235="Зачёт аванса по договору"),-E235,IF(C235="Корректировка (подписана обеими сторонами)",E235,0))))</f>
        <v/>
      </c>
      <c r="H235" s="5">
        <f>IF(OR(C235="Удержание",C235="Зачёт встречного требования",C235="Неустойка заявлена"),N(E235),0)</f>
        <v/>
      </c>
      <c r="I235" s="6">
        <f>IF(AND(B235="",C235="",D235="",E235="",F235=""),"",IF(OR(B235="",C235="",E235=""),"БЛОК: нужны дата, тип операции и сумма",IF(N(E235)&lt;=0,"БЛОК: сумма должна быть больше нуля",IF(AND(G235&lt;&gt;0,F235=""),"БЛОК: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нельзя",IF(AND(F235&lt;&gt;"",COUNTIF('Долг по актам'!$B$5:$B$34,F235)=0),"БЛОК: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договору")&gt;0)*($C$5:$C$504&lt;&gt;C235)*($E$5:$E$504=E235)*(($D$5:$D$504=D235)*(D235&lt;&gt;"")+($B$5:$B$504=B235)*(B235&lt;&gt;"")&gt;0))&gt;0,"БЛОК: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235" s="5">
        <f>IF(AND(B235="",C235="",E235=""),"",SUM($G$5:G235))</f>
        <v/>
      </c>
    </row>
    <row r="236">
      <c r="A236" s="6" t="n">
        <v>232</v>
      </c>
      <c r="B236" s="7" t="n"/>
      <c r="C236" s="8" t="n"/>
      <c r="D236" s="8" t="n"/>
      <c r="E236" s="9" t="n"/>
      <c r="F236" s="8" t="n"/>
      <c r="G236" s="5">
        <f>IF(OR(C236="",E236=""),0,IF(C236="Начисление по акту",E236,IF(OR(C236="Оплата",C236="Зачёт аванса по договору"),-E236,IF(C236="Корректировка (подписана обеими сторонами)",E236,0))))</f>
        <v/>
      </c>
      <c r="H236" s="5">
        <f>IF(OR(C236="Удержание",C236="Зачёт встречного требования",C236="Неустойка заявлена"),N(E236),0)</f>
        <v/>
      </c>
      <c r="I236" s="6">
        <f>IF(AND(B236="",C236="",D236="",E236="",F236=""),"",IF(OR(B236="",C236="",E236=""),"БЛОК: нужны дата, тип операции и сумма",IF(N(E236)&lt;=0,"БЛОК: сумма должна быть больше нуля",IF(AND(G236&lt;&gt;0,F236=""),"БЛОК: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нельзя",IF(AND(F236&lt;&gt;"",COUNTIF('Долг по актам'!$B$5:$B$34,F236)=0),"БЛОК: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договору")&gt;0)*($C$5:$C$504&lt;&gt;C236)*($E$5:$E$504=E236)*(($D$5:$D$504=D236)*(D236&lt;&gt;"")+($B$5:$B$504=B236)*(B236&lt;&gt;"")&gt;0))&gt;0,"БЛОК: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236" s="5">
        <f>IF(AND(B236="",C236="",E236=""),"",SUM($G$5:G236))</f>
        <v/>
      </c>
    </row>
    <row r="237">
      <c r="A237" s="6" t="n">
        <v>233</v>
      </c>
      <c r="B237" s="7" t="n"/>
      <c r="C237" s="8" t="n"/>
      <c r="D237" s="8" t="n"/>
      <c r="E237" s="9" t="n"/>
      <c r="F237" s="8" t="n"/>
      <c r="G237" s="5">
        <f>IF(OR(C237="",E237=""),0,IF(C237="Начисление по акту",E237,IF(OR(C237="Оплата",C237="Зачёт аванса по договору"),-E237,IF(C237="Корректировка (подписана обеими сторонами)",E237,0))))</f>
        <v/>
      </c>
      <c r="H237" s="5">
        <f>IF(OR(C237="Удержание",C237="Зачёт встречного требования",C237="Неустойка заявлена"),N(E237),0)</f>
        <v/>
      </c>
      <c r="I237" s="6">
        <f>IF(AND(B237="",C237="",D237="",E237="",F237=""),"",IF(OR(B237="",C237="",E237=""),"БЛОК: нужны дата, тип операции и сумма",IF(N(E237)&lt;=0,"БЛОК: сумма должна быть больше нуля",IF(AND(G237&lt;&gt;0,F237=""),"БЛОК: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нельзя",IF(AND(F237&lt;&gt;"",COUNTIF('Долг по актам'!$B$5:$B$34,F237)=0),"БЛОК: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договору")&gt;0)*($C$5:$C$504&lt;&gt;C237)*($E$5:$E$504=E237)*(($D$5:$D$504=D237)*(D237&lt;&gt;"")+($B$5:$B$504=B237)*(B237&lt;&gt;"")&gt;0))&gt;0,"БЛОК: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237" s="5">
        <f>IF(AND(B237="",C237="",E237=""),"",SUM($G$5:G237))</f>
        <v/>
      </c>
    </row>
    <row r="238">
      <c r="A238" s="6" t="n">
        <v>234</v>
      </c>
      <c r="B238" s="7" t="n"/>
      <c r="C238" s="8" t="n"/>
      <c r="D238" s="8" t="n"/>
      <c r="E238" s="9" t="n"/>
      <c r="F238" s="8" t="n"/>
      <c r="G238" s="5">
        <f>IF(OR(C238="",E238=""),0,IF(C238="Начисление по акту",E238,IF(OR(C238="Оплата",C238="Зачёт аванса по договору"),-E238,IF(C238="Корректировка (подписана обеими сторонами)",E238,0))))</f>
        <v/>
      </c>
      <c r="H238" s="5">
        <f>IF(OR(C238="Удержание",C238="Зачёт встречного требования",C238="Неустойка заявлена"),N(E238),0)</f>
        <v/>
      </c>
      <c r="I238" s="6">
        <f>IF(AND(B238="",C238="",D238="",E238="",F238=""),"",IF(OR(B238="",C238="",E238=""),"БЛОК: нужны дата, тип операции и сумма",IF(N(E238)&lt;=0,"БЛОК: сумма должна быть больше нуля",IF(AND(G238&lt;&gt;0,F238=""),"БЛОК: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нельзя",IF(AND(F238&lt;&gt;"",COUNTIF('Долг по актам'!$B$5:$B$34,F238)=0),"БЛОК: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договору")&gt;0)*($C$5:$C$504&lt;&gt;C238)*($E$5:$E$504=E238)*(($D$5:$D$504=D238)*(D238&lt;&gt;"")+($B$5:$B$504=B238)*(B238&lt;&gt;"")&gt;0))&gt;0,"БЛОК: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238" s="5">
        <f>IF(AND(B238="",C238="",E238=""),"",SUM($G$5:G238))</f>
        <v/>
      </c>
    </row>
    <row r="239">
      <c r="A239" s="6" t="n">
        <v>235</v>
      </c>
      <c r="B239" s="7" t="n"/>
      <c r="C239" s="8" t="n"/>
      <c r="D239" s="8" t="n"/>
      <c r="E239" s="9" t="n"/>
      <c r="F239" s="8" t="n"/>
      <c r="G239" s="5">
        <f>IF(OR(C239="",E239=""),0,IF(C239="Начисление по акту",E239,IF(OR(C239="Оплата",C239="Зачёт аванса по договору"),-E239,IF(C239="Корректировка (подписана обеими сторонами)",E239,0))))</f>
        <v/>
      </c>
      <c r="H239" s="5">
        <f>IF(OR(C239="Удержание",C239="Зачёт встречного требования",C239="Неустойка заявлена"),N(E239),0)</f>
        <v/>
      </c>
      <c r="I239" s="6">
        <f>IF(AND(B239="",C239="",D239="",E239="",F239=""),"",IF(OR(B239="",C239="",E239=""),"БЛОК: нужны дата, тип операции и сумма",IF(N(E239)&lt;=0,"БЛОК: сумма должна быть больше нуля",IF(AND(G239&lt;&gt;0,F239=""),"БЛОК: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нельзя",IF(AND(F239&lt;&gt;"",COUNTIF('Долг по актам'!$B$5:$B$34,F239)=0),"БЛОК: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договору")&gt;0)*($C$5:$C$504&lt;&gt;C239)*($E$5:$E$504=E239)*(($D$5:$D$504=D239)*(D239&lt;&gt;"")+($B$5:$B$504=B239)*(B239&lt;&gt;"")&gt;0))&gt;0,"БЛОК: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239" s="5">
        <f>IF(AND(B239="",C239="",E239=""),"",SUM($G$5:G239))</f>
        <v/>
      </c>
    </row>
    <row r="240">
      <c r="A240" s="6" t="n">
        <v>236</v>
      </c>
      <c r="B240" s="7" t="n"/>
      <c r="C240" s="8" t="n"/>
      <c r="D240" s="8" t="n"/>
      <c r="E240" s="9" t="n"/>
      <c r="F240" s="8" t="n"/>
      <c r="G240" s="5">
        <f>IF(OR(C240="",E240=""),0,IF(C240="Начисление по акту",E240,IF(OR(C240="Оплата",C240="Зачёт аванса по договору"),-E240,IF(C240="Корректировка (подписана обеими сторонами)",E240,0))))</f>
        <v/>
      </c>
      <c r="H240" s="5">
        <f>IF(OR(C240="Удержание",C240="Зачёт встречного требования",C240="Неустойка заявлена"),N(E240),0)</f>
        <v/>
      </c>
      <c r="I240" s="6">
        <f>IF(AND(B240="",C240="",D240="",E240="",F240=""),"",IF(OR(B240="",C240="",E240=""),"БЛОК: нужны дата, тип операции и сумма",IF(N(E240)&lt;=0,"БЛОК: сумма должна быть больше нуля",IF(AND(G240&lt;&gt;0,F240=""),"БЛОК: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нельзя",IF(AND(F240&lt;&gt;"",COUNTIF('Долг по актам'!$B$5:$B$34,F240)=0),"БЛОК: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договору")&gt;0)*($C$5:$C$504&lt;&gt;C240)*($E$5:$E$504=E240)*(($D$5:$D$504=D240)*(D240&lt;&gt;"")+($B$5:$B$504=B240)*(B240&lt;&gt;"")&gt;0))&gt;0,"БЛОК: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240" s="5">
        <f>IF(AND(B240="",C240="",E240=""),"",SUM($G$5:G240))</f>
        <v/>
      </c>
    </row>
    <row r="241">
      <c r="A241" s="6" t="n">
        <v>237</v>
      </c>
      <c r="B241" s="7" t="n"/>
      <c r="C241" s="8" t="n"/>
      <c r="D241" s="8" t="n"/>
      <c r="E241" s="9" t="n"/>
      <c r="F241" s="8" t="n"/>
      <c r="G241" s="5">
        <f>IF(OR(C241="",E241=""),0,IF(C241="Начисление по акту",E241,IF(OR(C241="Оплата",C241="Зачёт аванса по договору"),-E241,IF(C241="Корректировка (подписана обеими сторонами)",E241,0))))</f>
        <v/>
      </c>
      <c r="H241" s="5">
        <f>IF(OR(C241="Удержание",C241="Зачёт встречного требования",C241="Неустойка заявлена"),N(E241),0)</f>
        <v/>
      </c>
      <c r="I241" s="6">
        <f>IF(AND(B241="",C241="",D241="",E241="",F241=""),"",IF(OR(B241="",C241="",E241=""),"БЛОК: нужны дата, тип операции и сумма",IF(N(E241)&lt;=0,"БЛОК: сумма должна быть больше нуля",IF(AND(G241&lt;&gt;0,F241=""),"БЛОК: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нельзя",IF(AND(F241&lt;&gt;"",COUNTIF('Долг по актам'!$B$5:$B$34,F241)=0),"БЛОК: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договору")&gt;0)*($C$5:$C$504&lt;&gt;C241)*($E$5:$E$504=E241)*(($D$5:$D$504=D241)*(D241&lt;&gt;"")+($B$5:$B$504=B241)*(B241&lt;&gt;"")&gt;0))&gt;0,"БЛОК: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241" s="5">
        <f>IF(AND(B241="",C241="",E241=""),"",SUM($G$5:G241))</f>
        <v/>
      </c>
    </row>
    <row r="242">
      <c r="A242" s="6" t="n">
        <v>238</v>
      </c>
      <c r="B242" s="7" t="n"/>
      <c r="C242" s="8" t="n"/>
      <c r="D242" s="8" t="n"/>
      <c r="E242" s="9" t="n"/>
      <c r="F242" s="8" t="n"/>
      <c r="G242" s="5">
        <f>IF(OR(C242="",E242=""),0,IF(C242="Начисление по акту",E242,IF(OR(C242="Оплата",C242="Зачёт аванса по договору"),-E242,IF(C242="Корректировка (подписана обеими сторонами)",E242,0))))</f>
        <v/>
      </c>
      <c r="H242" s="5">
        <f>IF(OR(C242="Удержание",C242="Зачёт встречного требования",C242="Неустойка заявлена"),N(E242),0)</f>
        <v/>
      </c>
      <c r="I242" s="6">
        <f>IF(AND(B242="",C242="",D242="",E242="",F242=""),"",IF(OR(B242="",C242="",E242=""),"БЛОК: нужны дата, тип операции и сумма",IF(N(E242)&lt;=0,"БЛОК: сумма должна быть больше нуля",IF(AND(G242&lt;&gt;0,F242=""),"БЛОК: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нельзя",IF(AND(F242&lt;&gt;"",COUNTIF('Долг по актам'!$B$5:$B$34,F242)=0),"БЛОК: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договору")&gt;0)*($C$5:$C$504&lt;&gt;C242)*($E$5:$E$504=E242)*(($D$5:$D$504=D242)*(D242&lt;&gt;"")+($B$5:$B$504=B242)*(B242&lt;&gt;"")&gt;0))&gt;0,"БЛОК: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242" s="5">
        <f>IF(AND(B242="",C242="",E242=""),"",SUM($G$5:G242))</f>
        <v/>
      </c>
    </row>
    <row r="243">
      <c r="A243" s="6" t="n">
        <v>239</v>
      </c>
      <c r="B243" s="7" t="n"/>
      <c r="C243" s="8" t="n"/>
      <c r="D243" s="8" t="n"/>
      <c r="E243" s="9" t="n"/>
      <c r="F243" s="8" t="n"/>
      <c r="G243" s="5">
        <f>IF(OR(C243="",E243=""),0,IF(C243="Начисление по акту",E243,IF(OR(C243="Оплата",C243="Зачёт аванса по договору"),-E243,IF(C243="Корректировка (подписана обеими сторонами)",E243,0))))</f>
        <v/>
      </c>
      <c r="H243" s="5">
        <f>IF(OR(C243="Удержание",C243="Зачёт встречного требования",C243="Неустойка заявлена"),N(E243),0)</f>
        <v/>
      </c>
      <c r="I243" s="6">
        <f>IF(AND(B243="",C243="",D243="",E243="",F243=""),"",IF(OR(B243="",C243="",E243=""),"БЛОК: нужны дата, тип операции и сумма",IF(N(E243)&lt;=0,"БЛОК: сумма должна быть больше нуля",IF(AND(G243&lt;&gt;0,F243=""),"БЛОК: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нельзя",IF(AND(F243&lt;&gt;"",COUNTIF('Долг по актам'!$B$5:$B$34,F243)=0),"БЛОК: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договору")&gt;0)*($C$5:$C$504&lt;&gt;C243)*($E$5:$E$504=E243)*(($D$5:$D$504=D243)*(D243&lt;&gt;"")+($B$5:$B$504=B243)*(B243&lt;&gt;"")&gt;0))&gt;0,"БЛОК: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243" s="5">
        <f>IF(AND(B243="",C243="",E243=""),"",SUM($G$5:G243))</f>
        <v/>
      </c>
    </row>
    <row r="244">
      <c r="A244" s="6" t="n">
        <v>240</v>
      </c>
      <c r="B244" s="7" t="n"/>
      <c r="C244" s="8" t="n"/>
      <c r="D244" s="8" t="n"/>
      <c r="E244" s="9" t="n"/>
      <c r="F244" s="8" t="n"/>
      <c r="G244" s="5">
        <f>IF(OR(C244="",E244=""),0,IF(C244="Начисление по акту",E244,IF(OR(C244="Оплата",C244="Зачёт аванса по договору"),-E244,IF(C244="Корректировка (подписана обеими сторонами)",E244,0))))</f>
        <v/>
      </c>
      <c r="H244" s="5">
        <f>IF(OR(C244="Удержание",C244="Зачёт встречного требования",C244="Неустойка заявлена"),N(E244),0)</f>
        <v/>
      </c>
      <c r="I244" s="6">
        <f>IF(AND(B244="",C244="",D244="",E244="",F244=""),"",IF(OR(B244="",C244="",E244=""),"БЛОК: нужны дата, тип операции и сумма",IF(N(E244)&lt;=0,"БЛОК: сумма должна быть больше нуля",IF(AND(G244&lt;&gt;0,F244=""),"БЛОК: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нельзя",IF(AND(F244&lt;&gt;"",COUNTIF('Долг по актам'!$B$5:$B$34,F244)=0),"БЛОК: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договору")&gt;0)*($C$5:$C$504&lt;&gt;C244)*($E$5:$E$504=E244)*(($D$5:$D$504=D244)*(D244&lt;&gt;"")+($B$5:$B$504=B244)*(B244&lt;&gt;"")&gt;0))&gt;0,"БЛОК: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244" s="5">
        <f>IF(AND(B244="",C244="",E244=""),"",SUM($G$5:G244))</f>
        <v/>
      </c>
    </row>
    <row r="245">
      <c r="A245" s="6" t="n">
        <v>241</v>
      </c>
      <c r="B245" s="7" t="n"/>
      <c r="C245" s="8" t="n"/>
      <c r="D245" s="8" t="n"/>
      <c r="E245" s="9" t="n"/>
      <c r="F245" s="8" t="n"/>
      <c r="G245" s="5">
        <f>IF(OR(C245="",E245=""),0,IF(C245="Начисление по акту",E245,IF(OR(C245="Оплата",C245="Зачёт аванса по договору"),-E245,IF(C245="Корректировка (подписана обеими сторонами)",E245,0))))</f>
        <v/>
      </c>
      <c r="H245" s="5">
        <f>IF(OR(C245="Удержание",C245="Зачёт встречного требования",C245="Неустойка заявлена"),N(E245),0)</f>
        <v/>
      </c>
      <c r="I245" s="6">
        <f>IF(AND(B245="",C245="",D245="",E245="",F245=""),"",IF(OR(B245="",C245="",E245=""),"БЛОК: нужны дата, тип операции и сумма",IF(N(E245)&lt;=0,"БЛОК: сумма должна быть больше нуля",IF(AND(G245&lt;&gt;0,F245=""),"БЛОК: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нельзя",IF(AND(F245&lt;&gt;"",COUNTIF('Долг по актам'!$B$5:$B$34,F245)=0),"БЛОК: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договору")&gt;0)*($C$5:$C$504&lt;&gt;C245)*($E$5:$E$504=E245)*(($D$5:$D$504=D245)*(D245&lt;&gt;"")+($B$5:$B$504=B245)*(B245&lt;&gt;"")&gt;0))&gt;0,"БЛОК: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245" s="5">
        <f>IF(AND(B245="",C245="",E245=""),"",SUM($G$5:G245))</f>
        <v/>
      </c>
    </row>
    <row r="246">
      <c r="A246" s="6" t="n">
        <v>242</v>
      </c>
      <c r="B246" s="7" t="n"/>
      <c r="C246" s="8" t="n"/>
      <c r="D246" s="8" t="n"/>
      <c r="E246" s="9" t="n"/>
      <c r="F246" s="8" t="n"/>
      <c r="G246" s="5">
        <f>IF(OR(C246="",E246=""),0,IF(C246="Начисление по акту",E246,IF(OR(C246="Оплата",C246="Зачёт аванса по договору"),-E246,IF(C246="Корректировка (подписана обеими сторонами)",E246,0))))</f>
        <v/>
      </c>
      <c r="H246" s="5">
        <f>IF(OR(C246="Удержание",C246="Зачёт встречного требования",C246="Неустойка заявлена"),N(E246),0)</f>
        <v/>
      </c>
      <c r="I246" s="6">
        <f>IF(AND(B246="",C246="",D246="",E246="",F246=""),"",IF(OR(B246="",C246="",E246=""),"БЛОК: нужны дата, тип операции и сумма",IF(N(E246)&lt;=0,"БЛОК: сумма должна быть больше нуля",IF(AND(G246&lt;&gt;0,F246=""),"БЛОК: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нельзя",IF(AND(F246&lt;&gt;"",COUNTIF('Долг по актам'!$B$5:$B$34,F246)=0),"БЛОК: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договору")&gt;0)*($C$5:$C$504&lt;&gt;C246)*($E$5:$E$504=E246)*(($D$5:$D$504=D246)*(D246&lt;&gt;"")+($B$5:$B$504=B246)*(B246&lt;&gt;"")&gt;0))&gt;0,"БЛОК: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246" s="5">
        <f>IF(AND(B246="",C246="",E246=""),"",SUM($G$5:G246))</f>
        <v/>
      </c>
    </row>
    <row r="247">
      <c r="A247" s="6" t="n">
        <v>243</v>
      </c>
      <c r="B247" s="7" t="n"/>
      <c r="C247" s="8" t="n"/>
      <c r="D247" s="8" t="n"/>
      <c r="E247" s="9" t="n"/>
      <c r="F247" s="8" t="n"/>
      <c r="G247" s="5">
        <f>IF(OR(C247="",E247=""),0,IF(C247="Начисление по акту",E247,IF(OR(C247="Оплата",C247="Зачёт аванса по договору"),-E247,IF(C247="Корректировка (подписана обеими сторонами)",E247,0))))</f>
        <v/>
      </c>
      <c r="H247" s="5">
        <f>IF(OR(C247="Удержание",C247="Зачёт встречного требования",C247="Неустойка заявлена"),N(E247),0)</f>
        <v/>
      </c>
      <c r="I247" s="6">
        <f>IF(AND(B247="",C247="",D247="",E247="",F247=""),"",IF(OR(B247="",C247="",E247=""),"БЛОК: нужны дата, тип операции и сумма",IF(N(E247)&lt;=0,"БЛОК: сумма должна быть больше нуля",IF(AND(G247&lt;&gt;0,F247=""),"БЛОК: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нельзя",IF(AND(F247&lt;&gt;"",COUNTIF('Долг по актам'!$B$5:$B$34,F247)=0),"БЛОК: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договору")&gt;0)*($C$5:$C$504&lt;&gt;C247)*($E$5:$E$504=E247)*(($D$5:$D$504=D247)*(D247&lt;&gt;"")+($B$5:$B$504=B247)*(B247&lt;&gt;"")&gt;0))&gt;0,"БЛОК: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247" s="5">
        <f>IF(AND(B247="",C247="",E247=""),"",SUM($G$5:G247))</f>
        <v/>
      </c>
    </row>
    <row r="248">
      <c r="A248" s="6" t="n">
        <v>244</v>
      </c>
      <c r="B248" s="7" t="n"/>
      <c r="C248" s="8" t="n"/>
      <c r="D248" s="8" t="n"/>
      <c r="E248" s="9" t="n"/>
      <c r="F248" s="8" t="n"/>
      <c r="G248" s="5">
        <f>IF(OR(C248="",E248=""),0,IF(C248="Начисление по акту",E248,IF(OR(C248="Оплата",C248="Зачёт аванса по договору"),-E248,IF(C248="Корректировка (подписана обеими сторонами)",E248,0))))</f>
        <v/>
      </c>
      <c r="H248" s="5">
        <f>IF(OR(C248="Удержание",C248="Зачёт встречного требования",C248="Неустойка заявлена"),N(E248),0)</f>
        <v/>
      </c>
      <c r="I248" s="6">
        <f>IF(AND(B248="",C248="",D248="",E248="",F248=""),"",IF(OR(B248="",C248="",E248=""),"БЛОК: нужны дата, тип операции и сумма",IF(N(E248)&lt;=0,"БЛОК: сумма должна быть больше нуля",IF(AND(G248&lt;&gt;0,F248=""),"БЛОК: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нельзя",IF(AND(F248&lt;&gt;"",COUNTIF('Долг по актам'!$B$5:$B$34,F248)=0),"БЛОК: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договору")&gt;0)*($C$5:$C$504&lt;&gt;C248)*($E$5:$E$504=E248)*(($D$5:$D$504=D248)*(D248&lt;&gt;"")+($B$5:$B$504=B248)*(B248&lt;&gt;"")&gt;0))&gt;0,"БЛОК: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248" s="5">
        <f>IF(AND(B248="",C248="",E248=""),"",SUM($G$5:G248))</f>
        <v/>
      </c>
    </row>
    <row r="249">
      <c r="A249" s="6" t="n">
        <v>245</v>
      </c>
      <c r="B249" s="7" t="n"/>
      <c r="C249" s="8" t="n"/>
      <c r="D249" s="8" t="n"/>
      <c r="E249" s="9" t="n"/>
      <c r="F249" s="8" t="n"/>
      <c r="G249" s="5">
        <f>IF(OR(C249="",E249=""),0,IF(C249="Начисление по акту",E249,IF(OR(C249="Оплата",C249="Зачёт аванса по договору"),-E249,IF(C249="Корректировка (подписана обеими сторонами)",E249,0))))</f>
        <v/>
      </c>
      <c r="H249" s="5">
        <f>IF(OR(C249="Удержание",C249="Зачёт встречного требования",C249="Неустойка заявлена"),N(E249),0)</f>
        <v/>
      </c>
      <c r="I249" s="6">
        <f>IF(AND(B249="",C249="",D249="",E249="",F249=""),"",IF(OR(B249="",C249="",E249=""),"БЛОК: нужны дата, тип операции и сумма",IF(N(E249)&lt;=0,"БЛОК: сумма должна быть больше нуля",IF(AND(G249&lt;&gt;0,F249=""),"БЛОК: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нельзя",IF(AND(F249&lt;&gt;"",COUNTIF('Долг по актам'!$B$5:$B$34,F249)=0),"БЛОК: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договору")&gt;0)*($C$5:$C$504&lt;&gt;C249)*($E$5:$E$504=E249)*(($D$5:$D$504=D249)*(D249&lt;&gt;"")+($B$5:$B$504=B249)*(B249&lt;&gt;"")&gt;0))&gt;0,"БЛОК: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249" s="5">
        <f>IF(AND(B249="",C249="",E249=""),"",SUM($G$5:G249))</f>
        <v/>
      </c>
    </row>
    <row r="250">
      <c r="A250" s="6" t="n">
        <v>246</v>
      </c>
      <c r="B250" s="7" t="n"/>
      <c r="C250" s="8" t="n"/>
      <c r="D250" s="8" t="n"/>
      <c r="E250" s="9" t="n"/>
      <c r="F250" s="8" t="n"/>
      <c r="G250" s="5">
        <f>IF(OR(C250="",E250=""),0,IF(C250="Начисление по акту",E250,IF(OR(C250="Оплата",C250="Зачёт аванса по договору"),-E250,IF(C250="Корректировка (подписана обеими сторонами)",E250,0))))</f>
        <v/>
      </c>
      <c r="H250" s="5">
        <f>IF(OR(C250="Удержание",C250="Зачёт встречного требования",C250="Неустойка заявлена"),N(E250),0)</f>
        <v/>
      </c>
      <c r="I250" s="6">
        <f>IF(AND(B250="",C250="",D250="",E250="",F250=""),"",IF(OR(B250="",C250="",E250=""),"БЛОК: нужны дата, тип операции и сумма",IF(N(E250)&lt;=0,"БЛОК: сумма должна быть больше нуля",IF(AND(G250&lt;&gt;0,F250=""),"БЛОК: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нельзя",IF(AND(F250&lt;&gt;"",COUNTIF('Долг по актам'!$B$5:$B$34,F250)=0),"БЛОК: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договору")&gt;0)*($C$5:$C$504&lt;&gt;C250)*($E$5:$E$504=E250)*(($D$5:$D$504=D250)*(D250&lt;&gt;"")+($B$5:$B$504=B250)*(B250&lt;&gt;"")&gt;0))&gt;0,"БЛОК: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250" s="5">
        <f>IF(AND(B250="",C250="",E250=""),"",SUM($G$5:G250))</f>
        <v/>
      </c>
    </row>
    <row r="251">
      <c r="A251" s="6" t="n">
        <v>247</v>
      </c>
      <c r="B251" s="7" t="n"/>
      <c r="C251" s="8" t="n"/>
      <c r="D251" s="8" t="n"/>
      <c r="E251" s="9" t="n"/>
      <c r="F251" s="8" t="n"/>
      <c r="G251" s="5">
        <f>IF(OR(C251="",E251=""),0,IF(C251="Начисление по акту",E251,IF(OR(C251="Оплата",C251="Зачёт аванса по договору"),-E251,IF(C251="Корректировка (подписана обеими сторонами)",E251,0))))</f>
        <v/>
      </c>
      <c r="H251" s="5">
        <f>IF(OR(C251="Удержание",C251="Зачёт встречного требования",C251="Неустойка заявлена"),N(E251),0)</f>
        <v/>
      </c>
      <c r="I251" s="6">
        <f>IF(AND(B251="",C251="",D251="",E251="",F251=""),"",IF(OR(B251="",C251="",E251=""),"БЛОК: нужны дата, тип операции и сумма",IF(N(E251)&lt;=0,"БЛОК: сумма должна быть больше нуля",IF(AND(G251&lt;&gt;0,F251=""),"БЛОК: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нельзя",IF(AND(F251&lt;&gt;"",COUNTIF('Долг по актам'!$B$5:$B$34,F251)=0),"БЛОК: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договору")&gt;0)*($C$5:$C$504&lt;&gt;C251)*($E$5:$E$504=E251)*(($D$5:$D$504=D251)*(D251&lt;&gt;"")+($B$5:$B$504=B251)*(B251&lt;&gt;"")&gt;0))&gt;0,"БЛОК: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251" s="5">
        <f>IF(AND(B251="",C251="",E251=""),"",SUM($G$5:G251))</f>
        <v/>
      </c>
    </row>
    <row r="252">
      <c r="A252" s="6" t="n">
        <v>248</v>
      </c>
      <c r="B252" s="7" t="n"/>
      <c r="C252" s="8" t="n"/>
      <c r="D252" s="8" t="n"/>
      <c r="E252" s="9" t="n"/>
      <c r="F252" s="8" t="n"/>
      <c r="G252" s="5">
        <f>IF(OR(C252="",E252=""),0,IF(C252="Начисление по акту",E252,IF(OR(C252="Оплата",C252="Зачёт аванса по договору"),-E252,IF(C252="Корректировка (подписана обеими сторонами)",E252,0))))</f>
        <v/>
      </c>
      <c r="H252" s="5">
        <f>IF(OR(C252="Удержание",C252="Зачёт встречного требования",C252="Неустойка заявлена"),N(E252),0)</f>
        <v/>
      </c>
      <c r="I252" s="6">
        <f>IF(AND(B252="",C252="",D252="",E252="",F252=""),"",IF(OR(B252="",C252="",E252=""),"БЛОК: нужны дата, тип операции и сумма",IF(N(E252)&lt;=0,"БЛОК: сумма должна быть больше нуля",IF(AND(G252&lt;&gt;0,F252=""),"БЛОК: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нельзя",IF(AND(F252&lt;&gt;"",COUNTIF('Долг по актам'!$B$5:$B$34,F252)=0),"БЛОК: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договору")&gt;0)*($C$5:$C$504&lt;&gt;C252)*($E$5:$E$504=E252)*(($D$5:$D$504=D252)*(D252&lt;&gt;"")+($B$5:$B$504=B252)*(B252&lt;&gt;"")&gt;0))&gt;0,"БЛОК: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252" s="5">
        <f>IF(AND(B252="",C252="",E252=""),"",SUM($G$5:G252))</f>
        <v/>
      </c>
    </row>
    <row r="253">
      <c r="A253" s="6" t="n">
        <v>249</v>
      </c>
      <c r="B253" s="7" t="n"/>
      <c r="C253" s="8" t="n"/>
      <c r="D253" s="8" t="n"/>
      <c r="E253" s="9" t="n"/>
      <c r="F253" s="8" t="n"/>
      <c r="G253" s="5">
        <f>IF(OR(C253="",E253=""),0,IF(C253="Начисление по акту",E253,IF(OR(C253="Оплата",C253="Зачёт аванса по договору"),-E253,IF(C253="Корректировка (подписана обеими сторонами)",E253,0))))</f>
        <v/>
      </c>
      <c r="H253" s="5">
        <f>IF(OR(C253="Удержание",C253="Зачёт встречного требования",C253="Неустойка заявлена"),N(E253),0)</f>
        <v/>
      </c>
      <c r="I253" s="6">
        <f>IF(AND(B253="",C253="",D253="",E253="",F253=""),"",IF(OR(B253="",C253="",E253=""),"БЛОК: нужны дата, тип операции и сумма",IF(N(E253)&lt;=0,"БЛОК: сумма должна быть больше нуля",IF(AND(G253&lt;&gt;0,F253=""),"БЛОК: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нельзя",IF(AND(F253&lt;&gt;"",COUNTIF('Долг по актам'!$B$5:$B$34,F253)=0),"БЛОК: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договору")&gt;0)*($C$5:$C$504&lt;&gt;C253)*($E$5:$E$504=E253)*(($D$5:$D$504=D253)*(D253&lt;&gt;"")+($B$5:$B$504=B253)*(B253&lt;&gt;"")&gt;0))&gt;0,"БЛОК: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253" s="5">
        <f>IF(AND(B253="",C253="",E253=""),"",SUM($G$5:G253))</f>
        <v/>
      </c>
    </row>
    <row r="254">
      <c r="A254" s="6" t="n">
        <v>250</v>
      </c>
      <c r="B254" s="7" t="n"/>
      <c r="C254" s="8" t="n"/>
      <c r="D254" s="8" t="n"/>
      <c r="E254" s="9" t="n"/>
      <c r="F254" s="8" t="n"/>
      <c r="G254" s="5">
        <f>IF(OR(C254="",E254=""),0,IF(C254="Начисление по акту",E254,IF(OR(C254="Оплата",C254="Зачёт аванса по договору"),-E254,IF(C254="Корректировка (подписана обеими сторонами)",E254,0))))</f>
        <v/>
      </c>
      <c r="H254" s="5">
        <f>IF(OR(C254="Удержание",C254="Зачёт встречного требования",C254="Неустойка заявлена"),N(E254),0)</f>
        <v/>
      </c>
      <c r="I254" s="6">
        <f>IF(AND(B254="",C254="",D254="",E254="",F254=""),"",IF(OR(B254="",C254="",E254=""),"БЛОК: нужны дата, тип операции и сумма",IF(N(E254)&lt;=0,"БЛОК: сумма должна быть больше нуля",IF(AND(G254&lt;&gt;0,F254=""),"БЛОК: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нельзя",IF(AND(F254&lt;&gt;"",COUNTIF('Долг по актам'!$B$5:$B$34,F254)=0),"БЛОК: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договору")&gt;0)*($C$5:$C$504&lt;&gt;C254)*($E$5:$E$504=E254)*(($D$5:$D$504=D254)*(D254&lt;&gt;"")+($B$5:$B$504=B254)*(B254&lt;&gt;"")&gt;0))&gt;0,"БЛОК: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254" s="5">
        <f>IF(AND(B254="",C254="",E254=""),"",SUM($G$5:G254))</f>
        <v/>
      </c>
    </row>
    <row r="255">
      <c r="A255" s="6" t="n">
        <v>251</v>
      </c>
      <c r="B255" s="7" t="n"/>
      <c r="C255" s="8" t="n"/>
      <c r="D255" s="8" t="n"/>
      <c r="E255" s="9" t="n"/>
      <c r="F255" s="8" t="n"/>
      <c r="G255" s="5">
        <f>IF(OR(C255="",E255=""),0,IF(C255="Начисление по акту",E255,IF(OR(C255="Оплата",C255="Зачёт аванса по договору"),-E255,IF(C255="Корректировка (подписана обеими сторонами)",E255,0))))</f>
        <v/>
      </c>
      <c r="H255" s="5">
        <f>IF(OR(C255="Удержание",C255="Зачёт встречного требования",C255="Неустойка заявлена"),N(E255),0)</f>
        <v/>
      </c>
      <c r="I255" s="6">
        <f>IF(AND(B255="",C255="",D255="",E255="",F255=""),"",IF(OR(B255="",C255="",E255=""),"БЛОК: нужны дата, тип операции и сумма",IF(N(E255)&lt;=0,"БЛОК: сумма должна быть больше нуля",IF(AND(G255&lt;&gt;0,F255=""),"БЛОК: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нельзя",IF(AND(F255&lt;&gt;"",COUNTIF('Долг по актам'!$B$5:$B$34,F255)=0),"БЛОК: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договору")&gt;0)*($C$5:$C$504&lt;&gt;C255)*($E$5:$E$504=E255)*(($D$5:$D$504=D255)*(D255&lt;&gt;"")+($B$5:$B$504=B255)*(B255&lt;&gt;"")&gt;0))&gt;0,"БЛОК: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255" s="5">
        <f>IF(AND(B255="",C255="",E255=""),"",SUM($G$5:G255))</f>
        <v/>
      </c>
    </row>
    <row r="256">
      <c r="A256" s="6" t="n">
        <v>252</v>
      </c>
      <c r="B256" s="7" t="n"/>
      <c r="C256" s="8" t="n"/>
      <c r="D256" s="8" t="n"/>
      <c r="E256" s="9" t="n"/>
      <c r="F256" s="8" t="n"/>
      <c r="G256" s="5">
        <f>IF(OR(C256="",E256=""),0,IF(C256="Начисление по акту",E256,IF(OR(C256="Оплата",C256="Зачёт аванса по договору"),-E256,IF(C256="Корректировка (подписана обеими сторонами)",E256,0))))</f>
        <v/>
      </c>
      <c r="H256" s="5">
        <f>IF(OR(C256="Удержание",C256="Зачёт встречного требования",C256="Неустойка заявлена"),N(E256),0)</f>
        <v/>
      </c>
      <c r="I256" s="6">
        <f>IF(AND(B256="",C256="",D256="",E256="",F256=""),"",IF(OR(B256="",C256="",E256=""),"БЛОК: нужны дата, тип операции и сумма",IF(N(E256)&lt;=0,"БЛОК: сумма должна быть больше нуля",IF(AND(G256&lt;&gt;0,F256=""),"БЛОК: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нельзя",IF(AND(F256&lt;&gt;"",COUNTIF('Долг по актам'!$B$5:$B$34,F256)=0),"БЛОК: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договору")&gt;0)*($C$5:$C$504&lt;&gt;C256)*($E$5:$E$504=E256)*(($D$5:$D$504=D256)*(D256&lt;&gt;"")+($B$5:$B$504=B256)*(B256&lt;&gt;"")&gt;0))&gt;0,"БЛОК: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256" s="5">
        <f>IF(AND(B256="",C256="",E256=""),"",SUM($G$5:G256))</f>
        <v/>
      </c>
    </row>
    <row r="257">
      <c r="A257" s="6" t="n">
        <v>253</v>
      </c>
      <c r="B257" s="7" t="n"/>
      <c r="C257" s="8" t="n"/>
      <c r="D257" s="8" t="n"/>
      <c r="E257" s="9" t="n"/>
      <c r="F257" s="8" t="n"/>
      <c r="G257" s="5">
        <f>IF(OR(C257="",E257=""),0,IF(C257="Начисление по акту",E257,IF(OR(C257="Оплата",C257="Зачёт аванса по договору"),-E257,IF(C257="Корректировка (подписана обеими сторонами)",E257,0))))</f>
        <v/>
      </c>
      <c r="H257" s="5">
        <f>IF(OR(C257="Удержание",C257="Зачёт встречного требования",C257="Неустойка заявлена"),N(E257),0)</f>
        <v/>
      </c>
      <c r="I257" s="6">
        <f>IF(AND(B257="",C257="",D257="",E257="",F257=""),"",IF(OR(B257="",C257="",E257=""),"БЛОК: нужны дата, тип операции и сумма",IF(N(E257)&lt;=0,"БЛОК: сумма должна быть больше нуля",IF(AND(G257&lt;&gt;0,F257=""),"БЛОК: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нельзя",IF(AND(F257&lt;&gt;"",COUNTIF('Долг по актам'!$B$5:$B$34,F257)=0),"БЛОК: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договору")&gt;0)*($C$5:$C$504&lt;&gt;C257)*($E$5:$E$504=E257)*(($D$5:$D$504=D257)*(D257&lt;&gt;"")+($B$5:$B$504=B257)*(B257&lt;&gt;"")&gt;0))&gt;0,"БЛОК: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257" s="5">
        <f>IF(AND(B257="",C257="",E257=""),"",SUM($G$5:G257))</f>
        <v/>
      </c>
    </row>
    <row r="258">
      <c r="A258" s="6" t="n">
        <v>254</v>
      </c>
      <c r="B258" s="7" t="n"/>
      <c r="C258" s="8" t="n"/>
      <c r="D258" s="8" t="n"/>
      <c r="E258" s="9" t="n"/>
      <c r="F258" s="8" t="n"/>
      <c r="G258" s="5">
        <f>IF(OR(C258="",E258=""),0,IF(C258="Начисление по акту",E258,IF(OR(C258="Оплата",C258="Зачёт аванса по договору"),-E258,IF(C258="Корректировка (подписана обеими сторонами)",E258,0))))</f>
        <v/>
      </c>
      <c r="H258" s="5">
        <f>IF(OR(C258="Удержание",C258="Зачёт встречного требования",C258="Неустойка заявлена"),N(E258),0)</f>
        <v/>
      </c>
      <c r="I258" s="6">
        <f>IF(AND(B258="",C258="",D258="",E258="",F258=""),"",IF(OR(B258="",C258="",E258=""),"БЛОК: нужны дата, тип операции и сумма",IF(N(E258)&lt;=0,"БЛОК: сумма должна быть больше нуля",IF(AND(G258&lt;&gt;0,F258=""),"БЛОК: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нельзя",IF(AND(F258&lt;&gt;"",COUNTIF('Долг по актам'!$B$5:$B$34,F258)=0),"БЛОК: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договору")&gt;0)*($C$5:$C$504&lt;&gt;C258)*($E$5:$E$504=E258)*(($D$5:$D$504=D258)*(D258&lt;&gt;"")+($B$5:$B$504=B258)*(B258&lt;&gt;"")&gt;0))&gt;0,"БЛОК: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258" s="5">
        <f>IF(AND(B258="",C258="",E258=""),"",SUM($G$5:G258))</f>
        <v/>
      </c>
    </row>
    <row r="259">
      <c r="A259" s="6" t="n">
        <v>255</v>
      </c>
      <c r="B259" s="7" t="n"/>
      <c r="C259" s="8" t="n"/>
      <c r="D259" s="8" t="n"/>
      <c r="E259" s="9" t="n"/>
      <c r="F259" s="8" t="n"/>
      <c r="G259" s="5">
        <f>IF(OR(C259="",E259=""),0,IF(C259="Начисление по акту",E259,IF(OR(C259="Оплата",C259="Зачёт аванса по договору"),-E259,IF(C259="Корректировка (подписана обеими сторонами)",E259,0))))</f>
        <v/>
      </c>
      <c r="H259" s="5">
        <f>IF(OR(C259="Удержание",C259="Зачёт встречного требования",C259="Неустойка заявлена"),N(E259),0)</f>
        <v/>
      </c>
      <c r="I259" s="6">
        <f>IF(AND(B259="",C259="",D259="",E259="",F259=""),"",IF(OR(B259="",C259="",E259=""),"БЛОК: нужны дата, тип операции и сумма",IF(N(E259)&lt;=0,"БЛОК: сумма должна быть больше нуля",IF(AND(G259&lt;&gt;0,F259=""),"БЛОК: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нельзя",IF(AND(F259&lt;&gt;"",COUNTIF('Долг по актам'!$B$5:$B$34,F259)=0),"БЛОК: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договору")&gt;0)*($C$5:$C$504&lt;&gt;C259)*($E$5:$E$504=E259)*(($D$5:$D$504=D259)*(D259&lt;&gt;"")+($B$5:$B$504=B259)*(B259&lt;&gt;"")&gt;0))&gt;0,"БЛОК: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259" s="5">
        <f>IF(AND(B259="",C259="",E259=""),"",SUM($G$5:G259))</f>
        <v/>
      </c>
    </row>
    <row r="260">
      <c r="A260" s="6" t="n">
        <v>256</v>
      </c>
      <c r="B260" s="7" t="n"/>
      <c r="C260" s="8" t="n"/>
      <c r="D260" s="8" t="n"/>
      <c r="E260" s="9" t="n"/>
      <c r="F260" s="8" t="n"/>
      <c r="G260" s="5">
        <f>IF(OR(C260="",E260=""),0,IF(C260="Начисление по акту",E260,IF(OR(C260="Оплата",C260="Зачёт аванса по договору"),-E260,IF(C260="Корректировка (подписана обеими сторонами)",E260,0))))</f>
        <v/>
      </c>
      <c r="H260" s="5">
        <f>IF(OR(C260="Удержание",C260="Зачёт встречного требования",C260="Неустойка заявлена"),N(E260),0)</f>
        <v/>
      </c>
      <c r="I260" s="6">
        <f>IF(AND(B260="",C260="",D260="",E260="",F260=""),"",IF(OR(B260="",C260="",E260=""),"БЛОК: нужны дата, тип операции и сумма",IF(N(E260)&lt;=0,"БЛОК: сумма должна быть больше нуля",IF(AND(G260&lt;&gt;0,F260=""),"БЛОК: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нельзя",IF(AND(F260&lt;&gt;"",COUNTIF('Долг по актам'!$B$5:$B$34,F260)=0),"БЛОК: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договору")&gt;0)*($C$5:$C$504&lt;&gt;C260)*($E$5:$E$504=E260)*(($D$5:$D$504=D260)*(D260&lt;&gt;"")+($B$5:$B$504=B260)*(B260&lt;&gt;"")&gt;0))&gt;0,"БЛОК: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260" s="5">
        <f>IF(AND(B260="",C260="",E260=""),"",SUM($G$5:G260))</f>
        <v/>
      </c>
    </row>
    <row r="261">
      <c r="A261" s="6" t="n">
        <v>257</v>
      </c>
      <c r="B261" s="7" t="n"/>
      <c r="C261" s="8" t="n"/>
      <c r="D261" s="8" t="n"/>
      <c r="E261" s="9" t="n"/>
      <c r="F261" s="8" t="n"/>
      <c r="G261" s="5">
        <f>IF(OR(C261="",E261=""),0,IF(C261="Начисление по акту",E261,IF(OR(C261="Оплата",C261="Зачёт аванса по договору"),-E261,IF(C261="Корректировка (подписана обеими сторонами)",E261,0))))</f>
        <v/>
      </c>
      <c r="H261" s="5">
        <f>IF(OR(C261="Удержание",C261="Зачёт встречного требования",C261="Неустойка заявлена"),N(E261),0)</f>
        <v/>
      </c>
      <c r="I261" s="6">
        <f>IF(AND(B261="",C261="",D261="",E261="",F261=""),"",IF(OR(B261="",C261="",E261=""),"БЛОК: нужны дата, тип операции и сумма",IF(N(E261)&lt;=0,"БЛОК: сумма должна быть больше нуля",IF(AND(G261&lt;&gt;0,F261=""),"БЛОК: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нельзя",IF(AND(F261&lt;&gt;"",COUNTIF('Долг по актам'!$B$5:$B$34,F261)=0),"БЛОК: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договору")&gt;0)*($C$5:$C$504&lt;&gt;C261)*($E$5:$E$504=E261)*(($D$5:$D$504=D261)*(D261&lt;&gt;"")+($B$5:$B$504=B261)*(B261&lt;&gt;"")&gt;0))&gt;0,"БЛОК: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261" s="5">
        <f>IF(AND(B261="",C261="",E261=""),"",SUM($G$5:G261))</f>
        <v/>
      </c>
    </row>
    <row r="262">
      <c r="A262" s="6" t="n">
        <v>258</v>
      </c>
      <c r="B262" s="7" t="n"/>
      <c r="C262" s="8" t="n"/>
      <c r="D262" s="8" t="n"/>
      <c r="E262" s="9" t="n"/>
      <c r="F262" s="8" t="n"/>
      <c r="G262" s="5">
        <f>IF(OR(C262="",E262=""),0,IF(C262="Начисление по акту",E262,IF(OR(C262="Оплата",C262="Зачёт аванса по договору"),-E262,IF(C262="Корректировка (подписана обеими сторонами)",E262,0))))</f>
        <v/>
      </c>
      <c r="H262" s="5">
        <f>IF(OR(C262="Удержание",C262="Зачёт встречного требования",C262="Неустойка заявлена"),N(E262),0)</f>
        <v/>
      </c>
      <c r="I262" s="6">
        <f>IF(AND(B262="",C262="",D262="",E262="",F262=""),"",IF(OR(B262="",C262="",E262=""),"БЛОК: нужны дата, тип операции и сумма",IF(N(E262)&lt;=0,"БЛОК: сумма должна быть больше нуля",IF(AND(G262&lt;&gt;0,F262=""),"БЛОК: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нельзя",IF(AND(F262&lt;&gt;"",COUNTIF('Долг по актам'!$B$5:$B$34,F262)=0),"БЛОК: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договору")&gt;0)*($C$5:$C$504&lt;&gt;C262)*($E$5:$E$504=E262)*(($D$5:$D$504=D262)*(D262&lt;&gt;"")+($B$5:$B$504=B262)*(B262&lt;&gt;"")&gt;0))&gt;0,"БЛОК: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262" s="5">
        <f>IF(AND(B262="",C262="",E262=""),"",SUM($G$5:G262))</f>
        <v/>
      </c>
    </row>
    <row r="263">
      <c r="A263" s="6" t="n">
        <v>259</v>
      </c>
      <c r="B263" s="7" t="n"/>
      <c r="C263" s="8" t="n"/>
      <c r="D263" s="8" t="n"/>
      <c r="E263" s="9" t="n"/>
      <c r="F263" s="8" t="n"/>
      <c r="G263" s="5">
        <f>IF(OR(C263="",E263=""),0,IF(C263="Начисление по акту",E263,IF(OR(C263="Оплата",C263="Зачёт аванса по договору"),-E263,IF(C263="Корректировка (подписана обеими сторонами)",E263,0))))</f>
        <v/>
      </c>
      <c r="H263" s="5">
        <f>IF(OR(C263="Удержание",C263="Зачёт встречного требования",C263="Неустойка заявлена"),N(E263),0)</f>
        <v/>
      </c>
      <c r="I263" s="6">
        <f>IF(AND(B263="",C263="",D263="",E263="",F263=""),"",IF(OR(B263="",C263="",E263=""),"БЛОК: нужны дата, тип операции и сумма",IF(N(E263)&lt;=0,"БЛОК: сумма должна быть больше нуля",IF(AND(G263&lt;&gt;0,F263=""),"БЛОК: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нельзя",IF(AND(F263&lt;&gt;"",COUNTIF('Долг по актам'!$B$5:$B$34,F263)=0),"БЛОК: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договору")&gt;0)*($C$5:$C$504&lt;&gt;C263)*($E$5:$E$504=E263)*(($D$5:$D$504=D263)*(D263&lt;&gt;"")+($B$5:$B$504=B263)*(B263&lt;&gt;"")&gt;0))&gt;0,"БЛОК: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263" s="5">
        <f>IF(AND(B263="",C263="",E263=""),"",SUM($G$5:G263))</f>
        <v/>
      </c>
    </row>
    <row r="264">
      <c r="A264" s="6" t="n">
        <v>260</v>
      </c>
      <c r="B264" s="7" t="n"/>
      <c r="C264" s="8" t="n"/>
      <c r="D264" s="8" t="n"/>
      <c r="E264" s="9" t="n"/>
      <c r="F264" s="8" t="n"/>
      <c r="G264" s="5">
        <f>IF(OR(C264="",E264=""),0,IF(C264="Начисление по акту",E264,IF(OR(C264="Оплата",C264="Зачёт аванса по договору"),-E264,IF(C264="Корректировка (подписана обеими сторонами)",E264,0))))</f>
        <v/>
      </c>
      <c r="H264" s="5">
        <f>IF(OR(C264="Удержание",C264="Зачёт встречного требования",C264="Неустойка заявлена"),N(E264),0)</f>
        <v/>
      </c>
      <c r="I264" s="6">
        <f>IF(AND(B264="",C264="",D264="",E264="",F264=""),"",IF(OR(B264="",C264="",E264=""),"БЛОК: нужны дата, тип операции и сумма",IF(N(E264)&lt;=0,"БЛОК: сумма должна быть больше нуля",IF(AND(G264&lt;&gt;0,F264=""),"БЛОК: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нельзя",IF(AND(F264&lt;&gt;"",COUNTIF('Долг по актам'!$B$5:$B$34,F264)=0),"БЛОК: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договору")&gt;0)*($C$5:$C$504&lt;&gt;C264)*($E$5:$E$504=E264)*(($D$5:$D$504=D264)*(D264&lt;&gt;"")+($B$5:$B$504=B264)*(B264&lt;&gt;"")&gt;0))&gt;0,"БЛОК: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264" s="5">
        <f>IF(AND(B264="",C264="",E264=""),"",SUM($G$5:G264))</f>
        <v/>
      </c>
    </row>
    <row r="265">
      <c r="A265" s="6" t="n">
        <v>261</v>
      </c>
      <c r="B265" s="7" t="n"/>
      <c r="C265" s="8" t="n"/>
      <c r="D265" s="8" t="n"/>
      <c r="E265" s="9" t="n"/>
      <c r="F265" s="8" t="n"/>
      <c r="G265" s="5">
        <f>IF(OR(C265="",E265=""),0,IF(C265="Начисление по акту",E265,IF(OR(C265="Оплата",C265="Зачёт аванса по договору"),-E265,IF(C265="Корректировка (подписана обеими сторонами)",E265,0))))</f>
        <v/>
      </c>
      <c r="H265" s="5">
        <f>IF(OR(C265="Удержание",C265="Зачёт встречного требования",C265="Неустойка заявлена"),N(E265),0)</f>
        <v/>
      </c>
      <c r="I265" s="6">
        <f>IF(AND(B265="",C265="",D265="",E265="",F265=""),"",IF(OR(B265="",C265="",E265=""),"БЛОК: нужны дата, тип операции и сумма",IF(N(E265)&lt;=0,"БЛОК: сумма должна быть больше нуля",IF(AND(G265&lt;&gt;0,F265=""),"БЛОК: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нельзя",IF(AND(F265&lt;&gt;"",COUNTIF('Долг по актам'!$B$5:$B$34,F265)=0),"БЛОК: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договору")&gt;0)*($C$5:$C$504&lt;&gt;C265)*($E$5:$E$504=E265)*(($D$5:$D$504=D265)*(D265&lt;&gt;"")+($B$5:$B$504=B265)*(B265&lt;&gt;"")&gt;0))&gt;0,"БЛОК: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265" s="5">
        <f>IF(AND(B265="",C265="",E265=""),"",SUM($G$5:G265))</f>
        <v/>
      </c>
    </row>
    <row r="266">
      <c r="A266" s="6" t="n">
        <v>262</v>
      </c>
      <c r="B266" s="7" t="n"/>
      <c r="C266" s="8" t="n"/>
      <c r="D266" s="8" t="n"/>
      <c r="E266" s="9" t="n"/>
      <c r="F266" s="8" t="n"/>
      <c r="G266" s="5">
        <f>IF(OR(C266="",E266=""),0,IF(C266="Начисление по акту",E266,IF(OR(C266="Оплата",C266="Зачёт аванса по договору"),-E266,IF(C266="Корректировка (подписана обеими сторонами)",E266,0))))</f>
        <v/>
      </c>
      <c r="H266" s="5">
        <f>IF(OR(C266="Удержание",C266="Зачёт встречного требования",C266="Неустойка заявлена"),N(E266),0)</f>
        <v/>
      </c>
      <c r="I266" s="6">
        <f>IF(AND(B266="",C266="",D266="",E266="",F266=""),"",IF(OR(B266="",C266="",E266=""),"БЛОК: нужны дата, тип операции и сумма",IF(N(E266)&lt;=0,"БЛОК: сумма должна быть больше нуля",IF(AND(G266&lt;&gt;0,F266=""),"БЛОК: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нельзя",IF(AND(F266&lt;&gt;"",COUNTIF('Долг по актам'!$B$5:$B$34,F266)=0),"БЛОК: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договору")&gt;0)*($C$5:$C$504&lt;&gt;C266)*($E$5:$E$504=E266)*(($D$5:$D$504=D266)*(D266&lt;&gt;"")+($B$5:$B$504=B266)*(B266&lt;&gt;"")&gt;0))&gt;0,"БЛОК: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266" s="5">
        <f>IF(AND(B266="",C266="",E266=""),"",SUM($G$5:G266))</f>
        <v/>
      </c>
    </row>
    <row r="267">
      <c r="A267" s="6" t="n">
        <v>263</v>
      </c>
      <c r="B267" s="7" t="n"/>
      <c r="C267" s="8" t="n"/>
      <c r="D267" s="8" t="n"/>
      <c r="E267" s="9" t="n"/>
      <c r="F267" s="8" t="n"/>
      <c r="G267" s="5">
        <f>IF(OR(C267="",E267=""),0,IF(C267="Начисление по акту",E267,IF(OR(C267="Оплата",C267="Зачёт аванса по договору"),-E267,IF(C267="Корректировка (подписана обеими сторонами)",E267,0))))</f>
        <v/>
      </c>
      <c r="H267" s="5">
        <f>IF(OR(C267="Удержание",C267="Зачёт встречного требования",C267="Неустойка заявлена"),N(E267),0)</f>
        <v/>
      </c>
      <c r="I267" s="6">
        <f>IF(AND(B267="",C267="",D267="",E267="",F267=""),"",IF(OR(B267="",C267="",E267=""),"БЛОК: нужны дата, тип операции и сумма",IF(N(E267)&lt;=0,"БЛОК: сумма должна быть больше нуля",IF(AND(G267&lt;&gt;0,F267=""),"БЛОК: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нельзя",IF(AND(F267&lt;&gt;"",COUNTIF('Долг по актам'!$B$5:$B$34,F267)=0),"БЛОК: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договору")&gt;0)*($C$5:$C$504&lt;&gt;C267)*($E$5:$E$504=E267)*(($D$5:$D$504=D267)*(D267&lt;&gt;"")+($B$5:$B$504=B267)*(B267&lt;&gt;"")&gt;0))&gt;0,"БЛОК: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267" s="5">
        <f>IF(AND(B267="",C267="",E267=""),"",SUM($G$5:G267))</f>
        <v/>
      </c>
    </row>
    <row r="268">
      <c r="A268" s="6" t="n">
        <v>264</v>
      </c>
      <c r="B268" s="7" t="n"/>
      <c r="C268" s="8" t="n"/>
      <c r="D268" s="8" t="n"/>
      <c r="E268" s="9" t="n"/>
      <c r="F268" s="8" t="n"/>
      <c r="G268" s="5">
        <f>IF(OR(C268="",E268=""),0,IF(C268="Начисление по акту",E268,IF(OR(C268="Оплата",C268="Зачёт аванса по договору"),-E268,IF(C268="Корректировка (подписана обеими сторонами)",E268,0))))</f>
        <v/>
      </c>
      <c r="H268" s="5">
        <f>IF(OR(C268="Удержание",C268="Зачёт встречного требования",C268="Неустойка заявлена"),N(E268),0)</f>
        <v/>
      </c>
      <c r="I268" s="6">
        <f>IF(AND(B268="",C268="",D268="",E268="",F268=""),"",IF(OR(B268="",C268="",E268=""),"БЛОК: нужны дата, тип операции и сумма",IF(N(E268)&lt;=0,"БЛОК: сумма должна быть больше нуля",IF(AND(G268&lt;&gt;0,F268=""),"БЛОК: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нельзя",IF(AND(F268&lt;&gt;"",COUNTIF('Долг по актам'!$B$5:$B$34,F268)=0),"БЛОК: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договору")&gt;0)*($C$5:$C$504&lt;&gt;C268)*($E$5:$E$504=E268)*(($D$5:$D$504=D268)*(D268&lt;&gt;"")+($B$5:$B$504=B268)*(B268&lt;&gt;"")&gt;0))&gt;0,"БЛОК: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268" s="5">
        <f>IF(AND(B268="",C268="",E268=""),"",SUM($G$5:G268))</f>
        <v/>
      </c>
    </row>
    <row r="269">
      <c r="A269" s="6" t="n">
        <v>265</v>
      </c>
      <c r="B269" s="7" t="n"/>
      <c r="C269" s="8" t="n"/>
      <c r="D269" s="8" t="n"/>
      <c r="E269" s="9" t="n"/>
      <c r="F269" s="8" t="n"/>
      <c r="G269" s="5">
        <f>IF(OR(C269="",E269=""),0,IF(C269="Начисление по акту",E269,IF(OR(C269="Оплата",C269="Зачёт аванса по договору"),-E269,IF(C269="Корректировка (подписана обеими сторонами)",E269,0))))</f>
        <v/>
      </c>
      <c r="H269" s="5">
        <f>IF(OR(C269="Удержание",C269="Зачёт встречного требования",C269="Неустойка заявлена"),N(E269),0)</f>
        <v/>
      </c>
      <c r="I269" s="6">
        <f>IF(AND(B269="",C269="",D269="",E269="",F269=""),"",IF(OR(B269="",C269="",E269=""),"БЛОК: нужны дата, тип операции и сумма",IF(N(E269)&lt;=0,"БЛОК: сумма должна быть больше нуля",IF(AND(G269&lt;&gt;0,F269=""),"БЛОК: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нельзя",IF(AND(F269&lt;&gt;"",COUNTIF('Долг по актам'!$B$5:$B$34,F269)=0),"БЛОК: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договору")&gt;0)*($C$5:$C$504&lt;&gt;C269)*($E$5:$E$504=E269)*(($D$5:$D$504=D269)*(D269&lt;&gt;"")+($B$5:$B$504=B269)*(B269&lt;&gt;"")&gt;0))&gt;0,"БЛОК: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269" s="5">
        <f>IF(AND(B269="",C269="",E269=""),"",SUM($G$5:G269))</f>
        <v/>
      </c>
    </row>
    <row r="270">
      <c r="A270" s="6" t="n">
        <v>266</v>
      </c>
      <c r="B270" s="7" t="n"/>
      <c r="C270" s="8" t="n"/>
      <c r="D270" s="8" t="n"/>
      <c r="E270" s="9" t="n"/>
      <c r="F270" s="8" t="n"/>
      <c r="G270" s="5">
        <f>IF(OR(C270="",E270=""),0,IF(C270="Начисление по акту",E270,IF(OR(C270="Оплата",C270="Зачёт аванса по договору"),-E270,IF(C270="Корректировка (подписана обеими сторонами)",E270,0))))</f>
        <v/>
      </c>
      <c r="H270" s="5">
        <f>IF(OR(C270="Удержание",C270="Зачёт встречного требования",C270="Неустойка заявлена"),N(E270),0)</f>
        <v/>
      </c>
      <c r="I270" s="6">
        <f>IF(AND(B270="",C270="",D270="",E270="",F270=""),"",IF(OR(B270="",C270="",E270=""),"БЛОК: нужны дата, тип операции и сумма",IF(N(E270)&lt;=0,"БЛОК: сумма должна быть больше нуля",IF(AND(G270&lt;&gt;0,F270=""),"БЛОК: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нельзя",IF(AND(F270&lt;&gt;"",COUNTIF('Долг по актам'!$B$5:$B$34,F270)=0),"БЛОК: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договору")&gt;0)*($C$5:$C$504&lt;&gt;C270)*($E$5:$E$504=E270)*(($D$5:$D$504=D270)*(D270&lt;&gt;"")+($B$5:$B$504=B270)*(B270&lt;&gt;"")&gt;0))&gt;0,"БЛОК: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270" s="5">
        <f>IF(AND(B270="",C270="",E270=""),"",SUM($G$5:G270))</f>
        <v/>
      </c>
    </row>
    <row r="271">
      <c r="A271" s="6" t="n">
        <v>267</v>
      </c>
      <c r="B271" s="7" t="n"/>
      <c r="C271" s="8" t="n"/>
      <c r="D271" s="8" t="n"/>
      <c r="E271" s="9" t="n"/>
      <c r="F271" s="8" t="n"/>
      <c r="G271" s="5">
        <f>IF(OR(C271="",E271=""),0,IF(C271="Начисление по акту",E271,IF(OR(C271="Оплата",C271="Зачёт аванса по договору"),-E271,IF(C271="Корректировка (подписана обеими сторонами)",E271,0))))</f>
        <v/>
      </c>
      <c r="H271" s="5">
        <f>IF(OR(C271="Удержание",C271="Зачёт встречного требования",C271="Неустойка заявлена"),N(E271),0)</f>
        <v/>
      </c>
      <c r="I271" s="6">
        <f>IF(AND(B271="",C271="",D271="",E271="",F271=""),"",IF(OR(B271="",C271="",E271=""),"БЛОК: нужны дата, тип операции и сумма",IF(N(E271)&lt;=0,"БЛОК: сумма должна быть больше нуля",IF(AND(G271&lt;&gt;0,F271=""),"БЛОК: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нельзя",IF(AND(F271&lt;&gt;"",COUNTIF('Долг по актам'!$B$5:$B$34,F271)=0),"БЛОК: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договору")&gt;0)*($C$5:$C$504&lt;&gt;C271)*($E$5:$E$504=E271)*(($D$5:$D$504=D271)*(D271&lt;&gt;"")+($B$5:$B$504=B271)*(B271&lt;&gt;"")&gt;0))&gt;0,"БЛОК: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271" s="5">
        <f>IF(AND(B271="",C271="",E271=""),"",SUM($G$5:G271))</f>
        <v/>
      </c>
    </row>
    <row r="272">
      <c r="A272" s="6" t="n">
        <v>268</v>
      </c>
      <c r="B272" s="7" t="n"/>
      <c r="C272" s="8" t="n"/>
      <c r="D272" s="8" t="n"/>
      <c r="E272" s="9" t="n"/>
      <c r="F272" s="8" t="n"/>
      <c r="G272" s="5">
        <f>IF(OR(C272="",E272=""),0,IF(C272="Начисление по акту",E272,IF(OR(C272="Оплата",C272="Зачёт аванса по договору"),-E272,IF(C272="Корректировка (подписана обеими сторонами)",E272,0))))</f>
        <v/>
      </c>
      <c r="H272" s="5">
        <f>IF(OR(C272="Удержание",C272="Зачёт встречного требования",C272="Неустойка заявлена"),N(E272),0)</f>
        <v/>
      </c>
      <c r="I272" s="6">
        <f>IF(AND(B272="",C272="",D272="",E272="",F272=""),"",IF(OR(B272="",C272="",E272=""),"БЛОК: нужны дата, тип операции и сумма",IF(N(E272)&lt;=0,"БЛОК: сумма должна быть больше нуля",IF(AND(G272&lt;&gt;0,F272=""),"БЛОК: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нельзя",IF(AND(F272&lt;&gt;"",COUNTIF('Долг по актам'!$B$5:$B$34,F272)=0),"БЛОК: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договору")&gt;0)*($C$5:$C$504&lt;&gt;C272)*($E$5:$E$504=E272)*(($D$5:$D$504=D272)*(D272&lt;&gt;"")+($B$5:$B$504=B272)*(B272&lt;&gt;"")&gt;0))&gt;0,"БЛОК: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272" s="5">
        <f>IF(AND(B272="",C272="",E272=""),"",SUM($G$5:G272))</f>
        <v/>
      </c>
    </row>
    <row r="273">
      <c r="A273" s="6" t="n">
        <v>269</v>
      </c>
      <c r="B273" s="7" t="n"/>
      <c r="C273" s="8" t="n"/>
      <c r="D273" s="8" t="n"/>
      <c r="E273" s="9" t="n"/>
      <c r="F273" s="8" t="n"/>
      <c r="G273" s="5">
        <f>IF(OR(C273="",E273=""),0,IF(C273="Начисление по акту",E273,IF(OR(C273="Оплата",C273="Зачёт аванса по договору"),-E273,IF(C273="Корректировка (подписана обеими сторонами)",E273,0))))</f>
        <v/>
      </c>
      <c r="H273" s="5">
        <f>IF(OR(C273="Удержание",C273="Зачёт встречного требования",C273="Неустойка заявлена"),N(E273),0)</f>
        <v/>
      </c>
      <c r="I273" s="6">
        <f>IF(AND(B273="",C273="",D273="",E273="",F273=""),"",IF(OR(B273="",C273="",E273=""),"БЛОК: нужны дата, тип операции и сумма",IF(N(E273)&lt;=0,"БЛОК: сумма должна быть больше нуля",IF(AND(G273&lt;&gt;0,F273=""),"БЛОК: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нельзя",IF(AND(F273&lt;&gt;"",COUNTIF('Долг по актам'!$B$5:$B$34,F273)=0),"БЛОК: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договору")&gt;0)*($C$5:$C$504&lt;&gt;C273)*($E$5:$E$504=E273)*(($D$5:$D$504=D273)*(D273&lt;&gt;"")+($B$5:$B$504=B273)*(B273&lt;&gt;"")&gt;0))&gt;0,"БЛОК: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273" s="5">
        <f>IF(AND(B273="",C273="",E273=""),"",SUM($G$5:G273))</f>
        <v/>
      </c>
    </row>
    <row r="274">
      <c r="A274" s="6" t="n">
        <v>270</v>
      </c>
      <c r="B274" s="7" t="n"/>
      <c r="C274" s="8" t="n"/>
      <c r="D274" s="8" t="n"/>
      <c r="E274" s="9" t="n"/>
      <c r="F274" s="8" t="n"/>
      <c r="G274" s="5">
        <f>IF(OR(C274="",E274=""),0,IF(C274="Начисление по акту",E274,IF(OR(C274="Оплата",C274="Зачёт аванса по договору"),-E274,IF(C274="Корректировка (подписана обеими сторонами)",E274,0))))</f>
        <v/>
      </c>
      <c r="H274" s="5">
        <f>IF(OR(C274="Удержание",C274="Зачёт встречного требования",C274="Неустойка заявлена"),N(E274),0)</f>
        <v/>
      </c>
      <c r="I274" s="6">
        <f>IF(AND(B274="",C274="",D274="",E274="",F274=""),"",IF(OR(B274="",C274="",E274=""),"БЛОК: нужны дата, тип операции и сумма",IF(N(E274)&lt;=0,"БЛОК: сумма должна быть больше нуля",IF(AND(G274&lt;&gt;0,F274=""),"БЛОК: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нельзя",IF(AND(F274&lt;&gt;"",COUNTIF('Долг по актам'!$B$5:$B$34,F274)=0),"БЛОК: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договору")&gt;0)*($C$5:$C$504&lt;&gt;C274)*($E$5:$E$504=E274)*(($D$5:$D$504=D274)*(D274&lt;&gt;"")+($B$5:$B$504=B274)*(B274&lt;&gt;"")&gt;0))&gt;0,"БЛОК: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274" s="5">
        <f>IF(AND(B274="",C274="",E274=""),"",SUM($G$5:G274))</f>
        <v/>
      </c>
    </row>
    <row r="275">
      <c r="A275" s="6" t="n">
        <v>271</v>
      </c>
      <c r="B275" s="7" t="n"/>
      <c r="C275" s="8" t="n"/>
      <c r="D275" s="8" t="n"/>
      <c r="E275" s="9" t="n"/>
      <c r="F275" s="8" t="n"/>
      <c r="G275" s="5">
        <f>IF(OR(C275="",E275=""),0,IF(C275="Начисление по акту",E275,IF(OR(C275="Оплата",C275="Зачёт аванса по договору"),-E275,IF(C275="Корректировка (подписана обеими сторонами)",E275,0))))</f>
        <v/>
      </c>
      <c r="H275" s="5">
        <f>IF(OR(C275="Удержание",C275="Зачёт встречного требования",C275="Неустойка заявлена"),N(E275),0)</f>
        <v/>
      </c>
      <c r="I275" s="6">
        <f>IF(AND(B275="",C275="",D275="",E275="",F275=""),"",IF(OR(B275="",C275="",E275=""),"БЛОК: нужны дата, тип операции и сумма",IF(N(E275)&lt;=0,"БЛОК: сумма должна быть больше нуля",IF(AND(G275&lt;&gt;0,F275=""),"БЛОК: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нельзя",IF(AND(F275&lt;&gt;"",COUNTIF('Долг по актам'!$B$5:$B$34,F275)=0),"БЛОК: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договору")&gt;0)*($C$5:$C$504&lt;&gt;C275)*($E$5:$E$504=E275)*(($D$5:$D$504=D275)*(D275&lt;&gt;"")+($B$5:$B$504=B275)*(B275&lt;&gt;"")&gt;0))&gt;0,"БЛОК: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275" s="5">
        <f>IF(AND(B275="",C275="",E275=""),"",SUM($G$5:G275))</f>
        <v/>
      </c>
    </row>
    <row r="276">
      <c r="A276" s="6" t="n">
        <v>272</v>
      </c>
      <c r="B276" s="7" t="n"/>
      <c r="C276" s="8" t="n"/>
      <c r="D276" s="8" t="n"/>
      <c r="E276" s="9" t="n"/>
      <c r="F276" s="8" t="n"/>
      <c r="G276" s="5">
        <f>IF(OR(C276="",E276=""),0,IF(C276="Начисление по акту",E276,IF(OR(C276="Оплата",C276="Зачёт аванса по договору"),-E276,IF(C276="Корректировка (подписана обеими сторонами)",E276,0))))</f>
        <v/>
      </c>
      <c r="H276" s="5">
        <f>IF(OR(C276="Удержание",C276="Зачёт встречного требования",C276="Неустойка заявлена"),N(E276),0)</f>
        <v/>
      </c>
      <c r="I276" s="6">
        <f>IF(AND(B276="",C276="",D276="",E276="",F276=""),"",IF(OR(B276="",C276="",E276=""),"БЛОК: нужны дата, тип операции и сумма",IF(N(E276)&lt;=0,"БЛОК: сумма должна быть больше нуля",IF(AND(G276&lt;&gt;0,F276=""),"БЛОК: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нельзя",IF(AND(F276&lt;&gt;"",COUNTIF('Долг по актам'!$B$5:$B$34,F276)=0),"БЛОК: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договору")&gt;0)*($C$5:$C$504&lt;&gt;C276)*($E$5:$E$504=E276)*(($D$5:$D$504=D276)*(D276&lt;&gt;"")+($B$5:$B$504=B276)*(B276&lt;&gt;"")&gt;0))&gt;0,"БЛОК: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276" s="5">
        <f>IF(AND(B276="",C276="",E276=""),"",SUM($G$5:G276))</f>
        <v/>
      </c>
    </row>
    <row r="277">
      <c r="A277" s="6" t="n">
        <v>273</v>
      </c>
      <c r="B277" s="7" t="n"/>
      <c r="C277" s="8" t="n"/>
      <c r="D277" s="8" t="n"/>
      <c r="E277" s="9" t="n"/>
      <c r="F277" s="8" t="n"/>
      <c r="G277" s="5">
        <f>IF(OR(C277="",E277=""),0,IF(C277="Начисление по акту",E277,IF(OR(C277="Оплата",C277="Зачёт аванса по договору"),-E277,IF(C277="Корректировка (подписана обеими сторонами)",E277,0))))</f>
        <v/>
      </c>
      <c r="H277" s="5">
        <f>IF(OR(C277="Удержание",C277="Зачёт встречного требования",C277="Неустойка заявлена"),N(E277),0)</f>
        <v/>
      </c>
      <c r="I277" s="6">
        <f>IF(AND(B277="",C277="",D277="",E277="",F277=""),"",IF(OR(B277="",C277="",E277=""),"БЛОК: нужны дата, тип операции и сумма",IF(N(E277)&lt;=0,"БЛОК: сумма должна быть больше нуля",IF(AND(G277&lt;&gt;0,F277=""),"БЛОК: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нельзя",IF(AND(F277&lt;&gt;"",COUNTIF('Долг по актам'!$B$5:$B$34,F277)=0),"БЛОК: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договору")&gt;0)*($C$5:$C$504&lt;&gt;C277)*($E$5:$E$504=E277)*(($D$5:$D$504=D277)*(D277&lt;&gt;"")+($B$5:$B$504=B277)*(B277&lt;&gt;"")&gt;0))&gt;0,"БЛОК: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277" s="5">
        <f>IF(AND(B277="",C277="",E277=""),"",SUM($G$5:G277))</f>
        <v/>
      </c>
    </row>
    <row r="278">
      <c r="A278" s="6" t="n">
        <v>274</v>
      </c>
      <c r="B278" s="7" t="n"/>
      <c r="C278" s="8" t="n"/>
      <c r="D278" s="8" t="n"/>
      <c r="E278" s="9" t="n"/>
      <c r="F278" s="8" t="n"/>
      <c r="G278" s="5">
        <f>IF(OR(C278="",E278=""),0,IF(C278="Начисление по акту",E278,IF(OR(C278="Оплата",C278="Зачёт аванса по договору"),-E278,IF(C278="Корректировка (подписана обеими сторонами)",E278,0))))</f>
        <v/>
      </c>
      <c r="H278" s="5">
        <f>IF(OR(C278="Удержание",C278="Зачёт встречного требования",C278="Неустойка заявлена"),N(E278),0)</f>
        <v/>
      </c>
      <c r="I278" s="6">
        <f>IF(AND(B278="",C278="",D278="",E278="",F278=""),"",IF(OR(B278="",C278="",E278=""),"БЛОК: нужны дата, тип операции и сумма",IF(N(E278)&lt;=0,"БЛОК: сумма должна быть больше нуля",IF(AND(G278&lt;&gt;0,F278=""),"БЛОК: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нельзя",IF(AND(F278&lt;&gt;"",COUNTIF('Долг по актам'!$B$5:$B$34,F278)=0),"БЛОК: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договору")&gt;0)*($C$5:$C$504&lt;&gt;C278)*($E$5:$E$504=E278)*(($D$5:$D$504=D278)*(D278&lt;&gt;"")+($B$5:$B$504=B278)*(B278&lt;&gt;"")&gt;0))&gt;0,"БЛОК: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278" s="5">
        <f>IF(AND(B278="",C278="",E278=""),"",SUM($G$5:G278))</f>
        <v/>
      </c>
    </row>
    <row r="279">
      <c r="A279" s="6" t="n">
        <v>275</v>
      </c>
      <c r="B279" s="7" t="n"/>
      <c r="C279" s="8" t="n"/>
      <c r="D279" s="8" t="n"/>
      <c r="E279" s="9" t="n"/>
      <c r="F279" s="8" t="n"/>
      <c r="G279" s="5">
        <f>IF(OR(C279="",E279=""),0,IF(C279="Начисление по акту",E279,IF(OR(C279="Оплата",C279="Зачёт аванса по договору"),-E279,IF(C279="Корректировка (подписана обеими сторонами)",E279,0))))</f>
        <v/>
      </c>
      <c r="H279" s="5">
        <f>IF(OR(C279="Удержание",C279="Зачёт встречного требования",C279="Неустойка заявлена"),N(E279),0)</f>
        <v/>
      </c>
      <c r="I279" s="6">
        <f>IF(AND(B279="",C279="",D279="",E279="",F279=""),"",IF(OR(B279="",C279="",E279=""),"БЛОК: нужны дата, тип операции и сумма",IF(N(E279)&lt;=0,"БЛОК: сумма должна быть больше нуля",IF(AND(G279&lt;&gt;0,F279=""),"БЛОК: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нельзя",IF(AND(F279&lt;&gt;"",COUNTIF('Долг по актам'!$B$5:$B$34,F279)=0),"БЛОК: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договору")&gt;0)*($C$5:$C$504&lt;&gt;C279)*($E$5:$E$504=E279)*(($D$5:$D$504=D279)*(D279&lt;&gt;"")+($B$5:$B$504=B279)*(B279&lt;&gt;"")&gt;0))&gt;0,"БЛОК: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279" s="5">
        <f>IF(AND(B279="",C279="",E279=""),"",SUM($G$5:G279))</f>
        <v/>
      </c>
    </row>
    <row r="280">
      <c r="A280" s="6" t="n">
        <v>276</v>
      </c>
      <c r="B280" s="7" t="n"/>
      <c r="C280" s="8" t="n"/>
      <c r="D280" s="8" t="n"/>
      <c r="E280" s="9" t="n"/>
      <c r="F280" s="8" t="n"/>
      <c r="G280" s="5">
        <f>IF(OR(C280="",E280=""),0,IF(C280="Начисление по акту",E280,IF(OR(C280="Оплата",C280="Зачёт аванса по договору"),-E280,IF(C280="Корректировка (подписана обеими сторонами)",E280,0))))</f>
        <v/>
      </c>
      <c r="H280" s="5">
        <f>IF(OR(C280="Удержание",C280="Зачёт встречного требования",C280="Неустойка заявлена"),N(E280),0)</f>
        <v/>
      </c>
      <c r="I280" s="6">
        <f>IF(AND(B280="",C280="",D280="",E280="",F280=""),"",IF(OR(B280="",C280="",E280=""),"БЛОК: нужны дата, тип операции и сумма",IF(N(E280)&lt;=0,"БЛОК: сумма должна быть больше нуля",IF(AND(G280&lt;&gt;0,F280=""),"БЛОК: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нельзя",IF(AND(F280&lt;&gt;"",COUNTIF('Долг по актам'!$B$5:$B$34,F280)=0),"БЛОК: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договору")&gt;0)*($C$5:$C$504&lt;&gt;C280)*($E$5:$E$504=E280)*(($D$5:$D$504=D280)*(D280&lt;&gt;"")+($B$5:$B$504=B280)*(B280&lt;&gt;"")&gt;0))&gt;0,"БЛОК: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280" s="5">
        <f>IF(AND(B280="",C280="",E280=""),"",SUM($G$5:G280))</f>
        <v/>
      </c>
    </row>
    <row r="281">
      <c r="A281" s="6" t="n">
        <v>277</v>
      </c>
      <c r="B281" s="7" t="n"/>
      <c r="C281" s="8" t="n"/>
      <c r="D281" s="8" t="n"/>
      <c r="E281" s="9" t="n"/>
      <c r="F281" s="8" t="n"/>
      <c r="G281" s="5">
        <f>IF(OR(C281="",E281=""),0,IF(C281="Начисление по акту",E281,IF(OR(C281="Оплата",C281="Зачёт аванса по договору"),-E281,IF(C281="Корректировка (подписана обеими сторонами)",E281,0))))</f>
        <v/>
      </c>
      <c r="H281" s="5">
        <f>IF(OR(C281="Удержание",C281="Зачёт встречного требования",C281="Неустойка заявлена"),N(E281),0)</f>
        <v/>
      </c>
      <c r="I281" s="6">
        <f>IF(AND(B281="",C281="",D281="",E281="",F281=""),"",IF(OR(B281="",C281="",E281=""),"БЛОК: нужны дата, тип операции и сумма",IF(N(E281)&lt;=0,"БЛОК: сумма должна быть больше нуля",IF(AND(G281&lt;&gt;0,F281=""),"БЛОК: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нельзя",IF(AND(F281&lt;&gt;"",COUNTIF('Долг по актам'!$B$5:$B$34,F281)=0),"БЛОК: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договору")&gt;0)*($C$5:$C$504&lt;&gt;C281)*($E$5:$E$504=E281)*(($D$5:$D$504=D281)*(D281&lt;&gt;"")+($B$5:$B$504=B281)*(B281&lt;&gt;"")&gt;0))&gt;0,"БЛОК: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281" s="5">
        <f>IF(AND(B281="",C281="",E281=""),"",SUM($G$5:G281))</f>
        <v/>
      </c>
    </row>
    <row r="282">
      <c r="A282" s="6" t="n">
        <v>278</v>
      </c>
      <c r="B282" s="7" t="n"/>
      <c r="C282" s="8" t="n"/>
      <c r="D282" s="8" t="n"/>
      <c r="E282" s="9" t="n"/>
      <c r="F282" s="8" t="n"/>
      <c r="G282" s="5">
        <f>IF(OR(C282="",E282=""),0,IF(C282="Начисление по акту",E282,IF(OR(C282="Оплата",C282="Зачёт аванса по договору"),-E282,IF(C282="Корректировка (подписана обеими сторонами)",E282,0))))</f>
        <v/>
      </c>
      <c r="H282" s="5">
        <f>IF(OR(C282="Удержание",C282="Зачёт встречного требования",C282="Неустойка заявлена"),N(E282),0)</f>
        <v/>
      </c>
      <c r="I282" s="6">
        <f>IF(AND(B282="",C282="",D282="",E282="",F282=""),"",IF(OR(B282="",C282="",E282=""),"БЛОК: нужны дата, тип операции и сумма",IF(N(E282)&lt;=0,"БЛОК: сумма должна быть больше нуля",IF(AND(G282&lt;&gt;0,F282=""),"БЛОК: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нельзя",IF(AND(F282&lt;&gt;"",COUNTIF('Долг по актам'!$B$5:$B$34,F282)=0),"БЛОК: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договору")&gt;0)*($C$5:$C$504&lt;&gt;C282)*($E$5:$E$504=E282)*(($D$5:$D$504=D282)*(D282&lt;&gt;"")+($B$5:$B$504=B282)*(B282&lt;&gt;"")&gt;0))&gt;0,"БЛОК: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282" s="5">
        <f>IF(AND(B282="",C282="",E282=""),"",SUM($G$5:G282))</f>
        <v/>
      </c>
    </row>
    <row r="283">
      <c r="A283" s="6" t="n">
        <v>279</v>
      </c>
      <c r="B283" s="7" t="n"/>
      <c r="C283" s="8" t="n"/>
      <c r="D283" s="8" t="n"/>
      <c r="E283" s="9" t="n"/>
      <c r="F283" s="8" t="n"/>
      <c r="G283" s="5">
        <f>IF(OR(C283="",E283=""),0,IF(C283="Начисление по акту",E283,IF(OR(C283="Оплата",C283="Зачёт аванса по договору"),-E283,IF(C283="Корректировка (подписана обеими сторонами)",E283,0))))</f>
        <v/>
      </c>
      <c r="H283" s="5">
        <f>IF(OR(C283="Удержание",C283="Зачёт встречного требования",C283="Неустойка заявлена"),N(E283),0)</f>
        <v/>
      </c>
      <c r="I283" s="6">
        <f>IF(AND(B283="",C283="",D283="",E283="",F283=""),"",IF(OR(B283="",C283="",E283=""),"БЛОК: нужны дата, тип операции и сумма",IF(N(E283)&lt;=0,"БЛОК: сумма должна быть больше нуля",IF(AND(G283&lt;&gt;0,F283=""),"БЛОК: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нельзя",IF(AND(F283&lt;&gt;"",COUNTIF('Долг по актам'!$B$5:$B$34,F283)=0),"БЛОК: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договору")&gt;0)*($C$5:$C$504&lt;&gt;C283)*($E$5:$E$504=E283)*(($D$5:$D$504=D283)*(D283&lt;&gt;"")+($B$5:$B$504=B283)*(B283&lt;&gt;"")&gt;0))&gt;0,"БЛОК: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283" s="5">
        <f>IF(AND(B283="",C283="",E283=""),"",SUM($G$5:G283))</f>
        <v/>
      </c>
    </row>
    <row r="284">
      <c r="A284" s="6" t="n">
        <v>280</v>
      </c>
      <c r="B284" s="7" t="n"/>
      <c r="C284" s="8" t="n"/>
      <c r="D284" s="8" t="n"/>
      <c r="E284" s="9" t="n"/>
      <c r="F284" s="8" t="n"/>
      <c r="G284" s="5">
        <f>IF(OR(C284="",E284=""),0,IF(C284="Начисление по акту",E284,IF(OR(C284="Оплата",C284="Зачёт аванса по договору"),-E284,IF(C284="Корректировка (подписана обеими сторонами)",E284,0))))</f>
        <v/>
      </c>
      <c r="H284" s="5">
        <f>IF(OR(C284="Удержание",C284="Зачёт встречного требования",C284="Неустойка заявлена"),N(E284),0)</f>
        <v/>
      </c>
      <c r="I284" s="6">
        <f>IF(AND(B284="",C284="",D284="",E284="",F284=""),"",IF(OR(B284="",C284="",E284=""),"БЛОК: нужны дата, тип операции и сумма",IF(N(E284)&lt;=0,"БЛОК: сумма должна быть больше нуля",IF(AND(G284&lt;&gt;0,F284=""),"БЛОК: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нельзя",IF(AND(F284&lt;&gt;"",COUNTIF('Долг по актам'!$B$5:$B$34,F284)=0),"БЛОК: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договору")&gt;0)*($C$5:$C$504&lt;&gt;C284)*($E$5:$E$504=E284)*(($D$5:$D$504=D284)*(D284&lt;&gt;"")+($B$5:$B$504=B284)*(B284&lt;&gt;"")&gt;0))&gt;0,"БЛОК: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284" s="5">
        <f>IF(AND(B284="",C284="",E284=""),"",SUM($G$5:G284))</f>
        <v/>
      </c>
    </row>
    <row r="285">
      <c r="A285" s="6" t="n">
        <v>281</v>
      </c>
      <c r="B285" s="7" t="n"/>
      <c r="C285" s="8" t="n"/>
      <c r="D285" s="8" t="n"/>
      <c r="E285" s="9" t="n"/>
      <c r="F285" s="8" t="n"/>
      <c r="G285" s="5">
        <f>IF(OR(C285="",E285=""),0,IF(C285="Начисление по акту",E285,IF(OR(C285="Оплата",C285="Зачёт аванса по договору"),-E285,IF(C285="Корректировка (подписана обеими сторонами)",E285,0))))</f>
        <v/>
      </c>
      <c r="H285" s="5">
        <f>IF(OR(C285="Удержание",C285="Зачёт встречного требования",C285="Неустойка заявлена"),N(E285),0)</f>
        <v/>
      </c>
      <c r="I285" s="6">
        <f>IF(AND(B285="",C285="",D285="",E285="",F285=""),"",IF(OR(B285="",C285="",E285=""),"БЛОК: нужны дата, тип операции и сумма",IF(N(E285)&lt;=0,"БЛОК: сумма должна быть больше нуля",IF(AND(G285&lt;&gt;0,F285=""),"БЛОК: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нельзя",IF(AND(F285&lt;&gt;"",COUNTIF('Долг по актам'!$B$5:$B$34,F285)=0),"БЛОК: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договору")&gt;0)*($C$5:$C$504&lt;&gt;C285)*($E$5:$E$504=E285)*(($D$5:$D$504=D285)*(D285&lt;&gt;"")+($B$5:$B$504=B285)*(B285&lt;&gt;"")&gt;0))&gt;0,"БЛОК: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285" s="5">
        <f>IF(AND(B285="",C285="",E285=""),"",SUM($G$5:G285))</f>
        <v/>
      </c>
    </row>
    <row r="286">
      <c r="A286" s="6" t="n">
        <v>282</v>
      </c>
      <c r="B286" s="7" t="n"/>
      <c r="C286" s="8" t="n"/>
      <c r="D286" s="8" t="n"/>
      <c r="E286" s="9" t="n"/>
      <c r="F286" s="8" t="n"/>
      <c r="G286" s="5">
        <f>IF(OR(C286="",E286=""),0,IF(C286="Начисление по акту",E286,IF(OR(C286="Оплата",C286="Зачёт аванса по договору"),-E286,IF(C286="Корректировка (подписана обеими сторонами)",E286,0))))</f>
        <v/>
      </c>
      <c r="H286" s="5">
        <f>IF(OR(C286="Удержание",C286="Зачёт встречного требования",C286="Неустойка заявлена"),N(E286),0)</f>
        <v/>
      </c>
      <c r="I286" s="6">
        <f>IF(AND(B286="",C286="",D286="",E286="",F286=""),"",IF(OR(B286="",C286="",E286=""),"БЛОК: нужны дата, тип операции и сумма",IF(N(E286)&lt;=0,"БЛОК: сумма должна быть больше нуля",IF(AND(G286&lt;&gt;0,F286=""),"БЛОК: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нельзя",IF(AND(F286&lt;&gt;"",COUNTIF('Долг по актам'!$B$5:$B$34,F286)=0),"БЛОК: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договору")&gt;0)*($C$5:$C$504&lt;&gt;C286)*($E$5:$E$504=E286)*(($D$5:$D$504=D286)*(D286&lt;&gt;"")+($B$5:$B$504=B286)*(B286&lt;&gt;"")&gt;0))&gt;0,"БЛОК: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286" s="5">
        <f>IF(AND(B286="",C286="",E286=""),"",SUM($G$5:G286))</f>
        <v/>
      </c>
    </row>
    <row r="287">
      <c r="A287" s="6" t="n">
        <v>283</v>
      </c>
      <c r="B287" s="7" t="n"/>
      <c r="C287" s="8" t="n"/>
      <c r="D287" s="8" t="n"/>
      <c r="E287" s="9" t="n"/>
      <c r="F287" s="8" t="n"/>
      <c r="G287" s="5">
        <f>IF(OR(C287="",E287=""),0,IF(C287="Начисление по акту",E287,IF(OR(C287="Оплата",C287="Зачёт аванса по договору"),-E287,IF(C287="Корректировка (подписана обеими сторонами)",E287,0))))</f>
        <v/>
      </c>
      <c r="H287" s="5">
        <f>IF(OR(C287="Удержание",C287="Зачёт встречного требования",C287="Неустойка заявлена"),N(E287),0)</f>
        <v/>
      </c>
      <c r="I287" s="6">
        <f>IF(AND(B287="",C287="",D287="",E287="",F287=""),"",IF(OR(B287="",C287="",E287=""),"БЛОК: нужны дата, тип операции и сумма",IF(N(E287)&lt;=0,"БЛОК: сумма должна быть больше нуля",IF(AND(G287&lt;&gt;0,F287=""),"БЛОК: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нельзя",IF(AND(F287&lt;&gt;"",COUNTIF('Долг по актам'!$B$5:$B$34,F287)=0),"БЛОК: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договору")&gt;0)*($C$5:$C$504&lt;&gt;C287)*($E$5:$E$504=E287)*(($D$5:$D$504=D287)*(D287&lt;&gt;"")+($B$5:$B$504=B287)*(B287&lt;&gt;"")&gt;0))&gt;0,"БЛОК: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287" s="5">
        <f>IF(AND(B287="",C287="",E287=""),"",SUM($G$5:G287))</f>
        <v/>
      </c>
    </row>
    <row r="288">
      <c r="A288" s="6" t="n">
        <v>284</v>
      </c>
      <c r="B288" s="7" t="n"/>
      <c r="C288" s="8" t="n"/>
      <c r="D288" s="8" t="n"/>
      <c r="E288" s="9" t="n"/>
      <c r="F288" s="8" t="n"/>
      <c r="G288" s="5">
        <f>IF(OR(C288="",E288=""),0,IF(C288="Начисление по акту",E288,IF(OR(C288="Оплата",C288="Зачёт аванса по договору"),-E288,IF(C288="Корректировка (подписана обеими сторонами)",E288,0))))</f>
        <v/>
      </c>
      <c r="H288" s="5">
        <f>IF(OR(C288="Удержание",C288="Зачёт встречного требования",C288="Неустойка заявлена"),N(E288),0)</f>
        <v/>
      </c>
      <c r="I288" s="6">
        <f>IF(AND(B288="",C288="",D288="",E288="",F288=""),"",IF(OR(B288="",C288="",E288=""),"БЛОК: нужны дата, тип операции и сумма",IF(N(E288)&lt;=0,"БЛОК: сумма должна быть больше нуля",IF(AND(G288&lt;&gt;0,F288=""),"БЛОК: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нельзя",IF(AND(F288&lt;&gt;"",COUNTIF('Долг по актам'!$B$5:$B$34,F288)=0),"БЛОК: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договору")&gt;0)*($C$5:$C$504&lt;&gt;C288)*($E$5:$E$504=E288)*(($D$5:$D$504=D288)*(D288&lt;&gt;"")+($B$5:$B$504=B288)*(B288&lt;&gt;"")&gt;0))&gt;0,"БЛОК: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288" s="5">
        <f>IF(AND(B288="",C288="",E288=""),"",SUM($G$5:G288))</f>
        <v/>
      </c>
    </row>
    <row r="289">
      <c r="A289" s="6" t="n">
        <v>285</v>
      </c>
      <c r="B289" s="7" t="n"/>
      <c r="C289" s="8" t="n"/>
      <c r="D289" s="8" t="n"/>
      <c r="E289" s="9" t="n"/>
      <c r="F289" s="8" t="n"/>
      <c r="G289" s="5">
        <f>IF(OR(C289="",E289=""),0,IF(C289="Начисление по акту",E289,IF(OR(C289="Оплата",C289="Зачёт аванса по договору"),-E289,IF(C289="Корректировка (подписана обеими сторонами)",E289,0))))</f>
        <v/>
      </c>
      <c r="H289" s="5">
        <f>IF(OR(C289="Удержание",C289="Зачёт встречного требования",C289="Неустойка заявлена"),N(E289),0)</f>
        <v/>
      </c>
      <c r="I289" s="6">
        <f>IF(AND(B289="",C289="",D289="",E289="",F289=""),"",IF(OR(B289="",C289="",E289=""),"БЛОК: нужны дата, тип операции и сумма",IF(N(E289)&lt;=0,"БЛОК: сумма должна быть больше нуля",IF(AND(G289&lt;&gt;0,F289=""),"БЛОК: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нельзя",IF(AND(F289&lt;&gt;"",COUNTIF('Долг по актам'!$B$5:$B$34,F289)=0),"БЛОК: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договору")&gt;0)*($C$5:$C$504&lt;&gt;C289)*($E$5:$E$504=E289)*(($D$5:$D$504=D289)*(D289&lt;&gt;"")+($B$5:$B$504=B289)*(B289&lt;&gt;"")&gt;0))&gt;0,"БЛОК: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289" s="5">
        <f>IF(AND(B289="",C289="",E289=""),"",SUM($G$5:G289))</f>
        <v/>
      </c>
    </row>
    <row r="290">
      <c r="A290" s="6" t="n">
        <v>286</v>
      </c>
      <c r="B290" s="7" t="n"/>
      <c r="C290" s="8" t="n"/>
      <c r="D290" s="8" t="n"/>
      <c r="E290" s="9" t="n"/>
      <c r="F290" s="8" t="n"/>
      <c r="G290" s="5">
        <f>IF(OR(C290="",E290=""),0,IF(C290="Начисление по акту",E290,IF(OR(C290="Оплата",C290="Зачёт аванса по договору"),-E290,IF(C290="Корректировка (подписана обеими сторонами)",E290,0))))</f>
        <v/>
      </c>
      <c r="H290" s="5">
        <f>IF(OR(C290="Удержание",C290="Зачёт встречного требования",C290="Неустойка заявлена"),N(E290),0)</f>
        <v/>
      </c>
      <c r="I290" s="6">
        <f>IF(AND(B290="",C290="",D290="",E290="",F290=""),"",IF(OR(B290="",C290="",E290=""),"БЛОК: нужны дата, тип операции и сумма",IF(N(E290)&lt;=0,"БЛОК: сумма должна быть больше нуля",IF(AND(G290&lt;&gt;0,F290=""),"БЛОК: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нельзя",IF(AND(F290&lt;&gt;"",COUNTIF('Долг по актам'!$B$5:$B$34,F290)=0),"БЛОК: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договору")&gt;0)*($C$5:$C$504&lt;&gt;C290)*($E$5:$E$504=E290)*(($D$5:$D$504=D290)*(D290&lt;&gt;"")+($B$5:$B$504=B290)*(B290&lt;&gt;"")&gt;0))&gt;0,"БЛОК: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290" s="5">
        <f>IF(AND(B290="",C290="",E290=""),"",SUM($G$5:G290))</f>
        <v/>
      </c>
    </row>
    <row r="291">
      <c r="A291" s="6" t="n">
        <v>287</v>
      </c>
      <c r="B291" s="7" t="n"/>
      <c r="C291" s="8" t="n"/>
      <c r="D291" s="8" t="n"/>
      <c r="E291" s="9" t="n"/>
      <c r="F291" s="8" t="n"/>
      <c r="G291" s="5">
        <f>IF(OR(C291="",E291=""),0,IF(C291="Начисление по акту",E291,IF(OR(C291="Оплата",C291="Зачёт аванса по договору"),-E291,IF(C291="Корректировка (подписана обеими сторонами)",E291,0))))</f>
        <v/>
      </c>
      <c r="H291" s="5">
        <f>IF(OR(C291="Удержание",C291="Зачёт встречного требования",C291="Неустойка заявлена"),N(E291),0)</f>
        <v/>
      </c>
      <c r="I291" s="6">
        <f>IF(AND(B291="",C291="",D291="",E291="",F291=""),"",IF(OR(B291="",C291="",E291=""),"БЛОК: нужны дата, тип операции и сумма",IF(N(E291)&lt;=0,"БЛОК: сумма должна быть больше нуля",IF(AND(G291&lt;&gt;0,F291=""),"БЛОК: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нельзя",IF(AND(F291&lt;&gt;"",COUNTIF('Долг по актам'!$B$5:$B$34,F291)=0),"БЛОК: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договору")&gt;0)*($C$5:$C$504&lt;&gt;C291)*($E$5:$E$504=E291)*(($D$5:$D$504=D291)*(D291&lt;&gt;"")+($B$5:$B$504=B291)*(B291&lt;&gt;"")&gt;0))&gt;0,"БЛОК: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291" s="5">
        <f>IF(AND(B291="",C291="",E291=""),"",SUM($G$5:G291))</f>
        <v/>
      </c>
    </row>
    <row r="292">
      <c r="A292" s="6" t="n">
        <v>288</v>
      </c>
      <c r="B292" s="7" t="n"/>
      <c r="C292" s="8" t="n"/>
      <c r="D292" s="8" t="n"/>
      <c r="E292" s="9" t="n"/>
      <c r="F292" s="8" t="n"/>
      <c r="G292" s="5">
        <f>IF(OR(C292="",E292=""),0,IF(C292="Начисление по акту",E292,IF(OR(C292="Оплата",C292="Зачёт аванса по договору"),-E292,IF(C292="Корректировка (подписана обеими сторонами)",E292,0))))</f>
        <v/>
      </c>
      <c r="H292" s="5">
        <f>IF(OR(C292="Удержание",C292="Зачёт встречного требования",C292="Неустойка заявлена"),N(E292),0)</f>
        <v/>
      </c>
      <c r="I292" s="6">
        <f>IF(AND(B292="",C292="",D292="",E292="",F292=""),"",IF(OR(B292="",C292="",E292=""),"БЛОК: нужны дата, тип операции и сумма",IF(N(E292)&lt;=0,"БЛОК: сумма должна быть больше нуля",IF(AND(G292&lt;&gt;0,F292=""),"БЛОК: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нельзя",IF(AND(F292&lt;&gt;"",COUNTIF('Долг по актам'!$B$5:$B$34,F292)=0),"БЛОК: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договору")&gt;0)*($C$5:$C$504&lt;&gt;C292)*($E$5:$E$504=E292)*(($D$5:$D$504=D292)*(D292&lt;&gt;"")+($B$5:$B$504=B292)*(B292&lt;&gt;"")&gt;0))&gt;0,"БЛОК: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292" s="5">
        <f>IF(AND(B292="",C292="",E292=""),"",SUM($G$5:G292))</f>
        <v/>
      </c>
    </row>
    <row r="293">
      <c r="A293" s="6" t="n">
        <v>289</v>
      </c>
      <c r="B293" s="7" t="n"/>
      <c r="C293" s="8" t="n"/>
      <c r="D293" s="8" t="n"/>
      <c r="E293" s="9" t="n"/>
      <c r="F293" s="8" t="n"/>
      <c r="G293" s="5">
        <f>IF(OR(C293="",E293=""),0,IF(C293="Начисление по акту",E293,IF(OR(C293="Оплата",C293="Зачёт аванса по договору"),-E293,IF(C293="Корректировка (подписана обеими сторонами)",E293,0))))</f>
        <v/>
      </c>
      <c r="H293" s="5">
        <f>IF(OR(C293="Удержание",C293="Зачёт встречного требования",C293="Неустойка заявлена"),N(E293),0)</f>
        <v/>
      </c>
      <c r="I293" s="6">
        <f>IF(AND(B293="",C293="",D293="",E293="",F293=""),"",IF(OR(B293="",C293="",E293=""),"БЛОК: нужны дата, тип операции и сумма",IF(N(E293)&lt;=0,"БЛОК: сумма должна быть больше нуля",IF(AND(G293&lt;&gt;0,F293=""),"БЛОК: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нельзя",IF(AND(F293&lt;&gt;"",COUNTIF('Долг по актам'!$B$5:$B$34,F293)=0),"БЛОК: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договору")&gt;0)*($C$5:$C$504&lt;&gt;C293)*($E$5:$E$504=E293)*(($D$5:$D$504=D293)*(D293&lt;&gt;"")+($B$5:$B$504=B293)*(B293&lt;&gt;"")&gt;0))&gt;0,"БЛОК: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293" s="5">
        <f>IF(AND(B293="",C293="",E293=""),"",SUM($G$5:G293))</f>
        <v/>
      </c>
    </row>
    <row r="294">
      <c r="A294" s="6" t="n">
        <v>290</v>
      </c>
      <c r="B294" s="7" t="n"/>
      <c r="C294" s="8" t="n"/>
      <c r="D294" s="8" t="n"/>
      <c r="E294" s="9" t="n"/>
      <c r="F294" s="8" t="n"/>
      <c r="G294" s="5">
        <f>IF(OR(C294="",E294=""),0,IF(C294="Начисление по акту",E294,IF(OR(C294="Оплата",C294="Зачёт аванса по договору"),-E294,IF(C294="Корректировка (подписана обеими сторонами)",E294,0))))</f>
        <v/>
      </c>
      <c r="H294" s="5">
        <f>IF(OR(C294="Удержание",C294="Зачёт встречного требования",C294="Неустойка заявлена"),N(E294),0)</f>
        <v/>
      </c>
      <c r="I294" s="6">
        <f>IF(AND(B294="",C294="",D294="",E294="",F294=""),"",IF(OR(B294="",C294="",E294=""),"БЛОК: нужны дата, тип операции и сумма",IF(N(E294)&lt;=0,"БЛОК: сумма должна быть больше нуля",IF(AND(G294&lt;&gt;0,F294=""),"БЛОК: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нельзя",IF(AND(F294&lt;&gt;"",COUNTIF('Долг по актам'!$B$5:$B$34,F294)=0),"БЛОК: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договору")&gt;0)*($C$5:$C$504&lt;&gt;C294)*($E$5:$E$504=E294)*(($D$5:$D$504=D294)*(D294&lt;&gt;"")+($B$5:$B$504=B294)*(B294&lt;&gt;"")&gt;0))&gt;0,"БЛОК: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294" s="5">
        <f>IF(AND(B294="",C294="",E294=""),"",SUM($G$5:G294))</f>
        <v/>
      </c>
    </row>
    <row r="295">
      <c r="A295" s="6" t="n">
        <v>291</v>
      </c>
      <c r="B295" s="7" t="n"/>
      <c r="C295" s="8" t="n"/>
      <c r="D295" s="8" t="n"/>
      <c r="E295" s="9" t="n"/>
      <c r="F295" s="8" t="n"/>
      <c r="G295" s="5">
        <f>IF(OR(C295="",E295=""),0,IF(C295="Начисление по акту",E295,IF(OR(C295="Оплата",C295="Зачёт аванса по договору"),-E295,IF(C295="Корректировка (подписана обеими сторонами)",E295,0))))</f>
        <v/>
      </c>
      <c r="H295" s="5">
        <f>IF(OR(C295="Удержание",C295="Зачёт встречного требования",C295="Неустойка заявлена"),N(E295),0)</f>
        <v/>
      </c>
      <c r="I295" s="6">
        <f>IF(AND(B295="",C295="",D295="",E295="",F295=""),"",IF(OR(B295="",C295="",E295=""),"БЛОК: нужны дата, тип операции и сумма",IF(N(E295)&lt;=0,"БЛОК: сумма должна быть больше нуля",IF(AND(G295&lt;&gt;0,F295=""),"БЛОК: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нельзя",IF(AND(F295&lt;&gt;"",COUNTIF('Долг по актам'!$B$5:$B$34,F295)=0),"БЛОК: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договору")&gt;0)*($C$5:$C$504&lt;&gt;C295)*($E$5:$E$504=E295)*(($D$5:$D$504=D295)*(D295&lt;&gt;"")+($B$5:$B$504=B295)*(B295&lt;&gt;"")&gt;0))&gt;0,"БЛОК: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295" s="5">
        <f>IF(AND(B295="",C295="",E295=""),"",SUM($G$5:G295))</f>
        <v/>
      </c>
    </row>
    <row r="296">
      <c r="A296" s="6" t="n">
        <v>292</v>
      </c>
      <c r="B296" s="7" t="n"/>
      <c r="C296" s="8" t="n"/>
      <c r="D296" s="8" t="n"/>
      <c r="E296" s="9" t="n"/>
      <c r="F296" s="8" t="n"/>
      <c r="G296" s="5">
        <f>IF(OR(C296="",E296=""),0,IF(C296="Начисление по акту",E296,IF(OR(C296="Оплата",C296="Зачёт аванса по договору"),-E296,IF(C296="Корректировка (подписана обеими сторонами)",E296,0))))</f>
        <v/>
      </c>
      <c r="H296" s="5">
        <f>IF(OR(C296="Удержание",C296="Зачёт встречного требования",C296="Неустойка заявлена"),N(E296),0)</f>
        <v/>
      </c>
      <c r="I296" s="6">
        <f>IF(AND(B296="",C296="",D296="",E296="",F296=""),"",IF(OR(B296="",C296="",E296=""),"БЛОК: нужны дата, тип операции и сумма",IF(N(E296)&lt;=0,"БЛОК: сумма должна быть больше нуля",IF(AND(G296&lt;&gt;0,F296=""),"БЛОК: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нельзя",IF(AND(F296&lt;&gt;"",COUNTIF('Долг по актам'!$B$5:$B$34,F296)=0),"БЛОК: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договору")&gt;0)*($C$5:$C$504&lt;&gt;C296)*($E$5:$E$504=E296)*(($D$5:$D$504=D296)*(D296&lt;&gt;"")+($B$5:$B$504=B296)*(B296&lt;&gt;"")&gt;0))&gt;0,"БЛОК: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296" s="5">
        <f>IF(AND(B296="",C296="",E296=""),"",SUM($G$5:G296))</f>
        <v/>
      </c>
    </row>
    <row r="297">
      <c r="A297" s="6" t="n">
        <v>293</v>
      </c>
      <c r="B297" s="7" t="n"/>
      <c r="C297" s="8" t="n"/>
      <c r="D297" s="8" t="n"/>
      <c r="E297" s="9" t="n"/>
      <c r="F297" s="8" t="n"/>
      <c r="G297" s="5">
        <f>IF(OR(C297="",E297=""),0,IF(C297="Начисление по акту",E297,IF(OR(C297="Оплата",C297="Зачёт аванса по договору"),-E297,IF(C297="Корректировка (подписана обеими сторонами)",E297,0))))</f>
        <v/>
      </c>
      <c r="H297" s="5">
        <f>IF(OR(C297="Удержание",C297="Зачёт встречного требования",C297="Неустойка заявлена"),N(E297),0)</f>
        <v/>
      </c>
      <c r="I297" s="6">
        <f>IF(AND(B297="",C297="",D297="",E297="",F297=""),"",IF(OR(B297="",C297="",E297=""),"БЛОК: нужны дата, тип операции и сумма",IF(N(E297)&lt;=0,"БЛОК: сумма должна быть больше нуля",IF(AND(G297&lt;&gt;0,F297=""),"БЛОК: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нельзя",IF(AND(F297&lt;&gt;"",COUNTIF('Долг по актам'!$B$5:$B$34,F297)=0),"БЛОК: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договору")&gt;0)*($C$5:$C$504&lt;&gt;C297)*($E$5:$E$504=E297)*(($D$5:$D$504=D297)*(D297&lt;&gt;"")+($B$5:$B$504=B297)*(B297&lt;&gt;"")&gt;0))&gt;0,"БЛОК: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297" s="5">
        <f>IF(AND(B297="",C297="",E297=""),"",SUM($G$5:G297))</f>
        <v/>
      </c>
    </row>
    <row r="298">
      <c r="A298" s="6" t="n">
        <v>294</v>
      </c>
      <c r="B298" s="7" t="n"/>
      <c r="C298" s="8" t="n"/>
      <c r="D298" s="8" t="n"/>
      <c r="E298" s="9" t="n"/>
      <c r="F298" s="8" t="n"/>
      <c r="G298" s="5">
        <f>IF(OR(C298="",E298=""),0,IF(C298="Начисление по акту",E298,IF(OR(C298="Оплата",C298="Зачёт аванса по договору"),-E298,IF(C298="Корректировка (подписана обеими сторонами)",E298,0))))</f>
        <v/>
      </c>
      <c r="H298" s="5">
        <f>IF(OR(C298="Удержание",C298="Зачёт встречного требования",C298="Неустойка заявлена"),N(E298),0)</f>
        <v/>
      </c>
      <c r="I298" s="6">
        <f>IF(AND(B298="",C298="",D298="",E298="",F298=""),"",IF(OR(B298="",C298="",E298=""),"БЛОК: нужны дата, тип операции и сумма",IF(N(E298)&lt;=0,"БЛОК: сумма должна быть больше нуля",IF(AND(G298&lt;&gt;0,F298=""),"БЛОК: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нельзя",IF(AND(F298&lt;&gt;"",COUNTIF('Долг по актам'!$B$5:$B$34,F298)=0),"БЛОК: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договору")&gt;0)*($C$5:$C$504&lt;&gt;C298)*($E$5:$E$504=E298)*(($D$5:$D$504=D298)*(D298&lt;&gt;"")+($B$5:$B$504=B298)*(B298&lt;&gt;"")&gt;0))&gt;0,"БЛОК: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298" s="5">
        <f>IF(AND(B298="",C298="",E298=""),"",SUM($G$5:G298))</f>
        <v/>
      </c>
    </row>
    <row r="299">
      <c r="A299" s="6" t="n">
        <v>295</v>
      </c>
      <c r="B299" s="7" t="n"/>
      <c r="C299" s="8" t="n"/>
      <c r="D299" s="8" t="n"/>
      <c r="E299" s="9" t="n"/>
      <c r="F299" s="8" t="n"/>
      <c r="G299" s="5">
        <f>IF(OR(C299="",E299=""),0,IF(C299="Начисление по акту",E299,IF(OR(C299="Оплата",C299="Зачёт аванса по договору"),-E299,IF(C299="Корректировка (подписана обеими сторонами)",E299,0))))</f>
        <v/>
      </c>
      <c r="H299" s="5">
        <f>IF(OR(C299="Удержание",C299="Зачёт встречного требования",C299="Неустойка заявлена"),N(E299),0)</f>
        <v/>
      </c>
      <c r="I299" s="6">
        <f>IF(AND(B299="",C299="",D299="",E299="",F299=""),"",IF(OR(B299="",C299="",E299=""),"БЛОК: нужны дата, тип операции и сумма",IF(N(E299)&lt;=0,"БЛОК: сумма должна быть больше нуля",IF(AND(G299&lt;&gt;0,F299=""),"БЛОК: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нельзя",IF(AND(F299&lt;&gt;"",COUNTIF('Долг по актам'!$B$5:$B$34,F299)=0),"БЛОК: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договору")&gt;0)*($C$5:$C$504&lt;&gt;C299)*($E$5:$E$504=E299)*(($D$5:$D$504=D299)*(D299&lt;&gt;"")+($B$5:$B$504=B299)*(B299&lt;&gt;"")&gt;0))&gt;0,"БЛОК: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299" s="5">
        <f>IF(AND(B299="",C299="",E299=""),"",SUM($G$5:G299))</f>
        <v/>
      </c>
    </row>
    <row r="300">
      <c r="A300" s="6" t="n">
        <v>296</v>
      </c>
      <c r="B300" s="7" t="n"/>
      <c r="C300" s="8" t="n"/>
      <c r="D300" s="8" t="n"/>
      <c r="E300" s="9" t="n"/>
      <c r="F300" s="8" t="n"/>
      <c r="G300" s="5">
        <f>IF(OR(C300="",E300=""),0,IF(C300="Начисление по акту",E300,IF(OR(C300="Оплата",C300="Зачёт аванса по договору"),-E300,IF(C300="Корректировка (подписана обеими сторонами)",E300,0))))</f>
        <v/>
      </c>
      <c r="H300" s="5">
        <f>IF(OR(C300="Удержание",C300="Зачёт встречного требования",C300="Неустойка заявлена"),N(E300),0)</f>
        <v/>
      </c>
      <c r="I300" s="6">
        <f>IF(AND(B300="",C300="",D300="",E300="",F300=""),"",IF(OR(B300="",C300="",E300=""),"БЛОК: нужны дата, тип операции и сумма",IF(N(E300)&lt;=0,"БЛОК: сумма должна быть больше нуля",IF(AND(G300&lt;&gt;0,F300=""),"БЛОК: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нельзя",IF(AND(F300&lt;&gt;"",COUNTIF('Долг по актам'!$B$5:$B$34,F300)=0),"БЛОК: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договору")&gt;0)*($C$5:$C$504&lt;&gt;C300)*($E$5:$E$504=E300)*(($D$5:$D$504=D300)*(D300&lt;&gt;"")+($B$5:$B$504=B300)*(B300&lt;&gt;"")&gt;0))&gt;0,"БЛОК: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300" s="5">
        <f>IF(AND(B300="",C300="",E300=""),"",SUM($G$5:G300))</f>
        <v/>
      </c>
    </row>
    <row r="301">
      <c r="A301" s="6" t="n">
        <v>297</v>
      </c>
      <c r="B301" s="7" t="n"/>
      <c r="C301" s="8" t="n"/>
      <c r="D301" s="8" t="n"/>
      <c r="E301" s="9" t="n"/>
      <c r="F301" s="8" t="n"/>
      <c r="G301" s="5">
        <f>IF(OR(C301="",E301=""),0,IF(C301="Начисление по акту",E301,IF(OR(C301="Оплата",C301="Зачёт аванса по договору"),-E301,IF(C301="Корректировка (подписана обеими сторонами)",E301,0))))</f>
        <v/>
      </c>
      <c r="H301" s="5">
        <f>IF(OR(C301="Удержание",C301="Зачёт встречного требования",C301="Неустойка заявлена"),N(E301),0)</f>
        <v/>
      </c>
      <c r="I301" s="6">
        <f>IF(AND(B301="",C301="",D301="",E301="",F301=""),"",IF(OR(B301="",C301="",E301=""),"БЛОК: нужны дата, тип операции и сумма",IF(N(E301)&lt;=0,"БЛОК: сумма должна быть больше нуля",IF(AND(G301&lt;&gt;0,F301=""),"БЛОК: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нельзя",IF(AND(F301&lt;&gt;"",COUNTIF('Долг по актам'!$B$5:$B$34,F301)=0),"БЛОК: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договору")&gt;0)*($C$5:$C$504&lt;&gt;C301)*($E$5:$E$504=E301)*(($D$5:$D$504=D301)*(D301&lt;&gt;"")+($B$5:$B$504=B301)*(B301&lt;&gt;"")&gt;0))&gt;0,"БЛОК: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301" s="5">
        <f>IF(AND(B301="",C301="",E301=""),"",SUM($G$5:G301))</f>
        <v/>
      </c>
    </row>
    <row r="302">
      <c r="A302" s="6" t="n">
        <v>298</v>
      </c>
      <c r="B302" s="7" t="n"/>
      <c r="C302" s="8" t="n"/>
      <c r="D302" s="8" t="n"/>
      <c r="E302" s="9" t="n"/>
      <c r="F302" s="8" t="n"/>
      <c r="G302" s="5">
        <f>IF(OR(C302="",E302=""),0,IF(C302="Начисление по акту",E302,IF(OR(C302="Оплата",C302="Зачёт аванса по договору"),-E302,IF(C302="Корректировка (подписана обеими сторонами)",E302,0))))</f>
        <v/>
      </c>
      <c r="H302" s="5">
        <f>IF(OR(C302="Удержание",C302="Зачёт встречного требования",C302="Неустойка заявлена"),N(E302),0)</f>
        <v/>
      </c>
      <c r="I302" s="6">
        <f>IF(AND(B302="",C302="",D302="",E302="",F302=""),"",IF(OR(B302="",C302="",E302=""),"БЛОК: нужны дата, тип операции и сумма",IF(N(E302)&lt;=0,"БЛОК: сумма должна быть больше нуля",IF(AND(G302&lt;&gt;0,F302=""),"БЛОК: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нельзя",IF(AND(F302&lt;&gt;"",COUNTIF('Долг по актам'!$B$5:$B$34,F302)=0),"БЛОК: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договору")&gt;0)*($C$5:$C$504&lt;&gt;C302)*($E$5:$E$504=E302)*(($D$5:$D$504=D302)*(D302&lt;&gt;"")+($B$5:$B$504=B302)*(B302&lt;&gt;"")&gt;0))&gt;0,"БЛОК: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302" s="5">
        <f>IF(AND(B302="",C302="",E302=""),"",SUM($G$5:G302))</f>
        <v/>
      </c>
    </row>
    <row r="303">
      <c r="A303" s="6" t="n">
        <v>299</v>
      </c>
      <c r="B303" s="7" t="n"/>
      <c r="C303" s="8" t="n"/>
      <c r="D303" s="8" t="n"/>
      <c r="E303" s="9" t="n"/>
      <c r="F303" s="8" t="n"/>
      <c r="G303" s="5">
        <f>IF(OR(C303="",E303=""),0,IF(C303="Начисление по акту",E303,IF(OR(C303="Оплата",C303="Зачёт аванса по договору"),-E303,IF(C303="Корректировка (подписана обеими сторонами)",E303,0))))</f>
        <v/>
      </c>
      <c r="H303" s="5">
        <f>IF(OR(C303="Удержание",C303="Зачёт встречного требования",C303="Неустойка заявлена"),N(E303),0)</f>
        <v/>
      </c>
      <c r="I303" s="6">
        <f>IF(AND(B303="",C303="",D303="",E303="",F303=""),"",IF(OR(B303="",C303="",E303=""),"БЛОК: нужны дата, тип операции и сумма",IF(N(E303)&lt;=0,"БЛОК: сумма должна быть больше нуля",IF(AND(G303&lt;&gt;0,F303=""),"БЛОК: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нельзя",IF(AND(F303&lt;&gt;"",COUNTIF('Долг по актам'!$B$5:$B$34,F303)=0),"БЛОК: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договору")&gt;0)*($C$5:$C$504&lt;&gt;C303)*($E$5:$E$504=E303)*(($D$5:$D$504=D303)*(D303&lt;&gt;"")+($B$5:$B$504=B303)*(B303&lt;&gt;"")&gt;0))&gt;0,"БЛОК: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303" s="5">
        <f>IF(AND(B303="",C303="",E303=""),"",SUM($G$5:G303))</f>
        <v/>
      </c>
    </row>
    <row r="304">
      <c r="A304" s="6" t="n">
        <v>300</v>
      </c>
      <c r="B304" s="7" t="n"/>
      <c r="C304" s="8" t="n"/>
      <c r="D304" s="8" t="n"/>
      <c r="E304" s="9" t="n"/>
      <c r="F304" s="8" t="n"/>
      <c r="G304" s="5">
        <f>IF(OR(C304="",E304=""),0,IF(C304="Начисление по акту",E304,IF(OR(C304="Оплата",C304="Зачёт аванса по договору"),-E304,IF(C304="Корректировка (подписана обеими сторонами)",E304,0))))</f>
        <v/>
      </c>
      <c r="H304" s="5">
        <f>IF(OR(C304="Удержание",C304="Зачёт встречного требования",C304="Неустойка заявлена"),N(E304),0)</f>
        <v/>
      </c>
      <c r="I304" s="6">
        <f>IF(AND(B304="",C304="",D304="",E304="",F304=""),"",IF(OR(B304="",C304="",E304=""),"БЛОК: нужны дата, тип операции и сумма",IF(N(E304)&lt;=0,"БЛОК: сумма должна быть больше нуля",IF(AND(G304&lt;&gt;0,F304=""),"БЛОК: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нельзя",IF(AND(F304&lt;&gt;"",COUNTIF('Долг по актам'!$B$5:$B$34,F304)=0),"БЛОК: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договору")&gt;0)*($C$5:$C$504&lt;&gt;C304)*($E$5:$E$504=E304)*(($D$5:$D$504=D304)*(D304&lt;&gt;"")+($B$5:$B$504=B304)*(B304&lt;&gt;"")&gt;0))&gt;0,"БЛОК: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304" s="5">
        <f>IF(AND(B304="",C304="",E304=""),"",SUM($G$5:G304))</f>
        <v/>
      </c>
    </row>
    <row r="305">
      <c r="A305" s="6" t="n">
        <v>301</v>
      </c>
      <c r="B305" s="7" t="n"/>
      <c r="C305" s="8" t="n"/>
      <c r="D305" s="8" t="n"/>
      <c r="E305" s="9" t="n"/>
      <c r="F305" s="8" t="n"/>
      <c r="G305" s="5">
        <f>IF(OR(C305="",E305=""),0,IF(C305="Начисление по акту",E305,IF(OR(C305="Оплата",C305="Зачёт аванса по договору"),-E305,IF(C305="Корректировка (подписана обеими сторонами)",E305,0))))</f>
        <v/>
      </c>
      <c r="H305" s="5">
        <f>IF(OR(C305="Удержание",C305="Зачёт встречного требования",C305="Неустойка заявлена"),N(E305),0)</f>
        <v/>
      </c>
      <c r="I305" s="6">
        <f>IF(AND(B305="",C305="",D305="",E305="",F305=""),"",IF(OR(B305="",C305="",E305=""),"БЛОК: нужны дата, тип операции и сумма",IF(N(E305)&lt;=0,"БЛОК: сумма должна быть больше нуля",IF(AND(G305&lt;&gt;0,F305=""),"БЛОК: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нельзя",IF(AND(F305&lt;&gt;"",COUNTIF('Долг по актам'!$B$5:$B$34,F305)=0),"БЛОК: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договору")&gt;0)*($C$5:$C$504&lt;&gt;C305)*($E$5:$E$504=E305)*(($D$5:$D$504=D305)*(D305&lt;&gt;"")+($B$5:$B$504=B305)*(B305&lt;&gt;"")&gt;0))&gt;0,"БЛОК: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305" s="5">
        <f>IF(AND(B305="",C305="",E305=""),"",SUM($G$5:G305))</f>
        <v/>
      </c>
    </row>
    <row r="306">
      <c r="A306" s="6" t="n">
        <v>302</v>
      </c>
      <c r="B306" s="7" t="n"/>
      <c r="C306" s="8" t="n"/>
      <c r="D306" s="8" t="n"/>
      <c r="E306" s="9" t="n"/>
      <c r="F306" s="8" t="n"/>
      <c r="G306" s="5">
        <f>IF(OR(C306="",E306=""),0,IF(C306="Начисление по акту",E306,IF(OR(C306="Оплата",C306="Зачёт аванса по договору"),-E306,IF(C306="Корректировка (подписана обеими сторонами)",E306,0))))</f>
        <v/>
      </c>
      <c r="H306" s="5">
        <f>IF(OR(C306="Удержание",C306="Зачёт встречного требования",C306="Неустойка заявлена"),N(E306),0)</f>
        <v/>
      </c>
      <c r="I306" s="6">
        <f>IF(AND(B306="",C306="",D306="",E306="",F306=""),"",IF(OR(B306="",C306="",E306=""),"БЛОК: нужны дата, тип операции и сумма",IF(N(E306)&lt;=0,"БЛОК: сумма должна быть больше нуля",IF(AND(G306&lt;&gt;0,F306=""),"БЛОК: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нельзя",IF(AND(F306&lt;&gt;"",COUNTIF('Долг по актам'!$B$5:$B$34,F306)=0),"БЛОК: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договору")&gt;0)*($C$5:$C$504&lt;&gt;C306)*($E$5:$E$504=E306)*(($D$5:$D$504=D306)*(D306&lt;&gt;"")+($B$5:$B$504=B306)*(B306&lt;&gt;"")&gt;0))&gt;0,"БЛОК: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306" s="5">
        <f>IF(AND(B306="",C306="",E306=""),"",SUM($G$5:G306))</f>
        <v/>
      </c>
    </row>
    <row r="307">
      <c r="A307" s="6" t="n">
        <v>303</v>
      </c>
      <c r="B307" s="7" t="n"/>
      <c r="C307" s="8" t="n"/>
      <c r="D307" s="8" t="n"/>
      <c r="E307" s="9" t="n"/>
      <c r="F307" s="8" t="n"/>
      <c r="G307" s="5">
        <f>IF(OR(C307="",E307=""),0,IF(C307="Начисление по акту",E307,IF(OR(C307="Оплата",C307="Зачёт аванса по договору"),-E307,IF(C307="Корректировка (подписана обеими сторонами)",E307,0))))</f>
        <v/>
      </c>
      <c r="H307" s="5">
        <f>IF(OR(C307="Удержание",C307="Зачёт встречного требования",C307="Неустойка заявлена"),N(E307),0)</f>
        <v/>
      </c>
      <c r="I307" s="6">
        <f>IF(AND(B307="",C307="",D307="",E307="",F307=""),"",IF(OR(B307="",C307="",E307=""),"БЛОК: нужны дата, тип операции и сумма",IF(N(E307)&lt;=0,"БЛОК: сумма должна быть больше нуля",IF(AND(G307&lt;&gt;0,F307=""),"БЛОК: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нельзя",IF(AND(F307&lt;&gt;"",COUNTIF('Долг по актам'!$B$5:$B$34,F307)=0),"БЛОК: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договору")&gt;0)*($C$5:$C$504&lt;&gt;C307)*($E$5:$E$504=E307)*(($D$5:$D$504=D307)*(D307&lt;&gt;"")+($B$5:$B$504=B307)*(B307&lt;&gt;"")&gt;0))&gt;0,"БЛОК: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307" s="5">
        <f>IF(AND(B307="",C307="",E307=""),"",SUM($G$5:G307))</f>
        <v/>
      </c>
    </row>
    <row r="308">
      <c r="A308" s="6" t="n">
        <v>304</v>
      </c>
      <c r="B308" s="7" t="n"/>
      <c r="C308" s="8" t="n"/>
      <c r="D308" s="8" t="n"/>
      <c r="E308" s="9" t="n"/>
      <c r="F308" s="8" t="n"/>
      <c r="G308" s="5">
        <f>IF(OR(C308="",E308=""),0,IF(C308="Начисление по акту",E308,IF(OR(C308="Оплата",C308="Зачёт аванса по договору"),-E308,IF(C308="Корректировка (подписана обеими сторонами)",E308,0))))</f>
        <v/>
      </c>
      <c r="H308" s="5">
        <f>IF(OR(C308="Удержание",C308="Зачёт встречного требования",C308="Неустойка заявлена"),N(E308),0)</f>
        <v/>
      </c>
      <c r="I308" s="6">
        <f>IF(AND(B308="",C308="",D308="",E308="",F308=""),"",IF(OR(B308="",C308="",E308=""),"БЛОК: нужны дата, тип операции и сумма",IF(N(E308)&lt;=0,"БЛОК: сумма должна быть больше нуля",IF(AND(G308&lt;&gt;0,F308=""),"БЛОК: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нельзя",IF(AND(F308&lt;&gt;"",COUNTIF('Долг по актам'!$B$5:$B$34,F308)=0),"БЛОК: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договору")&gt;0)*($C$5:$C$504&lt;&gt;C308)*($E$5:$E$504=E308)*(($D$5:$D$504=D308)*(D308&lt;&gt;"")+($B$5:$B$504=B308)*(B308&lt;&gt;"")&gt;0))&gt;0,"БЛОК: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308" s="5">
        <f>IF(AND(B308="",C308="",E308=""),"",SUM($G$5:G308))</f>
        <v/>
      </c>
    </row>
    <row r="309">
      <c r="A309" s="6" t="n">
        <v>305</v>
      </c>
      <c r="B309" s="7" t="n"/>
      <c r="C309" s="8" t="n"/>
      <c r="D309" s="8" t="n"/>
      <c r="E309" s="9" t="n"/>
      <c r="F309" s="8" t="n"/>
      <c r="G309" s="5">
        <f>IF(OR(C309="",E309=""),0,IF(C309="Начисление по акту",E309,IF(OR(C309="Оплата",C309="Зачёт аванса по договору"),-E309,IF(C309="Корректировка (подписана обеими сторонами)",E309,0))))</f>
        <v/>
      </c>
      <c r="H309" s="5">
        <f>IF(OR(C309="Удержание",C309="Зачёт встречного требования",C309="Неустойка заявлена"),N(E309),0)</f>
        <v/>
      </c>
      <c r="I309" s="6">
        <f>IF(AND(B309="",C309="",D309="",E309="",F309=""),"",IF(OR(B309="",C309="",E309=""),"БЛОК: нужны дата, тип операции и сумма",IF(N(E309)&lt;=0,"БЛОК: сумма должна быть больше нуля",IF(AND(G309&lt;&gt;0,F309=""),"БЛОК: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нельзя",IF(AND(F309&lt;&gt;"",COUNTIF('Долг по актам'!$B$5:$B$34,F309)=0),"БЛОК: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договору")&gt;0)*($C$5:$C$504&lt;&gt;C309)*($E$5:$E$504=E309)*(($D$5:$D$504=D309)*(D309&lt;&gt;"")+($B$5:$B$504=B309)*(B309&lt;&gt;"")&gt;0))&gt;0,"БЛОК: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309" s="5">
        <f>IF(AND(B309="",C309="",E309=""),"",SUM($G$5:G309))</f>
        <v/>
      </c>
    </row>
    <row r="310">
      <c r="A310" s="6" t="n">
        <v>306</v>
      </c>
      <c r="B310" s="7" t="n"/>
      <c r="C310" s="8" t="n"/>
      <c r="D310" s="8" t="n"/>
      <c r="E310" s="9" t="n"/>
      <c r="F310" s="8" t="n"/>
      <c r="G310" s="5">
        <f>IF(OR(C310="",E310=""),0,IF(C310="Начисление по акту",E310,IF(OR(C310="Оплата",C310="Зачёт аванса по договору"),-E310,IF(C310="Корректировка (подписана обеими сторонами)",E310,0))))</f>
        <v/>
      </c>
      <c r="H310" s="5">
        <f>IF(OR(C310="Удержание",C310="Зачёт встречного требования",C310="Неустойка заявлена"),N(E310),0)</f>
        <v/>
      </c>
      <c r="I310" s="6">
        <f>IF(AND(B310="",C310="",D310="",E310="",F310=""),"",IF(OR(B310="",C310="",E310=""),"БЛОК: нужны дата, тип операции и сумма",IF(N(E310)&lt;=0,"БЛОК: сумма должна быть больше нуля",IF(AND(G310&lt;&gt;0,F310=""),"БЛОК: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нельзя",IF(AND(F310&lt;&gt;"",COUNTIF('Долг по актам'!$B$5:$B$34,F310)=0),"БЛОК: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договору")&gt;0)*($C$5:$C$504&lt;&gt;C310)*($E$5:$E$504=E310)*(($D$5:$D$504=D310)*(D310&lt;&gt;"")+($B$5:$B$504=B310)*(B310&lt;&gt;"")&gt;0))&gt;0,"БЛОК: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310" s="5">
        <f>IF(AND(B310="",C310="",E310=""),"",SUM($G$5:G310))</f>
        <v/>
      </c>
    </row>
    <row r="311">
      <c r="A311" s="6" t="n">
        <v>307</v>
      </c>
      <c r="B311" s="7" t="n"/>
      <c r="C311" s="8" t="n"/>
      <c r="D311" s="8" t="n"/>
      <c r="E311" s="9" t="n"/>
      <c r="F311" s="8" t="n"/>
      <c r="G311" s="5">
        <f>IF(OR(C311="",E311=""),0,IF(C311="Начисление по акту",E311,IF(OR(C311="Оплата",C311="Зачёт аванса по договору"),-E311,IF(C311="Корректировка (подписана обеими сторонами)",E311,0))))</f>
        <v/>
      </c>
      <c r="H311" s="5">
        <f>IF(OR(C311="Удержание",C311="Зачёт встречного требования",C311="Неустойка заявлена"),N(E311),0)</f>
        <v/>
      </c>
      <c r="I311" s="6">
        <f>IF(AND(B311="",C311="",D311="",E311="",F311=""),"",IF(OR(B311="",C311="",E311=""),"БЛОК: нужны дата, тип операции и сумма",IF(N(E311)&lt;=0,"БЛОК: сумма должна быть больше нуля",IF(AND(G311&lt;&gt;0,F311=""),"БЛОК: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нельзя",IF(AND(F311&lt;&gt;"",COUNTIF('Долг по актам'!$B$5:$B$34,F311)=0),"БЛОК: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договору")&gt;0)*($C$5:$C$504&lt;&gt;C311)*($E$5:$E$504=E311)*(($D$5:$D$504=D311)*(D311&lt;&gt;"")+($B$5:$B$504=B311)*(B311&lt;&gt;"")&gt;0))&gt;0,"БЛОК: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311" s="5">
        <f>IF(AND(B311="",C311="",E311=""),"",SUM($G$5:G311))</f>
        <v/>
      </c>
    </row>
    <row r="312">
      <c r="A312" s="6" t="n">
        <v>308</v>
      </c>
      <c r="B312" s="7" t="n"/>
      <c r="C312" s="8" t="n"/>
      <c r="D312" s="8" t="n"/>
      <c r="E312" s="9" t="n"/>
      <c r="F312" s="8" t="n"/>
      <c r="G312" s="5">
        <f>IF(OR(C312="",E312=""),0,IF(C312="Начисление по акту",E312,IF(OR(C312="Оплата",C312="Зачёт аванса по договору"),-E312,IF(C312="Корректировка (подписана обеими сторонами)",E312,0))))</f>
        <v/>
      </c>
      <c r="H312" s="5">
        <f>IF(OR(C312="Удержание",C312="Зачёт встречного требования",C312="Неустойка заявлена"),N(E312),0)</f>
        <v/>
      </c>
      <c r="I312" s="6">
        <f>IF(AND(B312="",C312="",D312="",E312="",F312=""),"",IF(OR(B312="",C312="",E312=""),"БЛОК: нужны дата, тип операции и сумма",IF(N(E312)&lt;=0,"БЛОК: сумма должна быть больше нуля",IF(AND(G312&lt;&gt;0,F312=""),"БЛОК: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нельзя",IF(AND(F312&lt;&gt;"",COUNTIF('Долг по актам'!$B$5:$B$34,F312)=0),"БЛОК: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договору")&gt;0)*($C$5:$C$504&lt;&gt;C312)*($E$5:$E$504=E312)*(($D$5:$D$504=D312)*(D312&lt;&gt;"")+($B$5:$B$504=B312)*(B312&lt;&gt;"")&gt;0))&gt;0,"БЛОК: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312" s="5">
        <f>IF(AND(B312="",C312="",E312=""),"",SUM($G$5:G312))</f>
        <v/>
      </c>
    </row>
    <row r="313">
      <c r="A313" s="6" t="n">
        <v>309</v>
      </c>
      <c r="B313" s="7" t="n"/>
      <c r="C313" s="8" t="n"/>
      <c r="D313" s="8" t="n"/>
      <c r="E313" s="9" t="n"/>
      <c r="F313" s="8" t="n"/>
      <c r="G313" s="5">
        <f>IF(OR(C313="",E313=""),0,IF(C313="Начисление по акту",E313,IF(OR(C313="Оплата",C313="Зачёт аванса по договору"),-E313,IF(C313="Корректировка (подписана обеими сторонами)",E313,0))))</f>
        <v/>
      </c>
      <c r="H313" s="5">
        <f>IF(OR(C313="Удержание",C313="Зачёт встречного требования",C313="Неустойка заявлена"),N(E313),0)</f>
        <v/>
      </c>
      <c r="I313" s="6">
        <f>IF(AND(B313="",C313="",D313="",E313="",F313=""),"",IF(OR(B313="",C313="",E313=""),"БЛОК: нужны дата, тип операции и сумма",IF(N(E313)&lt;=0,"БЛОК: сумма должна быть больше нуля",IF(AND(G313&lt;&gt;0,F313=""),"БЛОК: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нельзя",IF(AND(F313&lt;&gt;"",COUNTIF('Долг по актам'!$B$5:$B$34,F313)=0),"БЛОК: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договору")&gt;0)*($C$5:$C$504&lt;&gt;C313)*($E$5:$E$504=E313)*(($D$5:$D$504=D313)*(D313&lt;&gt;"")+($B$5:$B$504=B313)*(B313&lt;&gt;"")&gt;0))&gt;0,"БЛОК: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313" s="5">
        <f>IF(AND(B313="",C313="",E313=""),"",SUM($G$5:G313))</f>
        <v/>
      </c>
    </row>
    <row r="314">
      <c r="A314" s="6" t="n">
        <v>310</v>
      </c>
      <c r="B314" s="7" t="n"/>
      <c r="C314" s="8" t="n"/>
      <c r="D314" s="8" t="n"/>
      <c r="E314" s="9" t="n"/>
      <c r="F314" s="8" t="n"/>
      <c r="G314" s="5">
        <f>IF(OR(C314="",E314=""),0,IF(C314="Начисление по акту",E314,IF(OR(C314="Оплата",C314="Зачёт аванса по договору"),-E314,IF(C314="Корректировка (подписана обеими сторонами)",E314,0))))</f>
        <v/>
      </c>
      <c r="H314" s="5">
        <f>IF(OR(C314="Удержание",C314="Зачёт встречного требования",C314="Неустойка заявлена"),N(E314),0)</f>
        <v/>
      </c>
      <c r="I314" s="6">
        <f>IF(AND(B314="",C314="",D314="",E314="",F314=""),"",IF(OR(B314="",C314="",E314=""),"БЛОК: нужны дата, тип операции и сумма",IF(N(E314)&lt;=0,"БЛОК: сумма должна быть больше нуля",IF(AND(G314&lt;&gt;0,F314=""),"БЛОК: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нельзя",IF(AND(F314&lt;&gt;"",COUNTIF('Долг по актам'!$B$5:$B$34,F314)=0),"БЛОК: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договору")&gt;0)*($C$5:$C$504&lt;&gt;C314)*($E$5:$E$504=E314)*(($D$5:$D$504=D314)*(D314&lt;&gt;"")+($B$5:$B$504=B314)*(B314&lt;&gt;"")&gt;0))&gt;0,"БЛОК: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314" s="5">
        <f>IF(AND(B314="",C314="",E314=""),"",SUM($G$5:G314))</f>
        <v/>
      </c>
    </row>
    <row r="315">
      <c r="A315" s="6" t="n">
        <v>311</v>
      </c>
      <c r="B315" s="7" t="n"/>
      <c r="C315" s="8" t="n"/>
      <c r="D315" s="8" t="n"/>
      <c r="E315" s="9" t="n"/>
      <c r="F315" s="8" t="n"/>
      <c r="G315" s="5">
        <f>IF(OR(C315="",E315=""),0,IF(C315="Начисление по акту",E315,IF(OR(C315="Оплата",C315="Зачёт аванса по договору"),-E315,IF(C315="Корректировка (подписана обеими сторонами)",E315,0))))</f>
        <v/>
      </c>
      <c r="H315" s="5">
        <f>IF(OR(C315="Удержание",C315="Зачёт встречного требования",C315="Неустойка заявлена"),N(E315),0)</f>
        <v/>
      </c>
      <c r="I315" s="6">
        <f>IF(AND(B315="",C315="",D315="",E315="",F315=""),"",IF(OR(B315="",C315="",E315=""),"БЛОК: нужны дата, тип операции и сумма",IF(N(E315)&lt;=0,"БЛОК: сумма должна быть больше нуля",IF(AND(G315&lt;&gt;0,F315=""),"БЛОК: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нельзя",IF(AND(F315&lt;&gt;"",COUNTIF('Долг по актам'!$B$5:$B$34,F315)=0),"БЛОК: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договору")&gt;0)*($C$5:$C$504&lt;&gt;C315)*($E$5:$E$504=E315)*(($D$5:$D$504=D315)*(D315&lt;&gt;"")+($B$5:$B$504=B315)*(B315&lt;&gt;"")&gt;0))&gt;0,"БЛОК: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315" s="5">
        <f>IF(AND(B315="",C315="",E315=""),"",SUM($G$5:G315))</f>
        <v/>
      </c>
    </row>
    <row r="316">
      <c r="A316" s="6" t="n">
        <v>312</v>
      </c>
      <c r="B316" s="7" t="n"/>
      <c r="C316" s="8" t="n"/>
      <c r="D316" s="8" t="n"/>
      <c r="E316" s="9" t="n"/>
      <c r="F316" s="8" t="n"/>
      <c r="G316" s="5">
        <f>IF(OR(C316="",E316=""),0,IF(C316="Начисление по акту",E316,IF(OR(C316="Оплата",C316="Зачёт аванса по договору"),-E316,IF(C316="Корректировка (подписана обеими сторонами)",E316,0))))</f>
        <v/>
      </c>
      <c r="H316" s="5">
        <f>IF(OR(C316="Удержание",C316="Зачёт встречного требования",C316="Неустойка заявлена"),N(E316),0)</f>
        <v/>
      </c>
      <c r="I316" s="6">
        <f>IF(AND(B316="",C316="",D316="",E316="",F316=""),"",IF(OR(B316="",C316="",E316=""),"БЛОК: нужны дата, тип операции и сумма",IF(N(E316)&lt;=0,"БЛОК: сумма должна быть больше нуля",IF(AND(G316&lt;&gt;0,F316=""),"БЛОК: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нельзя",IF(AND(F316&lt;&gt;"",COUNTIF('Долг по актам'!$B$5:$B$34,F316)=0),"БЛОК: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договору")&gt;0)*($C$5:$C$504&lt;&gt;C316)*($E$5:$E$504=E316)*(($D$5:$D$504=D316)*(D316&lt;&gt;"")+($B$5:$B$504=B316)*(B316&lt;&gt;"")&gt;0))&gt;0,"БЛОК: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316" s="5">
        <f>IF(AND(B316="",C316="",E316=""),"",SUM($G$5:G316))</f>
        <v/>
      </c>
    </row>
    <row r="317">
      <c r="A317" s="6" t="n">
        <v>313</v>
      </c>
      <c r="B317" s="7" t="n"/>
      <c r="C317" s="8" t="n"/>
      <c r="D317" s="8" t="n"/>
      <c r="E317" s="9" t="n"/>
      <c r="F317" s="8" t="n"/>
      <c r="G317" s="5">
        <f>IF(OR(C317="",E317=""),0,IF(C317="Начисление по акту",E317,IF(OR(C317="Оплата",C317="Зачёт аванса по договору"),-E317,IF(C317="Корректировка (подписана обеими сторонами)",E317,0))))</f>
        <v/>
      </c>
      <c r="H317" s="5">
        <f>IF(OR(C317="Удержание",C317="Зачёт встречного требования",C317="Неустойка заявлена"),N(E317),0)</f>
        <v/>
      </c>
      <c r="I317" s="6">
        <f>IF(AND(B317="",C317="",D317="",E317="",F317=""),"",IF(OR(B317="",C317="",E317=""),"БЛОК: нужны дата, тип операции и сумма",IF(N(E317)&lt;=0,"БЛОК: сумма должна быть больше нуля",IF(AND(G317&lt;&gt;0,F317=""),"БЛОК: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нельзя",IF(AND(F317&lt;&gt;"",COUNTIF('Долг по актам'!$B$5:$B$34,F317)=0),"БЛОК: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договору")&gt;0)*($C$5:$C$504&lt;&gt;C317)*($E$5:$E$504=E317)*(($D$5:$D$504=D317)*(D317&lt;&gt;"")+($B$5:$B$504=B317)*(B317&lt;&gt;"")&gt;0))&gt;0,"БЛОК: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317" s="5">
        <f>IF(AND(B317="",C317="",E317=""),"",SUM($G$5:G317))</f>
        <v/>
      </c>
    </row>
    <row r="318">
      <c r="A318" s="6" t="n">
        <v>314</v>
      </c>
      <c r="B318" s="7" t="n"/>
      <c r="C318" s="8" t="n"/>
      <c r="D318" s="8" t="n"/>
      <c r="E318" s="9" t="n"/>
      <c r="F318" s="8" t="n"/>
      <c r="G318" s="5">
        <f>IF(OR(C318="",E318=""),0,IF(C318="Начисление по акту",E318,IF(OR(C318="Оплата",C318="Зачёт аванса по договору"),-E318,IF(C318="Корректировка (подписана обеими сторонами)",E318,0))))</f>
        <v/>
      </c>
      <c r="H318" s="5">
        <f>IF(OR(C318="Удержание",C318="Зачёт встречного требования",C318="Неустойка заявлена"),N(E318),0)</f>
        <v/>
      </c>
      <c r="I318" s="6">
        <f>IF(AND(B318="",C318="",D318="",E318="",F318=""),"",IF(OR(B318="",C318="",E318=""),"БЛОК: нужны дата, тип операции и сумма",IF(N(E318)&lt;=0,"БЛОК: сумма должна быть больше нуля",IF(AND(G318&lt;&gt;0,F318=""),"БЛОК: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нельзя",IF(AND(F318&lt;&gt;"",COUNTIF('Долг по актам'!$B$5:$B$34,F318)=0),"БЛОК: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договору")&gt;0)*($C$5:$C$504&lt;&gt;C318)*($E$5:$E$504=E318)*(($D$5:$D$504=D318)*(D318&lt;&gt;"")+($B$5:$B$504=B318)*(B318&lt;&gt;"")&gt;0))&gt;0,"БЛОК: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318" s="5">
        <f>IF(AND(B318="",C318="",E318=""),"",SUM($G$5:G318))</f>
        <v/>
      </c>
    </row>
    <row r="319">
      <c r="A319" s="6" t="n">
        <v>315</v>
      </c>
      <c r="B319" s="7" t="n"/>
      <c r="C319" s="8" t="n"/>
      <c r="D319" s="8" t="n"/>
      <c r="E319" s="9" t="n"/>
      <c r="F319" s="8" t="n"/>
      <c r="G319" s="5">
        <f>IF(OR(C319="",E319=""),0,IF(C319="Начисление по акту",E319,IF(OR(C319="Оплата",C319="Зачёт аванса по договору"),-E319,IF(C319="Корректировка (подписана обеими сторонами)",E319,0))))</f>
        <v/>
      </c>
      <c r="H319" s="5">
        <f>IF(OR(C319="Удержание",C319="Зачёт встречного требования",C319="Неустойка заявлена"),N(E319),0)</f>
        <v/>
      </c>
      <c r="I319" s="6">
        <f>IF(AND(B319="",C319="",D319="",E319="",F319=""),"",IF(OR(B319="",C319="",E319=""),"БЛОК: нужны дата, тип операции и сумма",IF(N(E319)&lt;=0,"БЛОК: сумма должна быть больше нуля",IF(AND(G319&lt;&gt;0,F319=""),"БЛОК: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нельзя",IF(AND(F319&lt;&gt;"",COUNTIF('Долг по актам'!$B$5:$B$34,F319)=0),"БЛОК: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договору")&gt;0)*($C$5:$C$504&lt;&gt;C319)*($E$5:$E$504=E319)*(($D$5:$D$504=D319)*(D319&lt;&gt;"")+($B$5:$B$504=B319)*(B319&lt;&gt;"")&gt;0))&gt;0,"БЛОК: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319" s="5">
        <f>IF(AND(B319="",C319="",E319=""),"",SUM($G$5:G319))</f>
        <v/>
      </c>
    </row>
    <row r="320">
      <c r="A320" s="6" t="n">
        <v>316</v>
      </c>
      <c r="B320" s="7" t="n"/>
      <c r="C320" s="8" t="n"/>
      <c r="D320" s="8" t="n"/>
      <c r="E320" s="9" t="n"/>
      <c r="F320" s="8" t="n"/>
      <c r="G320" s="5">
        <f>IF(OR(C320="",E320=""),0,IF(C320="Начисление по акту",E320,IF(OR(C320="Оплата",C320="Зачёт аванса по договору"),-E320,IF(C320="Корректировка (подписана обеими сторонами)",E320,0))))</f>
        <v/>
      </c>
      <c r="H320" s="5">
        <f>IF(OR(C320="Удержание",C320="Зачёт встречного требования",C320="Неустойка заявлена"),N(E320),0)</f>
        <v/>
      </c>
      <c r="I320" s="6">
        <f>IF(AND(B320="",C320="",D320="",E320="",F320=""),"",IF(OR(B320="",C320="",E320=""),"БЛОК: нужны дата, тип операции и сумма",IF(N(E320)&lt;=0,"БЛОК: сумма должна быть больше нуля",IF(AND(G320&lt;&gt;0,F320=""),"БЛОК: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нельзя",IF(AND(F320&lt;&gt;"",COUNTIF('Долг по актам'!$B$5:$B$34,F320)=0),"БЛОК: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договору")&gt;0)*($C$5:$C$504&lt;&gt;C320)*($E$5:$E$504=E320)*(($D$5:$D$504=D320)*(D320&lt;&gt;"")+($B$5:$B$504=B320)*(B320&lt;&gt;"")&gt;0))&gt;0,"БЛОК: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320" s="5">
        <f>IF(AND(B320="",C320="",E320=""),"",SUM($G$5:G320))</f>
        <v/>
      </c>
    </row>
    <row r="321">
      <c r="A321" s="6" t="n">
        <v>317</v>
      </c>
      <c r="B321" s="7" t="n"/>
      <c r="C321" s="8" t="n"/>
      <c r="D321" s="8" t="n"/>
      <c r="E321" s="9" t="n"/>
      <c r="F321" s="8" t="n"/>
      <c r="G321" s="5">
        <f>IF(OR(C321="",E321=""),0,IF(C321="Начисление по акту",E321,IF(OR(C321="Оплата",C321="Зачёт аванса по договору"),-E321,IF(C321="Корректировка (подписана обеими сторонами)",E321,0))))</f>
        <v/>
      </c>
      <c r="H321" s="5">
        <f>IF(OR(C321="Удержание",C321="Зачёт встречного требования",C321="Неустойка заявлена"),N(E321),0)</f>
        <v/>
      </c>
      <c r="I321" s="6">
        <f>IF(AND(B321="",C321="",D321="",E321="",F321=""),"",IF(OR(B321="",C321="",E321=""),"БЛОК: нужны дата, тип операции и сумма",IF(N(E321)&lt;=0,"БЛОК: сумма должна быть больше нуля",IF(AND(G321&lt;&gt;0,F321=""),"БЛОК: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нельзя",IF(AND(F321&lt;&gt;"",COUNTIF('Долг по актам'!$B$5:$B$34,F321)=0),"БЛОК: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договору")&gt;0)*($C$5:$C$504&lt;&gt;C321)*($E$5:$E$504=E321)*(($D$5:$D$504=D321)*(D321&lt;&gt;"")+($B$5:$B$504=B321)*(B321&lt;&gt;"")&gt;0))&gt;0,"БЛОК: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321" s="5">
        <f>IF(AND(B321="",C321="",E321=""),"",SUM($G$5:G321))</f>
        <v/>
      </c>
    </row>
    <row r="322">
      <c r="A322" s="6" t="n">
        <v>318</v>
      </c>
      <c r="B322" s="7" t="n"/>
      <c r="C322" s="8" t="n"/>
      <c r="D322" s="8" t="n"/>
      <c r="E322" s="9" t="n"/>
      <c r="F322" s="8" t="n"/>
      <c r="G322" s="5">
        <f>IF(OR(C322="",E322=""),0,IF(C322="Начисление по акту",E322,IF(OR(C322="Оплата",C322="Зачёт аванса по договору"),-E322,IF(C322="Корректировка (подписана обеими сторонами)",E322,0))))</f>
        <v/>
      </c>
      <c r="H322" s="5">
        <f>IF(OR(C322="Удержание",C322="Зачёт встречного требования",C322="Неустойка заявлена"),N(E322),0)</f>
        <v/>
      </c>
      <c r="I322" s="6">
        <f>IF(AND(B322="",C322="",D322="",E322="",F322=""),"",IF(OR(B322="",C322="",E322=""),"БЛОК: нужны дата, тип операции и сумма",IF(N(E322)&lt;=0,"БЛОК: сумма должна быть больше нуля",IF(AND(G322&lt;&gt;0,F322=""),"БЛОК: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нельзя",IF(AND(F322&lt;&gt;"",COUNTIF('Долг по актам'!$B$5:$B$34,F322)=0),"БЛОК: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договору")&gt;0)*($C$5:$C$504&lt;&gt;C322)*($E$5:$E$504=E322)*(($D$5:$D$504=D322)*(D322&lt;&gt;"")+($B$5:$B$504=B322)*(B322&lt;&gt;"")&gt;0))&gt;0,"БЛОК: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322" s="5">
        <f>IF(AND(B322="",C322="",E322=""),"",SUM($G$5:G322))</f>
        <v/>
      </c>
    </row>
    <row r="323">
      <c r="A323" s="6" t="n">
        <v>319</v>
      </c>
      <c r="B323" s="7" t="n"/>
      <c r="C323" s="8" t="n"/>
      <c r="D323" s="8" t="n"/>
      <c r="E323" s="9" t="n"/>
      <c r="F323" s="8" t="n"/>
      <c r="G323" s="5">
        <f>IF(OR(C323="",E323=""),0,IF(C323="Начисление по акту",E323,IF(OR(C323="Оплата",C323="Зачёт аванса по договору"),-E323,IF(C323="Корректировка (подписана обеими сторонами)",E323,0))))</f>
        <v/>
      </c>
      <c r="H323" s="5">
        <f>IF(OR(C323="Удержание",C323="Зачёт встречного требования",C323="Неустойка заявлена"),N(E323),0)</f>
        <v/>
      </c>
      <c r="I323" s="6">
        <f>IF(AND(B323="",C323="",D323="",E323="",F323=""),"",IF(OR(B323="",C323="",E323=""),"БЛОК: нужны дата, тип операции и сумма",IF(N(E323)&lt;=0,"БЛОК: сумма должна быть больше нуля",IF(AND(G323&lt;&gt;0,F323=""),"БЛОК: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нельзя",IF(AND(F323&lt;&gt;"",COUNTIF('Долг по актам'!$B$5:$B$34,F323)=0),"БЛОК: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договору")&gt;0)*($C$5:$C$504&lt;&gt;C323)*($E$5:$E$504=E323)*(($D$5:$D$504=D323)*(D323&lt;&gt;"")+($B$5:$B$504=B323)*(B323&lt;&gt;"")&gt;0))&gt;0,"БЛОК: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323" s="5">
        <f>IF(AND(B323="",C323="",E323=""),"",SUM($G$5:G323))</f>
        <v/>
      </c>
    </row>
    <row r="324">
      <c r="A324" s="6" t="n">
        <v>320</v>
      </c>
      <c r="B324" s="7" t="n"/>
      <c r="C324" s="8" t="n"/>
      <c r="D324" s="8" t="n"/>
      <c r="E324" s="9" t="n"/>
      <c r="F324" s="8" t="n"/>
      <c r="G324" s="5">
        <f>IF(OR(C324="",E324=""),0,IF(C324="Начисление по акту",E324,IF(OR(C324="Оплата",C324="Зачёт аванса по договору"),-E324,IF(C324="Корректировка (подписана обеими сторонами)",E324,0))))</f>
        <v/>
      </c>
      <c r="H324" s="5">
        <f>IF(OR(C324="Удержание",C324="Зачёт встречного требования",C324="Неустойка заявлена"),N(E324),0)</f>
        <v/>
      </c>
      <c r="I324" s="6">
        <f>IF(AND(B324="",C324="",D324="",E324="",F324=""),"",IF(OR(B324="",C324="",E324=""),"БЛОК: нужны дата, тип операции и сумма",IF(N(E324)&lt;=0,"БЛОК: сумма должна быть больше нуля",IF(AND(G324&lt;&gt;0,F324=""),"БЛОК: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нельзя",IF(AND(F324&lt;&gt;"",COUNTIF('Долг по актам'!$B$5:$B$34,F324)=0),"БЛОК: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договору")&gt;0)*($C$5:$C$504&lt;&gt;C324)*($E$5:$E$504=E324)*(($D$5:$D$504=D324)*(D324&lt;&gt;"")+($B$5:$B$504=B324)*(B324&lt;&gt;"")&gt;0))&gt;0,"БЛОК: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324" s="5">
        <f>IF(AND(B324="",C324="",E324=""),"",SUM($G$5:G324))</f>
        <v/>
      </c>
    </row>
    <row r="325">
      <c r="A325" s="6" t="n">
        <v>321</v>
      </c>
      <c r="B325" s="7" t="n"/>
      <c r="C325" s="8" t="n"/>
      <c r="D325" s="8" t="n"/>
      <c r="E325" s="9" t="n"/>
      <c r="F325" s="8" t="n"/>
      <c r="G325" s="5">
        <f>IF(OR(C325="",E325=""),0,IF(C325="Начисление по акту",E325,IF(OR(C325="Оплата",C325="Зачёт аванса по договору"),-E325,IF(C325="Корректировка (подписана обеими сторонами)",E325,0))))</f>
        <v/>
      </c>
      <c r="H325" s="5">
        <f>IF(OR(C325="Удержание",C325="Зачёт встречного требования",C325="Неустойка заявлена"),N(E325),0)</f>
        <v/>
      </c>
      <c r="I325" s="6">
        <f>IF(AND(B325="",C325="",D325="",E325="",F325=""),"",IF(OR(B325="",C325="",E325=""),"БЛОК: нужны дата, тип операции и сумма",IF(N(E325)&lt;=0,"БЛОК: сумма должна быть больше нуля",IF(AND(G325&lt;&gt;0,F325=""),"БЛОК: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нельзя",IF(AND(F325&lt;&gt;"",COUNTIF('Долг по актам'!$B$5:$B$34,F325)=0),"БЛОК: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договору")&gt;0)*($C$5:$C$504&lt;&gt;C325)*($E$5:$E$504=E325)*(($D$5:$D$504=D325)*(D325&lt;&gt;"")+($B$5:$B$504=B325)*(B325&lt;&gt;"")&gt;0))&gt;0,"БЛОК: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325" s="5">
        <f>IF(AND(B325="",C325="",E325=""),"",SUM($G$5:G325))</f>
        <v/>
      </c>
    </row>
    <row r="326">
      <c r="A326" s="6" t="n">
        <v>322</v>
      </c>
      <c r="B326" s="7" t="n"/>
      <c r="C326" s="8" t="n"/>
      <c r="D326" s="8" t="n"/>
      <c r="E326" s="9" t="n"/>
      <c r="F326" s="8" t="n"/>
      <c r="G326" s="5">
        <f>IF(OR(C326="",E326=""),0,IF(C326="Начисление по акту",E326,IF(OR(C326="Оплата",C326="Зачёт аванса по договору"),-E326,IF(C326="Корректировка (подписана обеими сторонами)",E326,0))))</f>
        <v/>
      </c>
      <c r="H326" s="5">
        <f>IF(OR(C326="Удержание",C326="Зачёт встречного требования",C326="Неустойка заявлена"),N(E326),0)</f>
        <v/>
      </c>
      <c r="I326" s="6">
        <f>IF(AND(B326="",C326="",D326="",E326="",F326=""),"",IF(OR(B326="",C326="",E326=""),"БЛОК: нужны дата, тип операции и сумма",IF(N(E326)&lt;=0,"БЛОК: сумма должна быть больше нуля",IF(AND(G326&lt;&gt;0,F326=""),"БЛОК: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нельзя",IF(AND(F326&lt;&gt;"",COUNTIF('Долг по актам'!$B$5:$B$34,F326)=0),"БЛОК: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договору")&gt;0)*($C$5:$C$504&lt;&gt;C326)*($E$5:$E$504=E326)*(($D$5:$D$504=D326)*(D326&lt;&gt;"")+($B$5:$B$504=B326)*(B326&lt;&gt;"")&gt;0))&gt;0,"БЛОК: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326" s="5">
        <f>IF(AND(B326="",C326="",E326=""),"",SUM($G$5:G326))</f>
        <v/>
      </c>
    </row>
    <row r="327">
      <c r="A327" s="6" t="n">
        <v>323</v>
      </c>
      <c r="B327" s="7" t="n"/>
      <c r="C327" s="8" t="n"/>
      <c r="D327" s="8" t="n"/>
      <c r="E327" s="9" t="n"/>
      <c r="F327" s="8" t="n"/>
      <c r="G327" s="5">
        <f>IF(OR(C327="",E327=""),0,IF(C327="Начисление по акту",E327,IF(OR(C327="Оплата",C327="Зачёт аванса по договору"),-E327,IF(C327="Корректировка (подписана обеими сторонами)",E327,0))))</f>
        <v/>
      </c>
      <c r="H327" s="5">
        <f>IF(OR(C327="Удержание",C327="Зачёт встречного требования",C327="Неустойка заявлена"),N(E327),0)</f>
        <v/>
      </c>
      <c r="I327" s="6">
        <f>IF(AND(B327="",C327="",D327="",E327="",F327=""),"",IF(OR(B327="",C327="",E327=""),"БЛОК: нужны дата, тип операции и сумма",IF(N(E327)&lt;=0,"БЛОК: сумма должна быть больше нуля",IF(AND(G327&lt;&gt;0,F327=""),"БЛОК: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нельзя",IF(AND(F327&lt;&gt;"",COUNTIF('Долг по актам'!$B$5:$B$34,F327)=0),"БЛОК: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договору")&gt;0)*($C$5:$C$504&lt;&gt;C327)*($E$5:$E$504=E327)*(($D$5:$D$504=D327)*(D327&lt;&gt;"")+($B$5:$B$504=B327)*(B327&lt;&gt;"")&gt;0))&gt;0,"БЛОК: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327" s="5">
        <f>IF(AND(B327="",C327="",E327=""),"",SUM($G$5:G327))</f>
        <v/>
      </c>
    </row>
    <row r="328">
      <c r="A328" s="6" t="n">
        <v>324</v>
      </c>
      <c r="B328" s="7" t="n"/>
      <c r="C328" s="8" t="n"/>
      <c r="D328" s="8" t="n"/>
      <c r="E328" s="9" t="n"/>
      <c r="F328" s="8" t="n"/>
      <c r="G328" s="5">
        <f>IF(OR(C328="",E328=""),0,IF(C328="Начисление по акту",E328,IF(OR(C328="Оплата",C328="Зачёт аванса по договору"),-E328,IF(C328="Корректировка (подписана обеими сторонами)",E328,0))))</f>
        <v/>
      </c>
      <c r="H328" s="5">
        <f>IF(OR(C328="Удержание",C328="Зачёт встречного требования",C328="Неустойка заявлена"),N(E328),0)</f>
        <v/>
      </c>
      <c r="I328" s="6">
        <f>IF(AND(B328="",C328="",D328="",E328="",F328=""),"",IF(OR(B328="",C328="",E328=""),"БЛОК: нужны дата, тип операции и сумма",IF(N(E328)&lt;=0,"БЛОК: сумма должна быть больше нуля",IF(AND(G328&lt;&gt;0,F328=""),"БЛОК: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нельзя",IF(AND(F328&lt;&gt;"",COUNTIF('Долг по актам'!$B$5:$B$34,F328)=0),"БЛОК: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договору")&gt;0)*($C$5:$C$504&lt;&gt;C328)*($E$5:$E$504=E328)*(($D$5:$D$504=D328)*(D328&lt;&gt;"")+($B$5:$B$504=B328)*(B328&lt;&gt;"")&gt;0))&gt;0,"БЛОК: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328" s="5">
        <f>IF(AND(B328="",C328="",E328=""),"",SUM($G$5:G328))</f>
        <v/>
      </c>
    </row>
    <row r="329">
      <c r="A329" s="6" t="n">
        <v>325</v>
      </c>
      <c r="B329" s="7" t="n"/>
      <c r="C329" s="8" t="n"/>
      <c r="D329" s="8" t="n"/>
      <c r="E329" s="9" t="n"/>
      <c r="F329" s="8" t="n"/>
      <c r="G329" s="5">
        <f>IF(OR(C329="",E329=""),0,IF(C329="Начисление по акту",E329,IF(OR(C329="Оплата",C329="Зачёт аванса по договору"),-E329,IF(C329="Корректировка (подписана обеими сторонами)",E329,0))))</f>
        <v/>
      </c>
      <c r="H329" s="5">
        <f>IF(OR(C329="Удержание",C329="Зачёт встречного требования",C329="Неустойка заявлена"),N(E329),0)</f>
        <v/>
      </c>
      <c r="I329" s="6">
        <f>IF(AND(B329="",C329="",D329="",E329="",F329=""),"",IF(OR(B329="",C329="",E329=""),"БЛОК: нужны дата, тип операции и сумма",IF(N(E329)&lt;=0,"БЛОК: сумма должна быть больше нуля",IF(AND(G329&lt;&gt;0,F329=""),"БЛОК: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нельзя",IF(AND(F329&lt;&gt;"",COUNTIF('Долг по актам'!$B$5:$B$34,F329)=0),"БЛОК: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договору")&gt;0)*($C$5:$C$504&lt;&gt;C329)*($E$5:$E$504=E329)*(($D$5:$D$504=D329)*(D329&lt;&gt;"")+($B$5:$B$504=B329)*(B329&lt;&gt;"")&gt;0))&gt;0,"БЛОК: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329" s="5">
        <f>IF(AND(B329="",C329="",E329=""),"",SUM($G$5:G329))</f>
        <v/>
      </c>
    </row>
    <row r="330">
      <c r="A330" s="6" t="n">
        <v>326</v>
      </c>
      <c r="B330" s="7" t="n"/>
      <c r="C330" s="8" t="n"/>
      <c r="D330" s="8" t="n"/>
      <c r="E330" s="9" t="n"/>
      <c r="F330" s="8" t="n"/>
      <c r="G330" s="5">
        <f>IF(OR(C330="",E330=""),0,IF(C330="Начисление по акту",E330,IF(OR(C330="Оплата",C330="Зачёт аванса по договору"),-E330,IF(C330="Корректировка (подписана обеими сторонами)",E330,0))))</f>
        <v/>
      </c>
      <c r="H330" s="5">
        <f>IF(OR(C330="Удержание",C330="Зачёт встречного требования",C330="Неустойка заявлена"),N(E330),0)</f>
        <v/>
      </c>
      <c r="I330" s="6">
        <f>IF(AND(B330="",C330="",D330="",E330="",F330=""),"",IF(OR(B330="",C330="",E330=""),"БЛОК: нужны дата, тип операции и сумма",IF(N(E330)&lt;=0,"БЛОК: сумма должна быть больше нуля",IF(AND(G330&lt;&gt;0,F330=""),"БЛОК: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нельзя",IF(AND(F330&lt;&gt;"",COUNTIF('Долг по актам'!$B$5:$B$34,F330)=0),"БЛОК: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договору")&gt;0)*($C$5:$C$504&lt;&gt;C330)*($E$5:$E$504=E330)*(($D$5:$D$504=D330)*(D330&lt;&gt;"")+($B$5:$B$504=B330)*(B330&lt;&gt;"")&gt;0))&gt;0,"БЛОК: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330" s="5">
        <f>IF(AND(B330="",C330="",E330=""),"",SUM($G$5:G330))</f>
        <v/>
      </c>
    </row>
    <row r="331">
      <c r="A331" s="6" t="n">
        <v>327</v>
      </c>
      <c r="B331" s="7" t="n"/>
      <c r="C331" s="8" t="n"/>
      <c r="D331" s="8" t="n"/>
      <c r="E331" s="9" t="n"/>
      <c r="F331" s="8" t="n"/>
      <c r="G331" s="5">
        <f>IF(OR(C331="",E331=""),0,IF(C331="Начисление по акту",E331,IF(OR(C331="Оплата",C331="Зачёт аванса по договору"),-E331,IF(C331="Корректировка (подписана обеими сторонами)",E331,0))))</f>
        <v/>
      </c>
      <c r="H331" s="5">
        <f>IF(OR(C331="Удержание",C331="Зачёт встречного требования",C331="Неустойка заявлена"),N(E331),0)</f>
        <v/>
      </c>
      <c r="I331" s="6">
        <f>IF(AND(B331="",C331="",D331="",E331="",F331=""),"",IF(OR(B331="",C331="",E331=""),"БЛОК: нужны дата, тип операции и сумма",IF(N(E331)&lt;=0,"БЛОК: сумма должна быть больше нуля",IF(AND(G331&lt;&gt;0,F331=""),"БЛОК: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нельзя",IF(AND(F331&lt;&gt;"",COUNTIF('Долг по актам'!$B$5:$B$34,F331)=0),"БЛОК: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договору")&gt;0)*($C$5:$C$504&lt;&gt;C331)*($E$5:$E$504=E331)*(($D$5:$D$504=D331)*(D331&lt;&gt;"")+($B$5:$B$504=B331)*(B331&lt;&gt;"")&gt;0))&gt;0,"БЛОК: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331" s="5">
        <f>IF(AND(B331="",C331="",E331=""),"",SUM($G$5:G331))</f>
        <v/>
      </c>
    </row>
    <row r="332">
      <c r="A332" s="6" t="n">
        <v>328</v>
      </c>
      <c r="B332" s="7" t="n"/>
      <c r="C332" s="8" t="n"/>
      <c r="D332" s="8" t="n"/>
      <c r="E332" s="9" t="n"/>
      <c r="F332" s="8" t="n"/>
      <c r="G332" s="5">
        <f>IF(OR(C332="",E332=""),0,IF(C332="Начисление по акту",E332,IF(OR(C332="Оплата",C332="Зачёт аванса по договору"),-E332,IF(C332="Корректировка (подписана обеими сторонами)",E332,0))))</f>
        <v/>
      </c>
      <c r="H332" s="5">
        <f>IF(OR(C332="Удержание",C332="Зачёт встречного требования",C332="Неустойка заявлена"),N(E332),0)</f>
        <v/>
      </c>
      <c r="I332" s="6">
        <f>IF(AND(B332="",C332="",D332="",E332="",F332=""),"",IF(OR(B332="",C332="",E332=""),"БЛОК: нужны дата, тип операции и сумма",IF(N(E332)&lt;=0,"БЛОК: сумма должна быть больше нуля",IF(AND(G332&lt;&gt;0,F332=""),"БЛОК: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нельзя",IF(AND(F332&lt;&gt;"",COUNTIF('Долг по актам'!$B$5:$B$34,F332)=0),"БЛОК: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договору")&gt;0)*($C$5:$C$504&lt;&gt;C332)*($E$5:$E$504=E332)*(($D$5:$D$504=D332)*(D332&lt;&gt;"")+($B$5:$B$504=B332)*(B332&lt;&gt;"")&gt;0))&gt;0,"БЛОК: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332" s="5">
        <f>IF(AND(B332="",C332="",E332=""),"",SUM($G$5:G332))</f>
        <v/>
      </c>
    </row>
    <row r="333">
      <c r="A333" s="6" t="n">
        <v>329</v>
      </c>
      <c r="B333" s="7" t="n"/>
      <c r="C333" s="8" t="n"/>
      <c r="D333" s="8" t="n"/>
      <c r="E333" s="9" t="n"/>
      <c r="F333" s="8" t="n"/>
      <c r="G333" s="5">
        <f>IF(OR(C333="",E333=""),0,IF(C333="Начисление по акту",E333,IF(OR(C333="Оплата",C333="Зачёт аванса по договору"),-E333,IF(C333="Корректировка (подписана обеими сторонами)",E333,0))))</f>
        <v/>
      </c>
      <c r="H333" s="5">
        <f>IF(OR(C333="Удержание",C333="Зачёт встречного требования",C333="Неустойка заявлена"),N(E333),0)</f>
        <v/>
      </c>
      <c r="I333" s="6">
        <f>IF(AND(B333="",C333="",D333="",E333="",F333=""),"",IF(OR(B333="",C333="",E333=""),"БЛОК: нужны дата, тип операции и сумма",IF(N(E333)&lt;=0,"БЛОК: сумма должна быть больше нуля",IF(AND(G333&lt;&gt;0,F333=""),"БЛОК: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нельзя",IF(AND(F333&lt;&gt;"",COUNTIF('Долг по актам'!$B$5:$B$34,F333)=0),"БЛОК: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договору")&gt;0)*($C$5:$C$504&lt;&gt;C333)*($E$5:$E$504=E333)*(($D$5:$D$504=D333)*(D333&lt;&gt;"")+($B$5:$B$504=B333)*(B333&lt;&gt;"")&gt;0))&gt;0,"БЛОК: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333" s="5">
        <f>IF(AND(B333="",C333="",E333=""),"",SUM($G$5:G333))</f>
        <v/>
      </c>
    </row>
    <row r="334">
      <c r="A334" s="6" t="n">
        <v>330</v>
      </c>
      <c r="B334" s="7" t="n"/>
      <c r="C334" s="8" t="n"/>
      <c r="D334" s="8" t="n"/>
      <c r="E334" s="9" t="n"/>
      <c r="F334" s="8" t="n"/>
      <c r="G334" s="5">
        <f>IF(OR(C334="",E334=""),0,IF(C334="Начисление по акту",E334,IF(OR(C334="Оплата",C334="Зачёт аванса по договору"),-E334,IF(C334="Корректировка (подписана обеими сторонами)",E334,0))))</f>
        <v/>
      </c>
      <c r="H334" s="5">
        <f>IF(OR(C334="Удержание",C334="Зачёт встречного требования",C334="Неустойка заявлена"),N(E334),0)</f>
        <v/>
      </c>
      <c r="I334" s="6">
        <f>IF(AND(B334="",C334="",D334="",E334="",F334=""),"",IF(OR(B334="",C334="",E334=""),"БЛОК: нужны дата, тип операции и сумма",IF(N(E334)&lt;=0,"БЛОК: сумма должна быть больше нуля",IF(AND(G334&lt;&gt;0,F334=""),"БЛОК: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нельзя",IF(AND(F334&lt;&gt;"",COUNTIF('Долг по актам'!$B$5:$B$34,F334)=0),"БЛОК: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договору")&gt;0)*($C$5:$C$504&lt;&gt;C334)*($E$5:$E$504=E334)*(($D$5:$D$504=D334)*(D334&lt;&gt;"")+($B$5:$B$504=B334)*(B334&lt;&gt;"")&gt;0))&gt;0,"БЛОК: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334" s="5">
        <f>IF(AND(B334="",C334="",E334=""),"",SUM($G$5:G334))</f>
        <v/>
      </c>
    </row>
    <row r="335">
      <c r="A335" s="6" t="n">
        <v>331</v>
      </c>
      <c r="B335" s="7" t="n"/>
      <c r="C335" s="8" t="n"/>
      <c r="D335" s="8" t="n"/>
      <c r="E335" s="9" t="n"/>
      <c r="F335" s="8" t="n"/>
      <c r="G335" s="5">
        <f>IF(OR(C335="",E335=""),0,IF(C335="Начисление по акту",E335,IF(OR(C335="Оплата",C335="Зачёт аванса по договору"),-E335,IF(C335="Корректировка (подписана обеими сторонами)",E335,0))))</f>
        <v/>
      </c>
      <c r="H335" s="5">
        <f>IF(OR(C335="Удержание",C335="Зачёт встречного требования",C335="Неустойка заявлена"),N(E335),0)</f>
        <v/>
      </c>
      <c r="I335" s="6">
        <f>IF(AND(B335="",C335="",D335="",E335="",F335=""),"",IF(OR(B335="",C335="",E335=""),"БЛОК: нужны дата, тип операции и сумма",IF(N(E335)&lt;=0,"БЛОК: сумма должна быть больше нуля",IF(AND(G335&lt;&gt;0,F335=""),"БЛОК: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нельзя",IF(AND(F335&lt;&gt;"",COUNTIF('Долг по актам'!$B$5:$B$34,F335)=0),"БЛОК: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договору")&gt;0)*($C$5:$C$504&lt;&gt;C335)*($E$5:$E$504=E335)*(($D$5:$D$504=D335)*(D335&lt;&gt;"")+($B$5:$B$504=B335)*(B335&lt;&gt;"")&gt;0))&gt;0,"БЛОК: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335" s="5">
        <f>IF(AND(B335="",C335="",E335=""),"",SUM($G$5:G335))</f>
        <v/>
      </c>
    </row>
    <row r="336">
      <c r="A336" s="6" t="n">
        <v>332</v>
      </c>
      <c r="B336" s="7" t="n"/>
      <c r="C336" s="8" t="n"/>
      <c r="D336" s="8" t="n"/>
      <c r="E336" s="9" t="n"/>
      <c r="F336" s="8" t="n"/>
      <c r="G336" s="5">
        <f>IF(OR(C336="",E336=""),0,IF(C336="Начисление по акту",E336,IF(OR(C336="Оплата",C336="Зачёт аванса по договору"),-E336,IF(C336="Корректировка (подписана обеими сторонами)",E336,0))))</f>
        <v/>
      </c>
      <c r="H336" s="5">
        <f>IF(OR(C336="Удержание",C336="Зачёт встречного требования",C336="Неустойка заявлена"),N(E336),0)</f>
        <v/>
      </c>
      <c r="I336" s="6">
        <f>IF(AND(B336="",C336="",D336="",E336="",F336=""),"",IF(OR(B336="",C336="",E336=""),"БЛОК: нужны дата, тип операции и сумма",IF(N(E336)&lt;=0,"БЛОК: сумма должна быть больше нуля",IF(AND(G336&lt;&gt;0,F336=""),"БЛОК: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нельзя",IF(AND(F336&lt;&gt;"",COUNTIF('Долг по актам'!$B$5:$B$34,F336)=0),"БЛОК: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договору")&gt;0)*($C$5:$C$504&lt;&gt;C336)*($E$5:$E$504=E336)*(($D$5:$D$504=D336)*(D336&lt;&gt;"")+($B$5:$B$504=B336)*(B336&lt;&gt;"")&gt;0))&gt;0,"БЛОК: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336" s="5">
        <f>IF(AND(B336="",C336="",E336=""),"",SUM($G$5:G336))</f>
        <v/>
      </c>
    </row>
    <row r="337">
      <c r="A337" s="6" t="n">
        <v>333</v>
      </c>
      <c r="B337" s="7" t="n"/>
      <c r="C337" s="8" t="n"/>
      <c r="D337" s="8" t="n"/>
      <c r="E337" s="9" t="n"/>
      <c r="F337" s="8" t="n"/>
      <c r="G337" s="5">
        <f>IF(OR(C337="",E337=""),0,IF(C337="Начисление по акту",E337,IF(OR(C337="Оплата",C337="Зачёт аванса по договору"),-E337,IF(C337="Корректировка (подписана обеими сторонами)",E337,0))))</f>
        <v/>
      </c>
      <c r="H337" s="5">
        <f>IF(OR(C337="Удержание",C337="Зачёт встречного требования",C337="Неустойка заявлена"),N(E337),0)</f>
        <v/>
      </c>
      <c r="I337" s="6">
        <f>IF(AND(B337="",C337="",D337="",E337="",F337=""),"",IF(OR(B337="",C337="",E337=""),"БЛОК: нужны дата, тип операции и сумма",IF(N(E337)&lt;=0,"БЛОК: сумма должна быть больше нуля",IF(AND(G337&lt;&gt;0,F337=""),"БЛОК: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нельзя",IF(AND(F337&lt;&gt;"",COUNTIF('Долг по актам'!$B$5:$B$34,F337)=0),"БЛОК: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договору")&gt;0)*($C$5:$C$504&lt;&gt;C337)*($E$5:$E$504=E337)*(($D$5:$D$504=D337)*(D337&lt;&gt;"")+($B$5:$B$504=B337)*(B337&lt;&gt;"")&gt;0))&gt;0,"БЛОК: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337" s="5">
        <f>IF(AND(B337="",C337="",E337=""),"",SUM($G$5:G337))</f>
        <v/>
      </c>
    </row>
    <row r="338">
      <c r="A338" s="6" t="n">
        <v>334</v>
      </c>
      <c r="B338" s="7" t="n"/>
      <c r="C338" s="8" t="n"/>
      <c r="D338" s="8" t="n"/>
      <c r="E338" s="9" t="n"/>
      <c r="F338" s="8" t="n"/>
      <c r="G338" s="5">
        <f>IF(OR(C338="",E338=""),0,IF(C338="Начисление по акту",E338,IF(OR(C338="Оплата",C338="Зачёт аванса по договору"),-E338,IF(C338="Корректировка (подписана обеими сторонами)",E338,0))))</f>
        <v/>
      </c>
      <c r="H338" s="5">
        <f>IF(OR(C338="Удержание",C338="Зачёт встречного требования",C338="Неустойка заявлена"),N(E338),0)</f>
        <v/>
      </c>
      <c r="I338" s="6">
        <f>IF(AND(B338="",C338="",D338="",E338="",F338=""),"",IF(OR(B338="",C338="",E338=""),"БЛОК: нужны дата, тип операции и сумма",IF(N(E338)&lt;=0,"БЛОК: сумма должна быть больше нуля",IF(AND(G338&lt;&gt;0,F338=""),"БЛОК: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нельзя",IF(AND(F338&lt;&gt;"",COUNTIF('Долг по актам'!$B$5:$B$34,F338)=0),"БЛОК: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договору")&gt;0)*($C$5:$C$504&lt;&gt;C338)*($E$5:$E$504=E338)*(($D$5:$D$504=D338)*(D338&lt;&gt;"")+($B$5:$B$504=B338)*(B338&lt;&gt;"")&gt;0))&gt;0,"БЛОК: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338" s="5">
        <f>IF(AND(B338="",C338="",E338=""),"",SUM($G$5:G338))</f>
        <v/>
      </c>
    </row>
    <row r="339">
      <c r="A339" s="6" t="n">
        <v>335</v>
      </c>
      <c r="B339" s="7" t="n"/>
      <c r="C339" s="8" t="n"/>
      <c r="D339" s="8" t="n"/>
      <c r="E339" s="9" t="n"/>
      <c r="F339" s="8" t="n"/>
      <c r="G339" s="5">
        <f>IF(OR(C339="",E339=""),0,IF(C339="Начисление по акту",E339,IF(OR(C339="Оплата",C339="Зачёт аванса по договору"),-E339,IF(C339="Корректировка (подписана обеими сторонами)",E339,0))))</f>
        <v/>
      </c>
      <c r="H339" s="5">
        <f>IF(OR(C339="Удержание",C339="Зачёт встречного требования",C339="Неустойка заявлена"),N(E339),0)</f>
        <v/>
      </c>
      <c r="I339" s="6">
        <f>IF(AND(B339="",C339="",D339="",E339="",F339=""),"",IF(OR(B339="",C339="",E339=""),"БЛОК: нужны дата, тип операции и сумма",IF(N(E339)&lt;=0,"БЛОК: сумма должна быть больше нуля",IF(AND(G339&lt;&gt;0,F339=""),"БЛОК: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нельзя",IF(AND(F339&lt;&gt;"",COUNTIF('Долг по актам'!$B$5:$B$34,F339)=0),"БЛОК: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договору")&gt;0)*($C$5:$C$504&lt;&gt;C339)*($E$5:$E$504=E339)*(($D$5:$D$504=D339)*(D339&lt;&gt;"")+($B$5:$B$504=B339)*(B339&lt;&gt;"")&gt;0))&gt;0,"БЛОК: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339" s="5">
        <f>IF(AND(B339="",C339="",E339=""),"",SUM($G$5:G339))</f>
        <v/>
      </c>
    </row>
    <row r="340">
      <c r="A340" s="6" t="n">
        <v>336</v>
      </c>
      <c r="B340" s="7" t="n"/>
      <c r="C340" s="8" t="n"/>
      <c r="D340" s="8" t="n"/>
      <c r="E340" s="9" t="n"/>
      <c r="F340" s="8" t="n"/>
      <c r="G340" s="5">
        <f>IF(OR(C340="",E340=""),0,IF(C340="Начисление по акту",E340,IF(OR(C340="Оплата",C340="Зачёт аванса по договору"),-E340,IF(C340="Корректировка (подписана обеими сторонами)",E340,0))))</f>
        <v/>
      </c>
      <c r="H340" s="5">
        <f>IF(OR(C340="Удержание",C340="Зачёт встречного требования",C340="Неустойка заявлена"),N(E340),0)</f>
        <v/>
      </c>
      <c r="I340" s="6">
        <f>IF(AND(B340="",C340="",D340="",E340="",F340=""),"",IF(OR(B340="",C340="",E340=""),"БЛОК: нужны дата, тип операции и сумма",IF(N(E340)&lt;=0,"БЛОК: сумма должна быть больше нуля",IF(AND(G340&lt;&gt;0,F340=""),"БЛОК: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нельзя",IF(AND(F340&lt;&gt;"",COUNTIF('Долг по актам'!$B$5:$B$34,F340)=0),"БЛОК: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договору")&gt;0)*($C$5:$C$504&lt;&gt;C340)*($E$5:$E$504=E340)*(($D$5:$D$504=D340)*(D340&lt;&gt;"")+($B$5:$B$504=B340)*(B340&lt;&gt;"")&gt;0))&gt;0,"БЛОК: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340" s="5">
        <f>IF(AND(B340="",C340="",E340=""),"",SUM($G$5:G340))</f>
        <v/>
      </c>
    </row>
    <row r="341">
      <c r="A341" s="6" t="n">
        <v>337</v>
      </c>
      <c r="B341" s="7" t="n"/>
      <c r="C341" s="8" t="n"/>
      <c r="D341" s="8" t="n"/>
      <c r="E341" s="9" t="n"/>
      <c r="F341" s="8" t="n"/>
      <c r="G341" s="5">
        <f>IF(OR(C341="",E341=""),0,IF(C341="Начисление по акту",E341,IF(OR(C341="Оплата",C341="Зачёт аванса по договору"),-E341,IF(C341="Корректировка (подписана обеими сторонами)",E341,0))))</f>
        <v/>
      </c>
      <c r="H341" s="5">
        <f>IF(OR(C341="Удержание",C341="Зачёт встречного требования",C341="Неустойка заявлена"),N(E341),0)</f>
        <v/>
      </c>
      <c r="I341" s="6">
        <f>IF(AND(B341="",C341="",D341="",E341="",F341=""),"",IF(OR(B341="",C341="",E341=""),"БЛОК: нужны дата, тип операции и сумма",IF(N(E341)&lt;=0,"БЛОК: сумма должна быть больше нуля",IF(AND(G341&lt;&gt;0,F341=""),"БЛОК: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нельзя",IF(AND(F341&lt;&gt;"",COUNTIF('Долг по актам'!$B$5:$B$34,F341)=0),"БЛОК: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договору")&gt;0)*($C$5:$C$504&lt;&gt;C341)*($E$5:$E$504=E341)*(($D$5:$D$504=D341)*(D341&lt;&gt;"")+($B$5:$B$504=B341)*(B341&lt;&gt;"")&gt;0))&gt;0,"БЛОК: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341" s="5">
        <f>IF(AND(B341="",C341="",E341=""),"",SUM($G$5:G341))</f>
        <v/>
      </c>
    </row>
    <row r="342">
      <c r="A342" s="6" t="n">
        <v>338</v>
      </c>
      <c r="B342" s="7" t="n"/>
      <c r="C342" s="8" t="n"/>
      <c r="D342" s="8" t="n"/>
      <c r="E342" s="9" t="n"/>
      <c r="F342" s="8" t="n"/>
      <c r="G342" s="5">
        <f>IF(OR(C342="",E342=""),0,IF(C342="Начисление по акту",E342,IF(OR(C342="Оплата",C342="Зачёт аванса по договору"),-E342,IF(C342="Корректировка (подписана обеими сторонами)",E342,0))))</f>
        <v/>
      </c>
      <c r="H342" s="5">
        <f>IF(OR(C342="Удержание",C342="Зачёт встречного требования",C342="Неустойка заявлена"),N(E342),0)</f>
        <v/>
      </c>
      <c r="I342" s="6">
        <f>IF(AND(B342="",C342="",D342="",E342="",F342=""),"",IF(OR(B342="",C342="",E342=""),"БЛОК: нужны дата, тип операции и сумма",IF(N(E342)&lt;=0,"БЛОК: сумма должна быть больше нуля",IF(AND(G342&lt;&gt;0,F342=""),"БЛОК: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нельзя",IF(AND(F342&lt;&gt;"",COUNTIF('Долг по актам'!$B$5:$B$34,F342)=0),"БЛОК: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договору")&gt;0)*($C$5:$C$504&lt;&gt;C342)*($E$5:$E$504=E342)*(($D$5:$D$504=D342)*(D342&lt;&gt;"")+($B$5:$B$504=B342)*(B342&lt;&gt;"")&gt;0))&gt;0,"БЛОК: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342" s="5">
        <f>IF(AND(B342="",C342="",E342=""),"",SUM($G$5:G342))</f>
        <v/>
      </c>
    </row>
    <row r="343">
      <c r="A343" s="6" t="n">
        <v>339</v>
      </c>
      <c r="B343" s="7" t="n"/>
      <c r="C343" s="8" t="n"/>
      <c r="D343" s="8" t="n"/>
      <c r="E343" s="9" t="n"/>
      <c r="F343" s="8" t="n"/>
      <c r="G343" s="5">
        <f>IF(OR(C343="",E343=""),0,IF(C343="Начисление по акту",E343,IF(OR(C343="Оплата",C343="Зачёт аванса по договору"),-E343,IF(C343="Корректировка (подписана обеими сторонами)",E343,0))))</f>
        <v/>
      </c>
      <c r="H343" s="5">
        <f>IF(OR(C343="Удержание",C343="Зачёт встречного требования",C343="Неустойка заявлена"),N(E343),0)</f>
        <v/>
      </c>
      <c r="I343" s="6">
        <f>IF(AND(B343="",C343="",D343="",E343="",F343=""),"",IF(OR(B343="",C343="",E343=""),"БЛОК: нужны дата, тип операции и сумма",IF(N(E343)&lt;=0,"БЛОК: сумма должна быть больше нуля",IF(AND(G343&lt;&gt;0,F343=""),"БЛОК: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нельзя",IF(AND(F343&lt;&gt;"",COUNTIF('Долг по актам'!$B$5:$B$34,F343)=0),"БЛОК: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договору")&gt;0)*($C$5:$C$504&lt;&gt;C343)*($E$5:$E$504=E343)*(($D$5:$D$504=D343)*(D343&lt;&gt;"")+($B$5:$B$504=B343)*(B343&lt;&gt;"")&gt;0))&gt;0,"БЛОК: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343" s="5">
        <f>IF(AND(B343="",C343="",E343=""),"",SUM($G$5:G343))</f>
        <v/>
      </c>
    </row>
    <row r="344">
      <c r="A344" s="6" t="n">
        <v>340</v>
      </c>
      <c r="B344" s="7" t="n"/>
      <c r="C344" s="8" t="n"/>
      <c r="D344" s="8" t="n"/>
      <c r="E344" s="9" t="n"/>
      <c r="F344" s="8" t="n"/>
      <c r="G344" s="5">
        <f>IF(OR(C344="",E344=""),0,IF(C344="Начисление по акту",E344,IF(OR(C344="Оплата",C344="Зачёт аванса по договору"),-E344,IF(C344="Корректировка (подписана обеими сторонами)",E344,0))))</f>
        <v/>
      </c>
      <c r="H344" s="5">
        <f>IF(OR(C344="Удержание",C344="Зачёт встречного требования",C344="Неустойка заявлена"),N(E344),0)</f>
        <v/>
      </c>
      <c r="I344" s="6">
        <f>IF(AND(B344="",C344="",D344="",E344="",F344=""),"",IF(OR(B344="",C344="",E344=""),"БЛОК: нужны дата, тип операции и сумма",IF(N(E344)&lt;=0,"БЛОК: сумма должна быть больше нуля",IF(AND(G344&lt;&gt;0,F344=""),"БЛОК: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нельзя",IF(AND(F344&lt;&gt;"",COUNTIF('Долг по актам'!$B$5:$B$34,F344)=0),"БЛОК: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договору")&gt;0)*($C$5:$C$504&lt;&gt;C344)*($E$5:$E$504=E344)*(($D$5:$D$504=D344)*(D344&lt;&gt;"")+($B$5:$B$504=B344)*(B344&lt;&gt;"")&gt;0))&gt;0,"БЛОК: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344" s="5">
        <f>IF(AND(B344="",C344="",E344=""),"",SUM($G$5:G344))</f>
        <v/>
      </c>
    </row>
    <row r="345">
      <c r="A345" s="6" t="n">
        <v>341</v>
      </c>
      <c r="B345" s="7" t="n"/>
      <c r="C345" s="8" t="n"/>
      <c r="D345" s="8" t="n"/>
      <c r="E345" s="9" t="n"/>
      <c r="F345" s="8" t="n"/>
      <c r="G345" s="5">
        <f>IF(OR(C345="",E345=""),0,IF(C345="Начисление по акту",E345,IF(OR(C345="Оплата",C345="Зачёт аванса по договору"),-E345,IF(C345="Корректировка (подписана обеими сторонами)",E345,0))))</f>
        <v/>
      </c>
      <c r="H345" s="5">
        <f>IF(OR(C345="Удержание",C345="Зачёт встречного требования",C345="Неустойка заявлена"),N(E345),0)</f>
        <v/>
      </c>
      <c r="I345" s="6">
        <f>IF(AND(B345="",C345="",D345="",E345="",F345=""),"",IF(OR(B345="",C345="",E345=""),"БЛОК: нужны дата, тип операции и сумма",IF(N(E345)&lt;=0,"БЛОК: сумма должна быть больше нуля",IF(AND(G345&lt;&gt;0,F345=""),"БЛОК: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нельзя",IF(AND(F345&lt;&gt;"",COUNTIF('Долг по актам'!$B$5:$B$34,F345)=0),"БЛОК: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договору")&gt;0)*($C$5:$C$504&lt;&gt;C345)*($E$5:$E$504=E345)*(($D$5:$D$504=D345)*(D345&lt;&gt;"")+($B$5:$B$504=B345)*(B345&lt;&gt;"")&gt;0))&gt;0,"БЛОК: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345" s="5">
        <f>IF(AND(B345="",C345="",E345=""),"",SUM($G$5:G345))</f>
        <v/>
      </c>
    </row>
    <row r="346">
      <c r="A346" s="6" t="n">
        <v>342</v>
      </c>
      <c r="B346" s="7" t="n"/>
      <c r="C346" s="8" t="n"/>
      <c r="D346" s="8" t="n"/>
      <c r="E346" s="9" t="n"/>
      <c r="F346" s="8" t="n"/>
      <c r="G346" s="5">
        <f>IF(OR(C346="",E346=""),0,IF(C346="Начисление по акту",E346,IF(OR(C346="Оплата",C346="Зачёт аванса по договору"),-E346,IF(C346="Корректировка (подписана обеими сторонами)",E346,0))))</f>
        <v/>
      </c>
      <c r="H346" s="5">
        <f>IF(OR(C346="Удержание",C346="Зачёт встречного требования",C346="Неустойка заявлена"),N(E346),0)</f>
        <v/>
      </c>
      <c r="I346" s="6">
        <f>IF(AND(B346="",C346="",D346="",E346="",F346=""),"",IF(OR(B346="",C346="",E346=""),"БЛОК: нужны дата, тип операции и сумма",IF(N(E346)&lt;=0,"БЛОК: сумма должна быть больше нуля",IF(AND(G346&lt;&gt;0,F346=""),"БЛОК: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нельзя",IF(AND(F346&lt;&gt;"",COUNTIF('Долг по актам'!$B$5:$B$34,F346)=0),"БЛОК: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договору")&gt;0)*($C$5:$C$504&lt;&gt;C346)*($E$5:$E$504=E346)*(($D$5:$D$504=D346)*(D346&lt;&gt;"")+($B$5:$B$504=B346)*(B346&lt;&gt;"")&gt;0))&gt;0,"БЛОК: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346" s="5">
        <f>IF(AND(B346="",C346="",E346=""),"",SUM($G$5:G346))</f>
        <v/>
      </c>
    </row>
    <row r="347">
      <c r="A347" s="6" t="n">
        <v>343</v>
      </c>
      <c r="B347" s="7" t="n"/>
      <c r="C347" s="8" t="n"/>
      <c r="D347" s="8" t="n"/>
      <c r="E347" s="9" t="n"/>
      <c r="F347" s="8" t="n"/>
      <c r="G347" s="5">
        <f>IF(OR(C347="",E347=""),0,IF(C347="Начисление по акту",E347,IF(OR(C347="Оплата",C347="Зачёт аванса по договору"),-E347,IF(C347="Корректировка (подписана обеими сторонами)",E347,0))))</f>
        <v/>
      </c>
      <c r="H347" s="5">
        <f>IF(OR(C347="Удержание",C347="Зачёт встречного требования",C347="Неустойка заявлена"),N(E347),0)</f>
        <v/>
      </c>
      <c r="I347" s="6">
        <f>IF(AND(B347="",C347="",D347="",E347="",F347=""),"",IF(OR(B347="",C347="",E347=""),"БЛОК: нужны дата, тип операции и сумма",IF(N(E347)&lt;=0,"БЛОК: сумма должна быть больше нуля",IF(AND(G347&lt;&gt;0,F347=""),"БЛОК: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нельзя",IF(AND(F347&lt;&gt;"",COUNTIF('Долг по актам'!$B$5:$B$34,F347)=0),"БЛОК: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договору")&gt;0)*($C$5:$C$504&lt;&gt;C347)*($E$5:$E$504=E347)*(($D$5:$D$504=D347)*(D347&lt;&gt;"")+($B$5:$B$504=B347)*(B347&lt;&gt;"")&gt;0))&gt;0,"БЛОК: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347" s="5">
        <f>IF(AND(B347="",C347="",E347=""),"",SUM($G$5:G347))</f>
        <v/>
      </c>
    </row>
    <row r="348">
      <c r="A348" s="6" t="n">
        <v>344</v>
      </c>
      <c r="B348" s="7" t="n"/>
      <c r="C348" s="8" t="n"/>
      <c r="D348" s="8" t="n"/>
      <c r="E348" s="9" t="n"/>
      <c r="F348" s="8" t="n"/>
      <c r="G348" s="5">
        <f>IF(OR(C348="",E348=""),0,IF(C348="Начисление по акту",E348,IF(OR(C348="Оплата",C348="Зачёт аванса по договору"),-E348,IF(C348="Корректировка (подписана обеими сторонами)",E348,0))))</f>
        <v/>
      </c>
      <c r="H348" s="5">
        <f>IF(OR(C348="Удержание",C348="Зачёт встречного требования",C348="Неустойка заявлена"),N(E348),0)</f>
        <v/>
      </c>
      <c r="I348" s="6">
        <f>IF(AND(B348="",C348="",D348="",E348="",F348=""),"",IF(OR(B348="",C348="",E348=""),"БЛОК: нужны дата, тип операции и сумма",IF(N(E348)&lt;=0,"БЛОК: сумма должна быть больше нуля",IF(AND(G348&lt;&gt;0,F348=""),"БЛОК: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нельзя",IF(AND(F348&lt;&gt;"",COUNTIF('Долг по актам'!$B$5:$B$34,F348)=0),"БЛОК: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договору")&gt;0)*($C$5:$C$504&lt;&gt;C348)*($E$5:$E$504=E348)*(($D$5:$D$504=D348)*(D348&lt;&gt;"")+($B$5:$B$504=B348)*(B348&lt;&gt;"")&gt;0))&gt;0,"БЛОК: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348" s="5">
        <f>IF(AND(B348="",C348="",E348=""),"",SUM($G$5:G348))</f>
        <v/>
      </c>
    </row>
    <row r="349">
      <c r="A349" s="6" t="n">
        <v>345</v>
      </c>
      <c r="B349" s="7" t="n"/>
      <c r="C349" s="8" t="n"/>
      <c r="D349" s="8" t="n"/>
      <c r="E349" s="9" t="n"/>
      <c r="F349" s="8" t="n"/>
      <c r="G349" s="5">
        <f>IF(OR(C349="",E349=""),0,IF(C349="Начисление по акту",E349,IF(OR(C349="Оплата",C349="Зачёт аванса по договору"),-E349,IF(C349="Корректировка (подписана обеими сторонами)",E349,0))))</f>
        <v/>
      </c>
      <c r="H349" s="5">
        <f>IF(OR(C349="Удержание",C349="Зачёт встречного требования",C349="Неустойка заявлена"),N(E349),0)</f>
        <v/>
      </c>
      <c r="I349" s="6">
        <f>IF(AND(B349="",C349="",D349="",E349="",F349=""),"",IF(OR(B349="",C349="",E349=""),"БЛОК: нужны дата, тип операции и сумма",IF(N(E349)&lt;=0,"БЛОК: сумма должна быть больше нуля",IF(AND(G349&lt;&gt;0,F349=""),"БЛОК: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нельзя",IF(AND(F349&lt;&gt;"",COUNTIF('Долг по актам'!$B$5:$B$34,F349)=0),"БЛОК: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договору")&gt;0)*($C$5:$C$504&lt;&gt;C349)*($E$5:$E$504=E349)*(($D$5:$D$504=D349)*(D349&lt;&gt;"")+($B$5:$B$504=B349)*(B349&lt;&gt;"")&gt;0))&gt;0,"БЛОК: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349" s="5">
        <f>IF(AND(B349="",C349="",E349=""),"",SUM($G$5:G349))</f>
        <v/>
      </c>
    </row>
    <row r="350">
      <c r="A350" s="6" t="n">
        <v>346</v>
      </c>
      <c r="B350" s="7" t="n"/>
      <c r="C350" s="8" t="n"/>
      <c r="D350" s="8" t="n"/>
      <c r="E350" s="9" t="n"/>
      <c r="F350" s="8" t="n"/>
      <c r="G350" s="5">
        <f>IF(OR(C350="",E350=""),0,IF(C350="Начисление по акту",E350,IF(OR(C350="Оплата",C350="Зачёт аванса по договору"),-E350,IF(C350="Корректировка (подписана обеими сторонами)",E350,0))))</f>
        <v/>
      </c>
      <c r="H350" s="5">
        <f>IF(OR(C350="Удержание",C350="Зачёт встречного требования",C350="Неустойка заявлена"),N(E350),0)</f>
        <v/>
      </c>
      <c r="I350" s="6">
        <f>IF(AND(B350="",C350="",D350="",E350="",F350=""),"",IF(OR(B350="",C350="",E350=""),"БЛОК: нужны дата, тип операции и сумма",IF(N(E350)&lt;=0,"БЛОК: сумма должна быть больше нуля",IF(AND(G350&lt;&gt;0,F350=""),"БЛОК: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нельзя",IF(AND(F350&lt;&gt;"",COUNTIF('Долг по актам'!$B$5:$B$34,F350)=0),"БЛОК: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договору")&gt;0)*($C$5:$C$504&lt;&gt;C350)*($E$5:$E$504=E350)*(($D$5:$D$504=D350)*(D350&lt;&gt;"")+($B$5:$B$504=B350)*(B350&lt;&gt;"")&gt;0))&gt;0,"БЛОК: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350" s="5">
        <f>IF(AND(B350="",C350="",E350=""),"",SUM($G$5:G350))</f>
        <v/>
      </c>
    </row>
    <row r="351">
      <c r="A351" s="6" t="n">
        <v>347</v>
      </c>
      <c r="B351" s="7" t="n"/>
      <c r="C351" s="8" t="n"/>
      <c r="D351" s="8" t="n"/>
      <c r="E351" s="9" t="n"/>
      <c r="F351" s="8" t="n"/>
      <c r="G351" s="5">
        <f>IF(OR(C351="",E351=""),0,IF(C351="Начисление по акту",E351,IF(OR(C351="Оплата",C351="Зачёт аванса по договору"),-E351,IF(C351="Корректировка (подписана обеими сторонами)",E351,0))))</f>
        <v/>
      </c>
      <c r="H351" s="5">
        <f>IF(OR(C351="Удержание",C351="Зачёт встречного требования",C351="Неустойка заявлена"),N(E351),0)</f>
        <v/>
      </c>
      <c r="I351" s="6">
        <f>IF(AND(B351="",C351="",D351="",E351="",F351=""),"",IF(OR(B351="",C351="",E351=""),"БЛОК: нужны дата, тип операции и сумма",IF(N(E351)&lt;=0,"БЛОК: сумма должна быть больше нуля",IF(AND(G351&lt;&gt;0,F351=""),"БЛОК: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нельзя",IF(AND(F351&lt;&gt;"",COUNTIF('Долг по актам'!$B$5:$B$34,F351)=0),"БЛОК: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договору")&gt;0)*($C$5:$C$504&lt;&gt;C351)*($E$5:$E$504=E351)*(($D$5:$D$504=D351)*(D351&lt;&gt;"")+($B$5:$B$504=B351)*(B351&lt;&gt;"")&gt;0))&gt;0,"БЛОК: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351" s="5">
        <f>IF(AND(B351="",C351="",E351=""),"",SUM($G$5:G351))</f>
        <v/>
      </c>
    </row>
    <row r="352">
      <c r="A352" s="6" t="n">
        <v>348</v>
      </c>
      <c r="B352" s="7" t="n"/>
      <c r="C352" s="8" t="n"/>
      <c r="D352" s="8" t="n"/>
      <c r="E352" s="9" t="n"/>
      <c r="F352" s="8" t="n"/>
      <c r="G352" s="5">
        <f>IF(OR(C352="",E352=""),0,IF(C352="Начисление по акту",E352,IF(OR(C352="Оплата",C352="Зачёт аванса по договору"),-E352,IF(C352="Корректировка (подписана обеими сторонами)",E352,0))))</f>
        <v/>
      </c>
      <c r="H352" s="5">
        <f>IF(OR(C352="Удержание",C352="Зачёт встречного требования",C352="Неустойка заявлена"),N(E352),0)</f>
        <v/>
      </c>
      <c r="I352" s="6">
        <f>IF(AND(B352="",C352="",D352="",E352="",F352=""),"",IF(OR(B352="",C352="",E352=""),"БЛОК: нужны дата, тип операции и сумма",IF(N(E352)&lt;=0,"БЛОК: сумма должна быть больше нуля",IF(AND(G352&lt;&gt;0,F352=""),"БЛОК: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нельзя",IF(AND(F352&lt;&gt;"",COUNTIF('Долг по актам'!$B$5:$B$34,F352)=0),"БЛОК: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договору")&gt;0)*($C$5:$C$504&lt;&gt;C352)*($E$5:$E$504=E352)*(($D$5:$D$504=D352)*(D352&lt;&gt;"")+($B$5:$B$504=B352)*(B352&lt;&gt;"")&gt;0))&gt;0,"БЛОК: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352" s="5">
        <f>IF(AND(B352="",C352="",E352=""),"",SUM($G$5:G352))</f>
        <v/>
      </c>
    </row>
    <row r="353">
      <c r="A353" s="6" t="n">
        <v>349</v>
      </c>
      <c r="B353" s="7" t="n"/>
      <c r="C353" s="8" t="n"/>
      <c r="D353" s="8" t="n"/>
      <c r="E353" s="9" t="n"/>
      <c r="F353" s="8" t="n"/>
      <c r="G353" s="5">
        <f>IF(OR(C353="",E353=""),0,IF(C353="Начисление по акту",E353,IF(OR(C353="Оплата",C353="Зачёт аванса по договору"),-E353,IF(C353="Корректировка (подписана обеими сторонами)",E353,0))))</f>
        <v/>
      </c>
      <c r="H353" s="5">
        <f>IF(OR(C353="Удержание",C353="Зачёт встречного требования",C353="Неустойка заявлена"),N(E353),0)</f>
        <v/>
      </c>
      <c r="I353" s="6">
        <f>IF(AND(B353="",C353="",D353="",E353="",F353=""),"",IF(OR(B353="",C353="",E353=""),"БЛОК: нужны дата, тип операции и сумма",IF(N(E353)&lt;=0,"БЛОК: сумма должна быть больше нуля",IF(AND(G353&lt;&gt;0,F353=""),"БЛОК: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нельзя",IF(AND(F353&lt;&gt;"",COUNTIF('Долг по актам'!$B$5:$B$34,F353)=0),"БЛОК: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договору")&gt;0)*($C$5:$C$504&lt;&gt;C353)*($E$5:$E$504=E353)*(($D$5:$D$504=D353)*(D353&lt;&gt;"")+($B$5:$B$504=B353)*(B353&lt;&gt;"")&gt;0))&gt;0,"БЛОК: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353" s="5">
        <f>IF(AND(B353="",C353="",E353=""),"",SUM($G$5:G353))</f>
        <v/>
      </c>
    </row>
    <row r="354">
      <c r="A354" s="6" t="n">
        <v>350</v>
      </c>
      <c r="B354" s="7" t="n"/>
      <c r="C354" s="8" t="n"/>
      <c r="D354" s="8" t="n"/>
      <c r="E354" s="9" t="n"/>
      <c r="F354" s="8" t="n"/>
      <c r="G354" s="5">
        <f>IF(OR(C354="",E354=""),0,IF(C354="Начисление по акту",E354,IF(OR(C354="Оплата",C354="Зачёт аванса по договору"),-E354,IF(C354="Корректировка (подписана обеими сторонами)",E354,0))))</f>
        <v/>
      </c>
      <c r="H354" s="5">
        <f>IF(OR(C354="Удержание",C354="Зачёт встречного требования",C354="Неустойка заявлена"),N(E354),0)</f>
        <v/>
      </c>
      <c r="I354" s="6">
        <f>IF(AND(B354="",C354="",D354="",E354="",F354=""),"",IF(OR(B354="",C354="",E354=""),"БЛОК: нужны дата, тип операции и сумма",IF(N(E354)&lt;=0,"БЛОК: сумма должна быть больше нуля",IF(AND(G354&lt;&gt;0,F354=""),"БЛОК: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нельзя",IF(AND(F354&lt;&gt;"",COUNTIF('Долг по актам'!$B$5:$B$34,F354)=0),"БЛОК: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договору")&gt;0)*($C$5:$C$504&lt;&gt;C354)*($E$5:$E$504=E354)*(($D$5:$D$504=D354)*(D354&lt;&gt;"")+($B$5:$B$504=B354)*(B354&lt;&gt;"")&gt;0))&gt;0,"БЛОК: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354" s="5">
        <f>IF(AND(B354="",C354="",E354=""),"",SUM($G$5:G354))</f>
        <v/>
      </c>
    </row>
    <row r="355">
      <c r="A355" s="6" t="n">
        <v>351</v>
      </c>
      <c r="B355" s="7" t="n"/>
      <c r="C355" s="8" t="n"/>
      <c r="D355" s="8" t="n"/>
      <c r="E355" s="9" t="n"/>
      <c r="F355" s="8" t="n"/>
      <c r="G355" s="5">
        <f>IF(OR(C355="",E355=""),0,IF(C355="Начисление по акту",E355,IF(OR(C355="Оплата",C355="Зачёт аванса по договору"),-E355,IF(C355="Корректировка (подписана обеими сторонами)",E355,0))))</f>
        <v/>
      </c>
      <c r="H355" s="5">
        <f>IF(OR(C355="Удержание",C355="Зачёт встречного требования",C355="Неустойка заявлена"),N(E355),0)</f>
        <v/>
      </c>
      <c r="I355" s="6">
        <f>IF(AND(B355="",C355="",D355="",E355="",F355=""),"",IF(OR(B355="",C355="",E355=""),"БЛОК: нужны дата, тип операции и сумма",IF(N(E355)&lt;=0,"БЛОК: сумма должна быть больше нуля",IF(AND(G355&lt;&gt;0,F355=""),"БЛОК: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нельзя",IF(AND(F355&lt;&gt;"",COUNTIF('Долг по актам'!$B$5:$B$34,F355)=0),"БЛОК: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договору")&gt;0)*($C$5:$C$504&lt;&gt;C355)*($E$5:$E$504=E355)*(($D$5:$D$504=D355)*(D355&lt;&gt;"")+($B$5:$B$504=B355)*(B355&lt;&gt;"")&gt;0))&gt;0,"БЛОК: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355" s="5">
        <f>IF(AND(B355="",C355="",E355=""),"",SUM($G$5:G355))</f>
        <v/>
      </c>
    </row>
    <row r="356">
      <c r="A356" s="6" t="n">
        <v>352</v>
      </c>
      <c r="B356" s="7" t="n"/>
      <c r="C356" s="8" t="n"/>
      <c r="D356" s="8" t="n"/>
      <c r="E356" s="9" t="n"/>
      <c r="F356" s="8" t="n"/>
      <c r="G356" s="5">
        <f>IF(OR(C356="",E356=""),0,IF(C356="Начисление по акту",E356,IF(OR(C356="Оплата",C356="Зачёт аванса по договору"),-E356,IF(C356="Корректировка (подписана обеими сторонами)",E356,0))))</f>
        <v/>
      </c>
      <c r="H356" s="5">
        <f>IF(OR(C356="Удержание",C356="Зачёт встречного требования",C356="Неустойка заявлена"),N(E356),0)</f>
        <v/>
      </c>
      <c r="I356" s="6">
        <f>IF(AND(B356="",C356="",D356="",E356="",F356=""),"",IF(OR(B356="",C356="",E356=""),"БЛОК: нужны дата, тип операции и сумма",IF(N(E356)&lt;=0,"БЛОК: сумма должна быть больше нуля",IF(AND(G356&lt;&gt;0,F356=""),"БЛОК: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нельзя",IF(AND(F356&lt;&gt;"",COUNTIF('Долг по актам'!$B$5:$B$34,F356)=0),"БЛОК: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договору")&gt;0)*($C$5:$C$504&lt;&gt;C356)*($E$5:$E$504=E356)*(($D$5:$D$504=D356)*(D356&lt;&gt;"")+($B$5:$B$504=B356)*(B356&lt;&gt;"")&gt;0))&gt;0,"БЛОК: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356" s="5">
        <f>IF(AND(B356="",C356="",E356=""),"",SUM($G$5:G356))</f>
        <v/>
      </c>
    </row>
    <row r="357">
      <c r="A357" s="6" t="n">
        <v>353</v>
      </c>
      <c r="B357" s="7" t="n"/>
      <c r="C357" s="8" t="n"/>
      <c r="D357" s="8" t="n"/>
      <c r="E357" s="9" t="n"/>
      <c r="F357" s="8" t="n"/>
      <c r="G357" s="5">
        <f>IF(OR(C357="",E357=""),0,IF(C357="Начисление по акту",E357,IF(OR(C357="Оплата",C357="Зачёт аванса по договору"),-E357,IF(C357="Корректировка (подписана обеими сторонами)",E357,0))))</f>
        <v/>
      </c>
      <c r="H357" s="5">
        <f>IF(OR(C357="Удержание",C357="Зачёт встречного требования",C357="Неустойка заявлена"),N(E357),0)</f>
        <v/>
      </c>
      <c r="I357" s="6">
        <f>IF(AND(B357="",C357="",D357="",E357="",F357=""),"",IF(OR(B357="",C357="",E357=""),"БЛОК: нужны дата, тип операции и сумма",IF(N(E357)&lt;=0,"БЛОК: сумма должна быть больше нуля",IF(AND(G357&lt;&gt;0,F357=""),"БЛОК: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нельзя",IF(AND(F357&lt;&gt;"",COUNTIF('Долг по актам'!$B$5:$B$34,F357)=0),"БЛОК: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договору")&gt;0)*($C$5:$C$504&lt;&gt;C357)*($E$5:$E$504=E357)*(($D$5:$D$504=D357)*(D357&lt;&gt;"")+($B$5:$B$504=B357)*(B357&lt;&gt;"")&gt;0))&gt;0,"БЛОК: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357" s="5">
        <f>IF(AND(B357="",C357="",E357=""),"",SUM($G$5:G357))</f>
        <v/>
      </c>
    </row>
    <row r="358">
      <c r="A358" s="6" t="n">
        <v>354</v>
      </c>
      <c r="B358" s="7" t="n"/>
      <c r="C358" s="8" t="n"/>
      <c r="D358" s="8" t="n"/>
      <c r="E358" s="9" t="n"/>
      <c r="F358" s="8" t="n"/>
      <c r="G358" s="5">
        <f>IF(OR(C358="",E358=""),0,IF(C358="Начисление по акту",E358,IF(OR(C358="Оплата",C358="Зачёт аванса по договору"),-E358,IF(C358="Корректировка (подписана обеими сторонами)",E358,0))))</f>
        <v/>
      </c>
      <c r="H358" s="5">
        <f>IF(OR(C358="Удержание",C358="Зачёт встречного требования",C358="Неустойка заявлена"),N(E358),0)</f>
        <v/>
      </c>
      <c r="I358" s="6">
        <f>IF(AND(B358="",C358="",D358="",E358="",F358=""),"",IF(OR(B358="",C358="",E358=""),"БЛОК: нужны дата, тип операции и сумма",IF(N(E358)&lt;=0,"БЛОК: сумма должна быть больше нуля",IF(AND(G358&lt;&gt;0,F358=""),"БЛОК: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нельзя",IF(AND(F358&lt;&gt;"",COUNTIF('Долг по актам'!$B$5:$B$34,F358)=0),"БЛОК: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договору")&gt;0)*($C$5:$C$504&lt;&gt;C358)*($E$5:$E$504=E358)*(($D$5:$D$504=D358)*(D358&lt;&gt;"")+($B$5:$B$504=B358)*(B358&lt;&gt;"")&gt;0))&gt;0,"БЛОК: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358" s="5">
        <f>IF(AND(B358="",C358="",E358=""),"",SUM($G$5:G358))</f>
        <v/>
      </c>
    </row>
    <row r="359">
      <c r="A359" s="6" t="n">
        <v>355</v>
      </c>
      <c r="B359" s="7" t="n"/>
      <c r="C359" s="8" t="n"/>
      <c r="D359" s="8" t="n"/>
      <c r="E359" s="9" t="n"/>
      <c r="F359" s="8" t="n"/>
      <c r="G359" s="5">
        <f>IF(OR(C359="",E359=""),0,IF(C359="Начисление по акту",E359,IF(OR(C359="Оплата",C359="Зачёт аванса по договору"),-E359,IF(C359="Корректировка (подписана обеими сторонами)",E359,0))))</f>
        <v/>
      </c>
      <c r="H359" s="5">
        <f>IF(OR(C359="Удержание",C359="Зачёт встречного требования",C359="Неустойка заявлена"),N(E359),0)</f>
        <v/>
      </c>
      <c r="I359" s="6">
        <f>IF(AND(B359="",C359="",D359="",E359="",F359=""),"",IF(OR(B359="",C359="",E359=""),"БЛОК: нужны дата, тип операции и сумма",IF(N(E359)&lt;=0,"БЛОК: сумма должна быть больше нуля",IF(AND(G359&lt;&gt;0,F359=""),"БЛОК: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нельзя",IF(AND(F359&lt;&gt;"",COUNTIF('Долг по актам'!$B$5:$B$34,F359)=0),"БЛОК: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договору")&gt;0)*($C$5:$C$504&lt;&gt;C359)*($E$5:$E$504=E359)*(($D$5:$D$504=D359)*(D359&lt;&gt;"")+($B$5:$B$504=B359)*(B359&lt;&gt;"")&gt;0))&gt;0,"БЛОК: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359" s="5">
        <f>IF(AND(B359="",C359="",E359=""),"",SUM($G$5:G359))</f>
        <v/>
      </c>
    </row>
    <row r="360">
      <c r="A360" s="6" t="n">
        <v>356</v>
      </c>
      <c r="B360" s="7" t="n"/>
      <c r="C360" s="8" t="n"/>
      <c r="D360" s="8" t="n"/>
      <c r="E360" s="9" t="n"/>
      <c r="F360" s="8" t="n"/>
      <c r="G360" s="5">
        <f>IF(OR(C360="",E360=""),0,IF(C360="Начисление по акту",E360,IF(OR(C360="Оплата",C360="Зачёт аванса по договору"),-E360,IF(C360="Корректировка (подписана обеими сторонами)",E360,0))))</f>
        <v/>
      </c>
      <c r="H360" s="5">
        <f>IF(OR(C360="Удержание",C360="Зачёт встречного требования",C360="Неустойка заявлена"),N(E360),0)</f>
        <v/>
      </c>
      <c r="I360" s="6">
        <f>IF(AND(B360="",C360="",D360="",E360="",F360=""),"",IF(OR(B360="",C360="",E360=""),"БЛОК: нужны дата, тип операции и сумма",IF(N(E360)&lt;=0,"БЛОК: сумма должна быть больше нуля",IF(AND(G360&lt;&gt;0,F360=""),"БЛОК: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нельзя",IF(AND(F360&lt;&gt;"",COUNTIF('Долг по актам'!$B$5:$B$34,F360)=0),"БЛОК: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договору")&gt;0)*($C$5:$C$504&lt;&gt;C360)*($E$5:$E$504=E360)*(($D$5:$D$504=D360)*(D360&lt;&gt;"")+($B$5:$B$504=B360)*(B360&lt;&gt;"")&gt;0))&gt;0,"БЛОК: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360" s="5">
        <f>IF(AND(B360="",C360="",E360=""),"",SUM($G$5:G360))</f>
        <v/>
      </c>
    </row>
    <row r="361">
      <c r="A361" s="6" t="n">
        <v>357</v>
      </c>
      <c r="B361" s="7" t="n"/>
      <c r="C361" s="8" t="n"/>
      <c r="D361" s="8" t="n"/>
      <c r="E361" s="9" t="n"/>
      <c r="F361" s="8" t="n"/>
      <c r="G361" s="5">
        <f>IF(OR(C361="",E361=""),0,IF(C361="Начисление по акту",E361,IF(OR(C361="Оплата",C361="Зачёт аванса по договору"),-E361,IF(C361="Корректировка (подписана обеими сторонами)",E361,0))))</f>
        <v/>
      </c>
      <c r="H361" s="5">
        <f>IF(OR(C361="Удержание",C361="Зачёт встречного требования",C361="Неустойка заявлена"),N(E361),0)</f>
        <v/>
      </c>
      <c r="I361" s="6">
        <f>IF(AND(B361="",C361="",D361="",E361="",F361=""),"",IF(OR(B361="",C361="",E361=""),"БЛОК: нужны дата, тип операции и сумма",IF(N(E361)&lt;=0,"БЛОК: сумма должна быть больше нуля",IF(AND(G361&lt;&gt;0,F361=""),"БЛОК: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нельзя",IF(AND(F361&lt;&gt;"",COUNTIF('Долг по актам'!$B$5:$B$34,F361)=0),"БЛОК: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договору")&gt;0)*($C$5:$C$504&lt;&gt;C361)*($E$5:$E$504=E361)*(($D$5:$D$504=D361)*(D361&lt;&gt;"")+($B$5:$B$504=B361)*(B361&lt;&gt;"")&gt;0))&gt;0,"БЛОК: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361" s="5">
        <f>IF(AND(B361="",C361="",E361=""),"",SUM($G$5:G361))</f>
        <v/>
      </c>
    </row>
    <row r="362">
      <c r="A362" s="6" t="n">
        <v>358</v>
      </c>
      <c r="B362" s="7" t="n"/>
      <c r="C362" s="8" t="n"/>
      <c r="D362" s="8" t="n"/>
      <c r="E362" s="9" t="n"/>
      <c r="F362" s="8" t="n"/>
      <c r="G362" s="5">
        <f>IF(OR(C362="",E362=""),0,IF(C362="Начисление по акту",E362,IF(OR(C362="Оплата",C362="Зачёт аванса по договору"),-E362,IF(C362="Корректировка (подписана обеими сторонами)",E362,0))))</f>
        <v/>
      </c>
      <c r="H362" s="5">
        <f>IF(OR(C362="Удержание",C362="Зачёт встречного требования",C362="Неустойка заявлена"),N(E362),0)</f>
        <v/>
      </c>
      <c r="I362" s="6">
        <f>IF(AND(B362="",C362="",D362="",E362="",F362=""),"",IF(OR(B362="",C362="",E362=""),"БЛОК: нужны дата, тип операции и сумма",IF(N(E362)&lt;=0,"БЛОК: сумма должна быть больше нуля",IF(AND(G362&lt;&gt;0,F362=""),"БЛОК: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нельзя",IF(AND(F362&lt;&gt;"",COUNTIF('Долг по актам'!$B$5:$B$34,F362)=0),"БЛОК: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договору")&gt;0)*($C$5:$C$504&lt;&gt;C362)*($E$5:$E$504=E362)*(($D$5:$D$504=D362)*(D362&lt;&gt;"")+($B$5:$B$504=B362)*(B362&lt;&gt;"")&gt;0))&gt;0,"БЛОК: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362" s="5">
        <f>IF(AND(B362="",C362="",E362=""),"",SUM($G$5:G362))</f>
        <v/>
      </c>
    </row>
    <row r="363">
      <c r="A363" s="6" t="n">
        <v>359</v>
      </c>
      <c r="B363" s="7" t="n"/>
      <c r="C363" s="8" t="n"/>
      <c r="D363" s="8" t="n"/>
      <c r="E363" s="9" t="n"/>
      <c r="F363" s="8" t="n"/>
      <c r="G363" s="5">
        <f>IF(OR(C363="",E363=""),0,IF(C363="Начисление по акту",E363,IF(OR(C363="Оплата",C363="Зачёт аванса по договору"),-E363,IF(C363="Корректировка (подписана обеими сторонами)",E363,0))))</f>
        <v/>
      </c>
      <c r="H363" s="5">
        <f>IF(OR(C363="Удержание",C363="Зачёт встречного требования",C363="Неустойка заявлена"),N(E363),0)</f>
        <v/>
      </c>
      <c r="I363" s="6">
        <f>IF(AND(B363="",C363="",D363="",E363="",F363=""),"",IF(OR(B363="",C363="",E363=""),"БЛОК: нужны дата, тип операции и сумма",IF(N(E363)&lt;=0,"БЛОК: сумма должна быть больше нуля",IF(AND(G363&lt;&gt;0,F363=""),"БЛОК: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нельзя",IF(AND(F363&lt;&gt;"",COUNTIF('Долг по актам'!$B$5:$B$34,F363)=0),"БЛОК: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договору")&gt;0)*($C$5:$C$504&lt;&gt;C363)*($E$5:$E$504=E363)*(($D$5:$D$504=D363)*(D363&lt;&gt;"")+($B$5:$B$504=B363)*(B363&lt;&gt;"")&gt;0))&gt;0,"БЛОК: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363" s="5">
        <f>IF(AND(B363="",C363="",E363=""),"",SUM($G$5:G363))</f>
        <v/>
      </c>
    </row>
    <row r="364">
      <c r="A364" s="6" t="n">
        <v>360</v>
      </c>
      <c r="B364" s="7" t="n"/>
      <c r="C364" s="8" t="n"/>
      <c r="D364" s="8" t="n"/>
      <c r="E364" s="9" t="n"/>
      <c r="F364" s="8" t="n"/>
      <c r="G364" s="5">
        <f>IF(OR(C364="",E364=""),0,IF(C364="Начисление по акту",E364,IF(OR(C364="Оплата",C364="Зачёт аванса по договору"),-E364,IF(C364="Корректировка (подписана обеими сторонами)",E364,0))))</f>
        <v/>
      </c>
      <c r="H364" s="5">
        <f>IF(OR(C364="Удержание",C364="Зачёт встречного требования",C364="Неустойка заявлена"),N(E364),0)</f>
        <v/>
      </c>
      <c r="I364" s="6">
        <f>IF(AND(B364="",C364="",D364="",E364="",F364=""),"",IF(OR(B364="",C364="",E364=""),"БЛОК: нужны дата, тип операции и сумма",IF(N(E364)&lt;=0,"БЛОК: сумма должна быть больше нуля",IF(AND(G364&lt;&gt;0,F364=""),"БЛОК: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нельзя",IF(AND(F364&lt;&gt;"",COUNTIF('Долг по актам'!$B$5:$B$34,F364)=0),"БЛОК: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договору")&gt;0)*($C$5:$C$504&lt;&gt;C364)*($E$5:$E$504=E364)*(($D$5:$D$504=D364)*(D364&lt;&gt;"")+($B$5:$B$504=B364)*(B364&lt;&gt;"")&gt;0))&gt;0,"БЛОК: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364" s="5">
        <f>IF(AND(B364="",C364="",E364=""),"",SUM($G$5:G364))</f>
        <v/>
      </c>
    </row>
    <row r="365">
      <c r="A365" s="6" t="n">
        <v>361</v>
      </c>
      <c r="B365" s="7" t="n"/>
      <c r="C365" s="8" t="n"/>
      <c r="D365" s="8" t="n"/>
      <c r="E365" s="9" t="n"/>
      <c r="F365" s="8" t="n"/>
      <c r="G365" s="5">
        <f>IF(OR(C365="",E365=""),0,IF(C365="Начисление по акту",E365,IF(OR(C365="Оплата",C365="Зачёт аванса по договору"),-E365,IF(C365="Корректировка (подписана обеими сторонами)",E365,0))))</f>
        <v/>
      </c>
      <c r="H365" s="5">
        <f>IF(OR(C365="Удержание",C365="Зачёт встречного требования",C365="Неустойка заявлена"),N(E365),0)</f>
        <v/>
      </c>
      <c r="I365" s="6">
        <f>IF(AND(B365="",C365="",D365="",E365="",F365=""),"",IF(OR(B365="",C365="",E365=""),"БЛОК: нужны дата, тип операции и сумма",IF(N(E365)&lt;=0,"БЛОК: сумма должна быть больше нуля",IF(AND(G365&lt;&gt;0,F365=""),"БЛОК: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нельзя",IF(AND(F365&lt;&gt;"",COUNTIF('Долг по актам'!$B$5:$B$34,F365)=0),"БЛОК: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договору")&gt;0)*($C$5:$C$504&lt;&gt;C365)*($E$5:$E$504=E365)*(($D$5:$D$504=D365)*(D365&lt;&gt;"")+($B$5:$B$504=B365)*(B365&lt;&gt;"")&gt;0))&gt;0,"БЛОК: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365" s="5">
        <f>IF(AND(B365="",C365="",E365=""),"",SUM($G$5:G365))</f>
        <v/>
      </c>
    </row>
    <row r="366">
      <c r="A366" s="6" t="n">
        <v>362</v>
      </c>
      <c r="B366" s="7" t="n"/>
      <c r="C366" s="8" t="n"/>
      <c r="D366" s="8" t="n"/>
      <c r="E366" s="9" t="n"/>
      <c r="F366" s="8" t="n"/>
      <c r="G366" s="5">
        <f>IF(OR(C366="",E366=""),0,IF(C366="Начисление по акту",E366,IF(OR(C366="Оплата",C366="Зачёт аванса по договору"),-E366,IF(C366="Корректировка (подписана обеими сторонами)",E366,0))))</f>
        <v/>
      </c>
      <c r="H366" s="5">
        <f>IF(OR(C366="Удержание",C366="Зачёт встречного требования",C366="Неустойка заявлена"),N(E366),0)</f>
        <v/>
      </c>
      <c r="I366" s="6">
        <f>IF(AND(B366="",C366="",D366="",E366="",F366=""),"",IF(OR(B366="",C366="",E366=""),"БЛОК: нужны дата, тип операции и сумма",IF(N(E366)&lt;=0,"БЛОК: сумма должна быть больше нуля",IF(AND(G366&lt;&gt;0,F366=""),"БЛОК: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нельзя",IF(AND(F366&lt;&gt;"",COUNTIF('Долг по актам'!$B$5:$B$34,F366)=0),"БЛОК: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договору")&gt;0)*($C$5:$C$504&lt;&gt;C366)*($E$5:$E$504=E366)*(($D$5:$D$504=D366)*(D366&lt;&gt;"")+($B$5:$B$504=B366)*(B366&lt;&gt;"")&gt;0))&gt;0,"БЛОК: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366" s="5">
        <f>IF(AND(B366="",C366="",E366=""),"",SUM($G$5:G366))</f>
        <v/>
      </c>
    </row>
    <row r="367">
      <c r="A367" s="6" t="n">
        <v>363</v>
      </c>
      <c r="B367" s="7" t="n"/>
      <c r="C367" s="8" t="n"/>
      <c r="D367" s="8" t="n"/>
      <c r="E367" s="9" t="n"/>
      <c r="F367" s="8" t="n"/>
      <c r="G367" s="5">
        <f>IF(OR(C367="",E367=""),0,IF(C367="Начисление по акту",E367,IF(OR(C367="Оплата",C367="Зачёт аванса по договору"),-E367,IF(C367="Корректировка (подписана обеими сторонами)",E367,0))))</f>
        <v/>
      </c>
      <c r="H367" s="5">
        <f>IF(OR(C367="Удержание",C367="Зачёт встречного требования",C367="Неустойка заявлена"),N(E367),0)</f>
        <v/>
      </c>
      <c r="I367" s="6">
        <f>IF(AND(B367="",C367="",D367="",E367="",F367=""),"",IF(OR(B367="",C367="",E367=""),"БЛОК: нужны дата, тип операции и сумма",IF(N(E367)&lt;=0,"БЛОК: сумма должна быть больше нуля",IF(AND(G367&lt;&gt;0,F367=""),"БЛОК: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нельзя",IF(AND(F367&lt;&gt;"",COUNTIF('Долг по актам'!$B$5:$B$34,F367)=0),"БЛОК: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договору")&gt;0)*($C$5:$C$504&lt;&gt;C367)*($E$5:$E$504=E367)*(($D$5:$D$504=D367)*(D367&lt;&gt;"")+($B$5:$B$504=B367)*(B367&lt;&gt;"")&gt;0))&gt;0,"БЛОК: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367" s="5">
        <f>IF(AND(B367="",C367="",E367=""),"",SUM($G$5:G367))</f>
        <v/>
      </c>
    </row>
    <row r="368">
      <c r="A368" s="6" t="n">
        <v>364</v>
      </c>
      <c r="B368" s="7" t="n"/>
      <c r="C368" s="8" t="n"/>
      <c r="D368" s="8" t="n"/>
      <c r="E368" s="9" t="n"/>
      <c r="F368" s="8" t="n"/>
      <c r="G368" s="5">
        <f>IF(OR(C368="",E368=""),0,IF(C368="Начисление по акту",E368,IF(OR(C368="Оплата",C368="Зачёт аванса по договору"),-E368,IF(C368="Корректировка (подписана обеими сторонами)",E368,0))))</f>
        <v/>
      </c>
      <c r="H368" s="5">
        <f>IF(OR(C368="Удержание",C368="Зачёт встречного требования",C368="Неустойка заявлена"),N(E368),0)</f>
        <v/>
      </c>
      <c r="I368" s="6">
        <f>IF(AND(B368="",C368="",D368="",E368="",F368=""),"",IF(OR(B368="",C368="",E368=""),"БЛОК: нужны дата, тип операции и сумма",IF(N(E368)&lt;=0,"БЛОК: сумма должна быть больше нуля",IF(AND(G368&lt;&gt;0,F368=""),"БЛОК: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нельзя",IF(AND(F368&lt;&gt;"",COUNTIF('Долг по актам'!$B$5:$B$34,F368)=0),"БЛОК: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договору")&gt;0)*($C$5:$C$504&lt;&gt;C368)*($E$5:$E$504=E368)*(($D$5:$D$504=D368)*(D368&lt;&gt;"")+($B$5:$B$504=B368)*(B368&lt;&gt;"")&gt;0))&gt;0,"БЛОК: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368" s="5">
        <f>IF(AND(B368="",C368="",E368=""),"",SUM($G$5:G368))</f>
        <v/>
      </c>
    </row>
    <row r="369">
      <c r="A369" s="6" t="n">
        <v>365</v>
      </c>
      <c r="B369" s="7" t="n"/>
      <c r="C369" s="8" t="n"/>
      <c r="D369" s="8" t="n"/>
      <c r="E369" s="9" t="n"/>
      <c r="F369" s="8" t="n"/>
      <c r="G369" s="5">
        <f>IF(OR(C369="",E369=""),0,IF(C369="Начисление по акту",E369,IF(OR(C369="Оплата",C369="Зачёт аванса по договору"),-E369,IF(C369="Корректировка (подписана обеими сторонами)",E369,0))))</f>
        <v/>
      </c>
      <c r="H369" s="5">
        <f>IF(OR(C369="Удержание",C369="Зачёт встречного требования",C369="Неустойка заявлена"),N(E369),0)</f>
        <v/>
      </c>
      <c r="I369" s="6">
        <f>IF(AND(B369="",C369="",D369="",E369="",F369=""),"",IF(OR(B369="",C369="",E369=""),"БЛОК: нужны дата, тип операции и сумма",IF(N(E369)&lt;=0,"БЛОК: сумма должна быть больше нуля",IF(AND(G369&lt;&gt;0,F369=""),"БЛОК: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нельзя",IF(AND(F369&lt;&gt;"",COUNTIF('Долг по актам'!$B$5:$B$34,F369)=0),"БЛОК: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договору")&gt;0)*($C$5:$C$504&lt;&gt;C369)*($E$5:$E$504=E369)*(($D$5:$D$504=D369)*(D369&lt;&gt;"")+($B$5:$B$504=B369)*(B369&lt;&gt;"")&gt;0))&gt;0,"БЛОК: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369" s="5">
        <f>IF(AND(B369="",C369="",E369=""),"",SUM($G$5:G369))</f>
        <v/>
      </c>
    </row>
    <row r="370">
      <c r="A370" s="6" t="n">
        <v>366</v>
      </c>
      <c r="B370" s="7" t="n"/>
      <c r="C370" s="8" t="n"/>
      <c r="D370" s="8" t="n"/>
      <c r="E370" s="9" t="n"/>
      <c r="F370" s="8" t="n"/>
      <c r="G370" s="5">
        <f>IF(OR(C370="",E370=""),0,IF(C370="Начисление по акту",E370,IF(OR(C370="Оплата",C370="Зачёт аванса по договору"),-E370,IF(C370="Корректировка (подписана обеими сторонами)",E370,0))))</f>
        <v/>
      </c>
      <c r="H370" s="5">
        <f>IF(OR(C370="Удержание",C370="Зачёт встречного требования",C370="Неустойка заявлена"),N(E370),0)</f>
        <v/>
      </c>
      <c r="I370" s="6">
        <f>IF(AND(B370="",C370="",D370="",E370="",F370=""),"",IF(OR(B370="",C370="",E370=""),"БЛОК: нужны дата, тип операции и сумма",IF(N(E370)&lt;=0,"БЛОК: сумма должна быть больше нуля",IF(AND(G370&lt;&gt;0,F370=""),"БЛОК: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нельзя",IF(AND(F370&lt;&gt;"",COUNTIF('Долг по актам'!$B$5:$B$34,F370)=0),"БЛОК: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договору")&gt;0)*($C$5:$C$504&lt;&gt;C370)*($E$5:$E$504=E370)*(($D$5:$D$504=D370)*(D370&lt;&gt;"")+($B$5:$B$504=B370)*(B370&lt;&gt;"")&gt;0))&gt;0,"БЛОК: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370" s="5">
        <f>IF(AND(B370="",C370="",E370=""),"",SUM($G$5:G370))</f>
        <v/>
      </c>
    </row>
    <row r="371">
      <c r="A371" s="6" t="n">
        <v>367</v>
      </c>
      <c r="B371" s="7" t="n"/>
      <c r="C371" s="8" t="n"/>
      <c r="D371" s="8" t="n"/>
      <c r="E371" s="9" t="n"/>
      <c r="F371" s="8" t="n"/>
      <c r="G371" s="5">
        <f>IF(OR(C371="",E371=""),0,IF(C371="Начисление по акту",E371,IF(OR(C371="Оплата",C371="Зачёт аванса по договору"),-E371,IF(C371="Корректировка (подписана обеими сторонами)",E371,0))))</f>
        <v/>
      </c>
      <c r="H371" s="5">
        <f>IF(OR(C371="Удержание",C371="Зачёт встречного требования",C371="Неустойка заявлена"),N(E371),0)</f>
        <v/>
      </c>
      <c r="I371" s="6">
        <f>IF(AND(B371="",C371="",D371="",E371="",F371=""),"",IF(OR(B371="",C371="",E371=""),"БЛОК: нужны дата, тип операции и сумма",IF(N(E371)&lt;=0,"БЛОК: сумма должна быть больше нуля",IF(AND(G371&lt;&gt;0,F371=""),"БЛОК: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нельзя",IF(AND(F371&lt;&gt;"",COUNTIF('Долг по актам'!$B$5:$B$34,F371)=0),"БЛОК: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договору")&gt;0)*($C$5:$C$504&lt;&gt;C371)*($E$5:$E$504=E371)*(($D$5:$D$504=D371)*(D371&lt;&gt;"")+($B$5:$B$504=B371)*(B371&lt;&gt;"")&gt;0))&gt;0,"БЛОК: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371" s="5">
        <f>IF(AND(B371="",C371="",E371=""),"",SUM($G$5:G371))</f>
        <v/>
      </c>
    </row>
    <row r="372">
      <c r="A372" s="6" t="n">
        <v>368</v>
      </c>
      <c r="B372" s="7" t="n"/>
      <c r="C372" s="8" t="n"/>
      <c r="D372" s="8" t="n"/>
      <c r="E372" s="9" t="n"/>
      <c r="F372" s="8" t="n"/>
      <c r="G372" s="5">
        <f>IF(OR(C372="",E372=""),0,IF(C372="Начисление по акту",E372,IF(OR(C372="Оплата",C372="Зачёт аванса по договору"),-E372,IF(C372="Корректировка (подписана обеими сторонами)",E372,0))))</f>
        <v/>
      </c>
      <c r="H372" s="5">
        <f>IF(OR(C372="Удержание",C372="Зачёт встречного требования",C372="Неустойка заявлена"),N(E372),0)</f>
        <v/>
      </c>
      <c r="I372" s="6">
        <f>IF(AND(B372="",C372="",D372="",E372="",F372=""),"",IF(OR(B372="",C372="",E372=""),"БЛОК: нужны дата, тип операции и сумма",IF(N(E372)&lt;=0,"БЛОК: сумма должна быть больше нуля",IF(AND(G372&lt;&gt;0,F372=""),"БЛОК: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нельзя",IF(AND(F372&lt;&gt;"",COUNTIF('Долг по актам'!$B$5:$B$34,F372)=0),"БЛОК: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договору")&gt;0)*($C$5:$C$504&lt;&gt;C372)*($E$5:$E$504=E372)*(($D$5:$D$504=D372)*(D372&lt;&gt;"")+($B$5:$B$504=B372)*(B372&lt;&gt;"")&gt;0))&gt;0,"БЛОК: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372" s="5">
        <f>IF(AND(B372="",C372="",E372=""),"",SUM($G$5:G372))</f>
        <v/>
      </c>
    </row>
    <row r="373">
      <c r="A373" s="6" t="n">
        <v>369</v>
      </c>
      <c r="B373" s="7" t="n"/>
      <c r="C373" s="8" t="n"/>
      <c r="D373" s="8" t="n"/>
      <c r="E373" s="9" t="n"/>
      <c r="F373" s="8" t="n"/>
      <c r="G373" s="5">
        <f>IF(OR(C373="",E373=""),0,IF(C373="Начисление по акту",E373,IF(OR(C373="Оплата",C373="Зачёт аванса по договору"),-E373,IF(C373="Корректировка (подписана обеими сторонами)",E373,0))))</f>
        <v/>
      </c>
      <c r="H373" s="5">
        <f>IF(OR(C373="Удержание",C373="Зачёт встречного требования",C373="Неустойка заявлена"),N(E373),0)</f>
        <v/>
      </c>
      <c r="I373" s="6">
        <f>IF(AND(B373="",C373="",D373="",E373="",F373=""),"",IF(OR(B373="",C373="",E373=""),"БЛОК: нужны дата, тип операции и сумма",IF(N(E373)&lt;=0,"БЛОК: сумма должна быть больше нуля",IF(AND(G373&lt;&gt;0,F373=""),"БЛОК: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нельзя",IF(AND(F373&lt;&gt;"",COUNTIF('Долг по актам'!$B$5:$B$34,F373)=0),"БЛОК: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договору")&gt;0)*($C$5:$C$504&lt;&gt;C373)*($E$5:$E$504=E373)*(($D$5:$D$504=D373)*(D373&lt;&gt;"")+($B$5:$B$504=B373)*(B373&lt;&gt;"")&gt;0))&gt;0,"БЛОК: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373" s="5">
        <f>IF(AND(B373="",C373="",E373=""),"",SUM($G$5:G373))</f>
        <v/>
      </c>
    </row>
    <row r="374">
      <c r="A374" s="6" t="n">
        <v>370</v>
      </c>
      <c r="B374" s="7" t="n"/>
      <c r="C374" s="8" t="n"/>
      <c r="D374" s="8" t="n"/>
      <c r="E374" s="9" t="n"/>
      <c r="F374" s="8" t="n"/>
      <c r="G374" s="5">
        <f>IF(OR(C374="",E374=""),0,IF(C374="Начисление по акту",E374,IF(OR(C374="Оплата",C374="Зачёт аванса по договору"),-E374,IF(C374="Корректировка (подписана обеими сторонами)",E374,0))))</f>
        <v/>
      </c>
      <c r="H374" s="5">
        <f>IF(OR(C374="Удержание",C374="Зачёт встречного требования",C374="Неустойка заявлена"),N(E374),0)</f>
        <v/>
      </c>
      <c r="I374" s="6">
        <f>IF(AND(B374="",C374="",D374="",E374="",F374=""),"",IF(OR(B374="",C374="",E374=""),"БЛОК: нужны дата, тип операции и сумма",IF(N(E374)&lt;=0,"БЛОК: сумма должна быть больше нуля",IF(AND(G374&lt;&gt;0,F374=""),"БЛОК: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нельзя",IF(AND(F374&lt;&gt;"",COUNTIF('Долг по актам'!$B$5:$B$34,F374)=0),"БЛОК: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договору")&gt;0)*($C$5:$C$504&lt;&gt;C374)*($E$5:$E$504=E374)*(($D$5:$D$504=D374)*(D374&lt;&gt;"")+($B$5:$B$504=B374)*(B374&lt;&gt;"")&gt;0))&gt;0,"БЛОК: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374" s="5">
        <f>IF(AND(B374="",C374="",E374=""),"",SUM($G$5:G374))</f>
        <v/>
      </c>
    </row>
    <row r="375">
      <c r="A375" s="6" t="n">
        <v>371</v>
      </c>
      <c r="B375" s="7" t="n"/>
      <c r="C375" s="8" t="n"/>
      <c r="D375" s="8" t="n"/>
      <c r="E375" s="9" t="n"/>
      <c r="F375" s="8" t="n"/>
      <c r="G375" s="5">
        <f>IF(OR(C375="",E375=""),0,IF(C375="Начисление по акту",E375,IF(OR(C375="Оплата",C375="Зачёт аванса по договору"),-E375,IF(C375="Корректировка (подписана обеими сторонами)",E375,0))))</f>
        <v/>
      </c>
      <c r="H375" s="5">
        <f>IF(OR(C375="Удержание",C375="Зачёт встречного требования",C375="Неустойка заявлена"),N(E375),0)</f>
        <v/>
      </c>
      <c r="I375" s="6">
        <f>IF(AND(B375="",C375="",D375="",E375="",F375=""),"",IF(OR(B375="",C375="",E375=""),"БЛОК: нужны дата, тип операции и сумма",IF(N(E375)&lt;=0,"БЛОК: сумма должна быть больше нуля",IF(AND(G375&lt;&gt;0,F375=""),"БЛОК: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нельзя",IF(AND(F375&lt;&gt;"",COUNTIF('Долг по актам'!$B$5:$B$34,F375)=0),"БЛОК: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договору")&gt;0)*($C$5:$C$504&lt;&gt;C375)*($E$5:$E$504=E375)*(($D$5:$D$504=D375)*(D375&lt;&gt;"")+($B$5:$B$504=B375)*(B375&lt;&gt;"")&gt;0))&gt;0,"БЛОК: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375" s="5">
        <f>IF(AND(B375="",C375="",E375=""),"",SUM($G$5:G375))</f>
        <v/>
      </c>
    </row>
    <row r="376">
      <c r="A376" s="6" t="n">
        <v>372</v>
      </c>
      <c r="B376" s="7" t="n"/>
      <c r="C376" s="8" t="n"/>
      <c r="D376" s="8" t="n"/>
      <c r="E376" s="9" t="n"/>
      <c r="F376" s="8" t="n"/>
      <c r="G376" s="5">
        <f>IF(OR(C376="",E376=""),0,IF(C376="Начисление по акту",E376,IF(OR(C376="Оплата",C376="Зачёт аванса по договору"),-E376,IF(C376="Корректировка (подписана обеими сторонами)",E376,0))))</f>
        <v/>
      </c>
      <c r="H376" s="5">
        <f>IF(OR(C376="Удержание",C376="Зачёт встречного требования",C376="Неустойка заявлена"),N(E376),0)</f>
        <v/>
      </c>
      <c r="I376" s="6">
        <f>IF(AND(B376="",C376="",D376="",E376="",F376=""),"",IF(OR(B376="",C376="",E376=""),"БЛОК: нужны дата, тип операции и сумма",IF(N(E376)&lt;=0,"БЛОК: сумма должна быть больше нуля",IF(AND(G376&lt;&gt;0,F376=""),"БЛОК: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нельзя",IF(AND(F376&lt;&gt;"",COUNTIF('Долг по актам'!$B$5:$B$34,F376)=0),"БЛОК: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договору")&gt;0)*($C$5:$C$504&lt;&gt;C376)*($E$5:$E$504=E376)*(($D$5:$D$504=D376)*(D376&lt;&gt;"")+($B$5:$B$504=B376)*(B376&lt;&gt;"")&gt;0))&gt;0,"БЛОК: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376" s="5">
        <f>IF(AND(B376="",C376="",E376=""),"",SUM($G$5:G376))</f>
        <v/>
      </c>
    </row>
    <row r="377">
      <c r="A377" s="6" t="n">
        <v>373</v>
      </c>
      <c r="B377" s="7" t="n"/>
      <c r="C377" s="8" t="n"/>
      <c r="D377" s="8" t="n"/>
      <c r="E377" s="9" t="n"/>
      <c r="F377" s="8" t="n"/>
      <c r="G377" s="5">
        <f>IF(OR(C377="",E377=""),0,IF(C377="Начисление по акту",E377,IF(OR(C377="Оплата",C377="Зачёт аванса по договору"),-E377,IF(C377="Корректировка (подписана обеими сторонами)",E377,0))))</f>
        <v/>
      </c>
      <c r="H377" s="5">
        <f>IF(OR(C377="Удержание",C377="Зачёт встречного требования",C377="Неустойка заявлена"),N(E377),0)</f>
        <v/>
      </c>
      <c r="I377" s="6">
        <f>IF(AND(B377="",C377="",D377="",E377="",F377=""),"",IF(OR(B377="",C377="",E377=""),"БЛОК: нужны дата, тип операции и сумма",IF(N(E377)&lt;=0,"БЛОК: сумма должна быть больше нуля",IF(AND(G377&lt;&gt;0,F377=""),"БЛОК: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нельзя",IF(AND(F377&lt;&gt;"",COUNTIF('Долг по актам'!$B$5:$B$34,F377)=0),"БЛОК: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договору")&gt;0)*($C$5:$C$504&lt;&gt;C377)*($E$5:$E$504=E377)*(($D$5:$D$504=D377)*(D377&lt;&gt;"")+($B$5:$B$504=B377)*(B377&lt;&gt;"")&gt;0))&gt;0,"БЛОК: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377" s="5">
        <f>IF(AND(B377="",C377="",E377=""),"",SUM($G$5:G377))</f>
        <v/>
      </c>
    </row>
    <row r="378">
      <c r="A378" s="6" t="n">
        <v>374</v>
      </c>
      <c r="B378" s="7" t="n"/>
      <c r="C378" s="8" t="n"/>
      <c r="D378" s="8" t="n"/>
      <c r="E378" s="9" t="n"/>
      <c r="F378" s="8" t="n"/>
      <c r="G378" s="5">
        <f>IF(OR(C378="",E378=""),0,IF(C378="Начисление по акту",E378,IF(OR(C378="Оплата",C378="Зачёт аванса по договору"),-E378,IF(C378="Корректировка (подписана обеими сторонами)",E378,0))))</f>
        <v/>
      </c>
      <c r="H378" s="5">
        <f>IF(OR(C378="Удержание",C378="Зачёт встречного требования",C378="Неустойка заявлена"),N(E378),0)</f>
        <v/>
      </c>
      <c r="I378" s="6">
        <f>IF(AND(B378="",C378="",D378="",E378="",F378=""),"",IF(OR(B378="",C378="",E378=""),"БЛОК: нужны дата, тип операции и сумма",IF(N(E378)&lt;=0,"БЛОК: сумма должна быть больше нуля",IF(AND(G378&lt;&gt;0,F378=""),"БЛОК: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нельзя",IF(AND(F378&lt;&gt;"",COUNTIF('Долг по актам'!$B$5:$B$34,F378)=0),"БЛОК: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договору")&gt;0)*($C$5:$C$504&lt;&gt;C378)*($E$5:$E$504=E378)*(($D$5:$D$504=D378)*(D378&lt;&gt;"")+($B$5:$B$504=B378)*(B378&lt;&gt;"")&gt;0))&gt;0,"БЛОК: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378" s="5">
        <f>IF(AND(B378="",C378="",E378=""),"",SUM($G$5:G378))</f>
        <v/>
      </c>
    </row>
    <row r="379">
      <c r="A379" s="6" t="n">
        <v>375</v>
      </c>
      <c r="B379" s="7" t="n"/>
      <c r="C379" s="8" t="n"/>
      <c r="D379" s="8" t="n"/>
      <c r="E379" s="9" t="n"/>
      <c r="F379" s="8" t="n"/>
      <c r="G379" s="5">
        <f>IF(OR(C379="",E379=""),0,IF(C379="Начисление по акту",E379,IF(OR(C379="Оплата",C379="Зачёт аванса по договору"),-E379,IF(C379="Корректировка (подписана обеими сторонами)",E379,0))))</f>
        <v/>
      </c>
      <c r="H379" s="5">
        <f>IF(OR(C379="Удержание",C379="Зачёт встречного требования",C379="Неустойка заявлена"),N(E379),0)</f>
        <v/>
      </c>
      <c r="I379" s="6">
        <f>IF(AND(B379="",C379="",D379="",E379="",F379=""),"",IF(OR(B379="",C379="",E379=""),"БЛОК: нужны дата, тип операции и сумма",IF(N(E379)&lt;=0,"БЛОК: сумма должна быть больше нуля",IF(AND(G379&lt;&gt;0,F379=""),"БЛОК: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нельзя",IF(AND(F379&lt;&gt;"",COUNTIF('Долг по актам'!$B$5:$B$34,F379)=0),"БЛОК: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договору")&gt;0)*($C$5:$C$504&lt;&gt;C379)*($E$5:$E$504=E379)*(($D$5:$D$504=D379)*(D379&lt;&gt;"")+($B$5:$B$504=B379)*(B379&lt;&gt;"")&gt;0))&gt;0,"БЛОК: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379" s="5">
        <f>IF(AND(B379="",C379="",E379=""),"",SUM($G$5:G379))</f>
        <v/>
      </c>
    </row>
    <row r="380">
      <c r="A380" s="6" t="n">
        <v>376</v>
      </c>
      <c r="B380" s="7" t="n"/>
      <c r="C380" s="8" t="n"/>
      <c r="D380" s="8" t="n"/>
      <c r="E380" s="9" t="n"/>
      <c r="F380" s="8" t="n"/>
      <c r="G380" s="5">
        <f>IF(OR(C380="",E380=""),0,IF(C380="Начисление по акту",E380,IF(OR(C380="Оплата",C380="Зачёт аванса по договору"),-E380,IF(C380="Корректировка (подписана обеими сторонами)",E380,0))))</f>
        <v/>
      </c>
      <c r="H380" s="5">
        <f>IF(OR(C380="Удержание",C380="Зачёт встречного требования",C380="Неустойка заявлена"),N(E380),0)</f>
        <v/>
      </c>
      <c r="I380" s="6">
        <f>IF(AND(B380="",C380="",D380="",E380="",F380=""),"",IF(OR(B380="",C380="",E380=""),"БЛОК: нужны дата, тип операции и сумма",IF(N(E380)&lt;=0,"БЛОК: сумма должна быть больше нуля",IF(AND(G380&lt;&gt;0,F380=""),"БЛОК: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нельзя",IF(AND(F380&lt;&gt;"",COUNTIF('Долг по актам'!$B$5:$B$34,F380)=0),"БЛОК: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договору")&gt;0)*($C$5:$C$504&lt;&gt;C380)*($E$5:$E$504=E380)*(($D$5:$D$504=D380)*(D380&lt;&gt;"")+($B$5:$B$504=B380)*(B380&lt;&gt;"")&gt;0))&gt;0,"БЛОК: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380" s="5">
        <f>IF(AND(B380="",C380="",E380=""),"",SUM($G$5:G380))</f>
        <v/>
      </c>
    </row>
    <row r="381">
      <c r="A381" s="6" t="n">
        <v>377</v>
      </c>
      <c r="B381" s="7" t="n"/>
      <c r="C381" s="8" t="n"/>
      <c r="D381" s="8" t="n"/>
      <c r="E381" s="9" t="n"/>
      <c r="F381" s="8" t="n"/>
      <c r="G381" s="5">
        <f>IF(OR(C381="",E381=""),0,IF(C381="Начисление по акту",E381,IF(OR(C381="Оплата",C381="Зачёт аванса по договору"),-E381,IF(C381="Корректировка (подписана обеими сторонами)",E381,0))))</f>
        <v/>
      </c>
      <c r="H381" s="5">
        <f>IF(OR(C381="Удержание",C381="Зачёт встречного требования",C381="Неустойка заявлена"),N(E381),0)</f>
        <v/>
      </c>
      <c r="I381" s="6">
        <f>IF(AND(B381="",C381="",D381="",E381="",F381=""),"",IF(OR(B381="",C381="",E381=""),"БЛОК: нужны дата, тип операции и сумма",IF(N(E381)&lt;=0,"БЛОК: сумма должна быть больше нуля",IF(AND(G381&lt;&gt;0,F381=""),"БЛОК: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нельзя",IF(AND(F381&lt;&gt;"",COUNTIF('Долг по актам'!$B$5:$B$34,F381)=0),"БЛОК: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договору")&gt;0)*($C$5:$C$504&lt;&gt;C381)*($E$5:$E$504=E381)*(($D$5:$D$504=D381)*(D381&lt;&gt;"")+($B$5:$B$504=B381)*(B381&lt;&gt;"")&gt;0))&gt;0,"БЛОК: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381" s="5">
        <f>IF(AND(B381="",C381="",E381=""),"",SUM($G$5:G381))</f>
        <v/>
      </c>
    </row>
    <row r="382">
      <c r="A382" s="6" t="n">
        <v>378</v>
      </c>
      <c r="B382" s="7" t="n"/>
      <c r="C382" s="8" t="n"/>
      <c r="D382" s="8" t="n"/>
      <c r="E382" s="9" t="n"/>
      <c r="F382" s="8" t="n"/>
      <c r="G382" s="5">
        <f>IF(OR(C382="",E382=""),0,IF(C382="Начисление по акту",E382,IF(OR(C382="Оплата",C382="Зачёт аванса по договору"),-E382,IF(C382="Корректировка (подписана обеими сторонами)",E382,0))))</f>
        <v/>
      </c>
      <c r="H382" s="5">
        <f>IF(OR(C382="Удержание",C382="Зачёт встречного требования",C382="Неустойка заявлена"),N(E382),0)</f>
        <v/>
      </c>
      <c r="I382" s="6">
        <f>IF(AND(B382="",C382="",D382="",E382="",F382=""),"",IF(OR(B382="",C382="",E382=""),"БЛОК: нужны дата, тип операции и сумма",IF(N(E382)&lt;=0,"БЛОК: сумма должна быть больше нуля",IF(AND(G382&lt;&gt;0,F382=""),"БЛОК: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нельзя",IF(AND(F382&lt;&gt;"",COUNTIF('Долг по актам'!$B$5:$B$34,F382)=0),"БЛОК: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договору")&gt;0)*($C$5:$C$504&lt;&gt;C382)*($E$5:$E$504=E382)*(($D$5:$D$504=D382)*(D382&lt;&gt;"")+($B$5:$B$504=B382)*(B382&lt;&gt;"")&gt;0))&gt;0,"БЛОК: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382" s="5">
        <f>IF(AND(B382="",C382="",E382=""),"",SUM($G$5:G382))</f>
        <v/>
      </c>
    </row>
    <row r="383">
      <c r="A383" s="6" t="n">
        <v>379</v>
      </c>
      <c r="B383" s="7" t="n"/>
      <c r="C383" s="8" t="n"/>
      <c r="D383" s="8" t="n"/>
      <c r="E383" s="9" t="n"/>
      <c r="F383" s="8" t="n"/>
      <c r="G383" s="5">
        <f>IF(OR(C383="",E383=""),0,IF(C383="Начисление по акту",E383,IF(OR(C383="Оплата",C383="Зачёт аванса по договору"),-E383,IF(C383="Корректировка (подписана обеими сторонами)",E383,0))))</f>
        <v/>
      </c>
      <c r="H383" s="5">
        <f>IF(OR(C383="Удержание",C383="Зачёт встречного требования",C383="Неустойка заявлена"),N(E383),0)</f>
        <v/>
      </c>
      <c r="I383" s="6">
        <f>IF(AND(B383="",C383="",D383="",E383="",F383=""),"",IF(OR(B383="",C383="",E383=""),"БЛОК: нужны дата, тип операции и сумма",IF(N(E383)&lt;=0,"БЛОК: сумма должна быть больше нуля",IF(AND(G383&lt;&gt;0,F383=""),"БЛОК: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нельзя",IF(AND(F383&lt;&gt;"",COUNTIF('Долг по актам'!$B$5:$B$34,F383)=0),"БЛОК: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договору")&gt;0)*($C$5:$C$504&lt;&gt;C383)*($E$5:$E$504=E383)*(($D$5:$D$504=D383)*(D383&lt;&gt;"")+($B$5:$B$504=B383)*(B383&lt;&gt;"")&gt;0))&gt;0,"БЛОК: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383" s="5">
        <f>IF(AND(B383="",C383="",E383=""),"",SUM($G$5:G383))</f>
        <v/>
      </c>
    </row>
    <row r="384">
      <c r="A384" s="6" t="n">
        <v>380</v>
      </c>
      <c r="B384" s="7" t="n"/>
      <c r="C384" s="8" t="n"/>
      <c r="D384" s="8" t="n"/>
      <c r="E384" s="9" t="n"/>
      <c r="F384" s="8" t="n"/>
      <c r="G384" s="5">
        <f>IF(OR(C384="",E384=""),0,IF(C384="Начисление по акту",E384,IF(OR(C384="Оплата",C384="Зачёт аванса по договору"),-E384,IF(C384="Корректировка (подписана обеими сторонами)",E384,0))))</f>
        <v/>
      </c>
      <c r="H384" s="5">
        <f>IF(OR(C384="Удержание",C384="Зачёт встречного требования",C384="Неустойка заявлена"),N(E384),0)</f>
        <v/>
      </c>
      <c r="I384" s="6">
        <f>IF(AND(B384="",C384="",D384="",E384="",F384=""),"",IF(OR(B384="",C384="",E384=""),"БЛОК: нужны дата, тип операции и сумма",IF(N(E384)&lt;=0,"БЛОК: сумма должна быть больше нуля",IF(AND(G384&lt;&gt;0,F384=""),"БЛОК: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нельзя",IF(AND(F384&lt;&gt;"",COUNTIF('Долг по актам'!$B$5:$B$34,F384)=0),"БЛОК: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договору")&gt;0)*($C$5:$C$504&lt;&gt;C384)*($E$5:$E$504=E384)*(($D$5:$D$504=D384)*(D384&lt;&gt;"")+($B$5:$B$504=B384)*(B384&lt;&gt;"")&gt;0))&gt;0,"БЛОК: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384" s="5">
        <f>IF(AND(B384="",C384="",E384=""),"",SUM($G$5:G384))</f>
        <v/>
      </c>
    </row>
    <row r="385">
      <c r="A385" s="6" t="n">
        <v>381</v>
      </c>
      <c r="B385" s="7" t="n"/>
      <c r="C385" s="8" t="n"/>
      <c r="D385" s="8" t="n"/>
      <c r="E385" s="9" t="n"/>
      <c r="F385" s="8" t="n"/>
      <c r="G385" s="5">
        <f>IF(OR(C385="",E385=""),0,IF(C385="Начисление по акту",E385,IF(OR(C385="Оплата",C385="Зачёт аванса по договору"),-E385,IF(C385="Корректировка (подписана обеими сторонами)",E385,0))))</f>
        <v/>
      </c>
      <c r="H385" s="5">
        <f>IF(OR(C385="Удержание",C385="Зачёт встречного требования",C385="Неустойка заявлена"),N(E385),0)</f>
        <v/>
      </c>
      <c r="I385" s="6">
        <f>IF(AND(B385="",C385="",D385="",E385="",F385=""),"",IF(OR(B385="",C385="",E385=""),"БЛОК: нужны дата, тип операции и сумма",IF(N(E385)&lt;=0,"БЛОК: сумма должна быть больше нуля",IF(AND(G385&lt;&gt;0,F385=""),"БЛОК: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нельзя",IF(AND(F385&lt;&gt;"",COUNTIF('Долг по актам'!$B$5:$B$34,F385)=0),"БЛОК: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договору")&gt;0)*($C$5:$C$504&lt;&gt;C385)*($E$5:$E$504=E385)*(($D$5:$D$504=D385)*(D385&lt;&gt;"")+($B$5:$B$504=B385)*(B385&lt;&gt;"")&gt;0))&gt;0,"БЛОК: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385" s="5">
        <f>IF(AND(B385="",C385="",E385=""),"",SUM($G$5:G385))</f>
        <v/>
      </c>
    </row>
    <row r="386">
      <c r="A386" s="6" t="n">
        <v>382</v>
      </c>
      <c r="B386" s="7" t="n"/>
      <c r="C386" s="8" t="n"/>
      <c r="D386" s="8" t="n"/>
      <c r="E386" s="9" t="n"/>
      <c r="F386" s="8" t="n"/>
      <c r="G386" s="5">
        <f>IF(OR(C386="",E386=""),0,IF(C386="Начисление по акту",E386,IF(OR(C386="Оплата",C386="Зачёт аванса по договору"),-E386,IF(C386="Корректировка (подписана обеими сторонами)",E386,0))))</f>
        <v/>
      </c>
      <c r="H386" s="5">
        <f>IF(OR(C386="Удержание",C386="Зачёт встречного требования",C386="Неустойка заявлена"),N(E386),0)</f>
        <v/>
      </c>
      <c r="I386" s="6">
        <f>IF(AND(B386="",C386="",D386="",E386="",F386=""),"",IF(OR(B386="",C386="",E386=""),"БЛОК: нужны дата, тип операции и сумма",IF(N(E386)&lt;=0,"БЛОК: сумма должна быть больше нуля",IF(AND(G386&lt;&gt;0,F386=""),"БЛОК: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нельзя",IF(AND(F386&lt;&gt;"",COUNTIF('Долг по актам'!$B$5:$B$34,F386)=0),"БЛОК: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договору")&gt;0)*($C$5:$C$504&lt;&gt;C386)*($E$5:$E$504=E386)*(($D$5:$D$504=D386)*(D386&lt;&gt;"")+($B$5:$B$504=B386)*(B386&lt;&gt;"")&gt;0))&gt;0,"БЛОК: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386" s="5">
        <f>IF(AND(B386="",C386="",E386=""),"",SUM($G$5:G386))</f>
        <v/>
      </c>
    </row>
    <row r="387">
      <c r="A387" s="6" t="n">
        <v>383</v>
      </c>
      <c r="B387" s="7" t="n"/>
      <c r="C387" s="8" t="n"/>
      <c r="D387" s="8" t="n"/>
      <c r="E387" s="9" t="n"/>
      <c r="F387" s="8" t="n"/>
      <c r="G387" s="5">
        <f>IF(OR(C387="",E387=""),0,IF(C387="Начисление по акту",E387,IF(OR(C387="Оплата",C387="Зачёт аванса по договору"),-E387,IF(C387="Корректировка (подписана обеими сторонами)",E387,0))))</f>
        <v/>
      </c>
      <c r="H387" s="5">
        <f>IF(OR(C387="Удержание",C387="Зачёт встречного требования",C387="Неустойка заявлена"),N(E387),0)</f>
        <v/>
      </c>
      <c r="I387" s="6">
        <f>IF(AND(B387="",C387="",D387="",E387="",F387=""),"",IF(OR(B387="",C387="",E387=""),"БЛОК: нужны дата, тип операции и сумма",IF(N(E387)&lt;=0,"БЛОК: сумма должна быть больше нуля",IF(AND(G387&lt;&gt;0,F387=""),"БЛОК: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нельзя",IF(AND(F387&lt;&gt;"",COUNTIF('Долг по актам'!$B$5:$B$34,F387)=0),"БЛОК: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договору")&gt;0)*($C$5:$C$504&lt;&gt;C387)*($E$5:$E$504=E387)*(($D$5:$D$504=D387)*(D387&lt;&gt;"")+($B$5:$B$504=B387)*(B387&lt;&gt;"")&gt;0))&gt;0,"БЛОК: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387" s="5">
        <f>IF(AND(B387="",C387="",E387=""),"",SUM($G$5:G387))</f>
        <v/>
      </c>
    </row>
    <row r="388">
      <c r="A388" s="6" t="n">
        <v>384</v>
      </c>
      <c r="B388" s="7" t="n"/>
      <c r="C388" s="8" t="n"/>
      <c r="D388" s="8" t="n"/>
      <c r="E388" s="9" t="n"/>
      <c r="F388" s="8" t="n"/>
      <c r="G388" s="5">
        <f>IF(OR(C388="",E388=""),0,IF(C388="Начисление по акту",E388,IF(OR(C388="Оплата",C388="Зачёт аванса по договору"),-E388,IF(C388="Корректировка (подписана обеими сторонами)",E388,0))))</f>
        <v/>
      </c>
      <c r="H388" s="5">
        <f>IF(OR(C388="Удержание",C388="Зачёт встречного требования",C388="Неустойка заявлена"),N(E388),0)</f>
        <v/>
      </c>
      <c r="I388" s="6">
        <f>IF(AND(B388="",C388="",D388="",E388="",F388=""),"",IF(OR(B388="",C388="",E388=""),"БЛОК: нужны дата, тип операции и сумма",IF(N(E388)&lt;=0,"БЛОК: сумма должна быть больше нуля",IF(AND(G388&lt;&gt;0,F388=""),"БЛОК: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нельзя",IF(AND(F388&lt;&gt;"",COUNTIF('Долг по актам'!$B$5:$B$34,F388)=0),"БЛОК: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договору")&gt;0)*($C$5:$C$504&lt;&gt;C388)*($E$5:$E$504=E388)*(($D$5:$D$504=D388)*(D388&lt;&gt;"")+($B$5:$B$504=B388)*(B388&lt;&gt;"")&gt;0))&gt;0,"БЛОК: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388" s="5">
        <f>IF(AND(B388="",C388="",E388=""),"",SUM($G$5:G388))</f>
        <v/>
      </c>
    </row>
    <row r="389">
      <c r="A389" s="6" t="n">
        <v>385</v>
      </c>
      <c r="B389" s="7" t="n"/>
      <c r="C389" s="8" t="n"/>
      <c r="D389" s="8" t="n"/>
      <c r="E389" s="9" t="n"/>
      <c r="F389" s="8" t="n"/>
      <c r="G389" s="5">
        <f>IF(OR(C389="",E389=""),0,IF(C389="Начисление по акту",E389,IF(OR(C389="Оплата",C389="Зачёт аванса по договору"),-E389,IF(C389="Корректировка (подписана обеими сторонами)",E389,0))))</f>
        <v/>
      </c>
      <c r="H389" s="5">
        <f>IF(OR(C389="Удержание",C389="Зачёт встречного требования",C389="Неустойка заявлена"),N(E389),0)</f>
        <v/>
      </c>
      <c r="I389" s="6">
        <f>IF(AND(B389="",C389="",D389="",E389="",F389=""),"",IF(OR(B389="",C389="",E389=""),"БЛОК: нужны дата, тип операции и сумма",IF(N(E389)&lt;=0,"БЛОК: сумма должна быть больше нуля",IF(AND(G389&lt;&gt;0,F389=""),"БЛОК: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нельзя",IF(AND(F389&lt;&gt;"",COUNTIF('Долг по актам'!$B$5:$B$34,F389)=0),"БЛОК: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договору")&gt;0)*($C$5:$C$504&lt;&gt;C389)*($E$5:$E$504=E389)*(($D$5:$D$504=D389)*(D389&lt;&gt;"")+($B$5:$B$504=B389)*(B389&lt;&gt;"")&gt;0))&gt;0,"БЛОК: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389" s="5">
        <f>IF(AND(B389="",C389="",E389=""),"",SUM($G$5:G389))</f>
        <v/>
      </c>
    </row>
    <row r="390">
      <c r="A390" s="6" t="n">
        <v>386</v>
      </c>
      <c r="B390" s="7" t="n"/>
      <c r="C390" s="8" t="n"/>
      <c r="D390" s="8" t="n"/>
      <c r="E390" s="9" t="n"/>
      <c r="F390" s="8" t="n"/>
      <c r="G390" s="5">
        <f>IF(OR(C390="",E390=""),0,IF(C390="Начисление по акту",E390,IF(OR(C390="Оплата",C390="Зачёт аванса по договору"),-E390,IF(C390="Корректировка (подписана обеими сторонами)",E390,0))))</f>
        <v/>
      </c>
      <c r="H390" s="5">
        <f>IF(OR(C390="Удержание",C390="Зачёт встречного требования",C390="Неустойка заявлена"),N(E390),0)</f>
        <v/>
      </c>
      <c r="I390" s="6">
        <f>IF(AND(B390="",C390="",D390="",E390="",F390=""),"",IF(OR(B390="",C390="",E390=""),"БЛОК: нужны дата, тип операции и сумма",IF(N(E390)&lt;=0,"БЛОК: сумма должна быть больше нуля",IF(AND(G390&lt;&gt;0,F390=""),"БЛОК: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нельзя",IF(AND(F390&lt;&gt;"",COUNTIF('Долг по актам'!$B$5:$B$34,F390)=0),"БЛОК: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договору")&gt;0)*($C$5:$C$504&lt;&gt;C390)*($E$5:$E$504=E390)*(($D$5:$D$504=D390)*(D390&lt;&gt;"")+($B$5:$B$504=B390)*(B390&lt;&gt;"")&gt;0))&gt;0,"БЛОК: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390" s="5">
        <f>IF(AND(B390="",C390="",E390=""),"",SUM($G$5:G390))</f>
        <v/>
      </c>
    </row>
    <row r="391">
      <c r="A391" s="6" t="n">
        <v>387</v>
      </c>
      <c r="B391" s="7" t="n"/>
      <c r="C391" s="8" t="n"/>
      <c r="D391" s="8" t="n"/>
      <c r="E391" s="9" t="n"/>
      <c r="F391" s="8" t="n"/>
      <c r="G391" s="5">
        <f>IF(OR(C391="",E391=""),0,IF(C391="Начисление по акту",E391,IF(OR(C391="Оплата",C391="Зачёт аванса по договору"),-E391,IF(C391="Корректировка (подписана обеими сторонами)",E391,0))))</f>
        <v/>
      </c>
      <c r="H391" s="5">
        <f>IF(OR(C391="Удержание",C391="Зачёт встречного требования",C391="Неустойка заявлена"),N(E391),0)</f>
        <v/>
      </c>
      <c r="I391" s="6">
        <f>IF(AND(B391="",C391="",D391="",E391="",F391=""),"",IF(OR(B391="",C391="",E391=""),"БЛОК: нужны дата, тип операции и сумма",IF(N(E391)&lt;=0,"БЛОК: сумма должна быть больше нуля",IF(AND(G391&lt;&gt;0,F391=""),"БЛОК: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нельзя",IF(AND(F391&lt;&gt;"",COUNTIF('Долг по актам'!$B$5:$B$34,F391)=0),"БЛОК: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договору")&gt;0)*($C$5:$C$504&lt;&gt;C391)*($E$5:$E$504=E391)*(($D$5:$D$504=D391)*(D391&lt;&gt;"")+($B$5:$B$504=B391)*(B391&lt;&gt;"")&gt;0))&gt;0,"БЛОК: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391" s="5">
        <f>IF(AND(B391="",C391="",E391=""),"",SUM($G$5:G391))</f>
        <v/>
      </c>
    </row>
    <row r="392">
      <c r="A392" s="6" t="n">
        <v>388</v>
      </c>
      <c r="B392" s="7" t="n"/>
      <c r="C392" s="8" t="n"/>
      <c r="D392" s="8" t="n"/>
      <c r="E392" s="9" t="n"/>
      <c r="F392" s="8" t="n"/>
      <c r="G392" s="5">
        <f>IF(OR(C392="",E392=""),0,IF(C392="Начисление по акту",E392,IF(OR(C392="Оплата",C392="Зачёт аванса по договору"),-E392,IF(C392="Корректировка (подписана обеими сторонами)",E392,0))))</f>
        <v/>
      </c>
      <c r="H392" s="5">
        <f>IF(OR(C392="Удержание",C392="Зачёт встречного требования",C392="Неустойка заявлена"),N(E392),0)</f>
        <v/>
      </c>
      <c r="I392" s="6">
        <f>IF(AND(B392="",C392="",D392="",E392="",F392=""),"",IF(OR(B392="",C392="",E392=""),"БЛОК: нужны дата, тип операции и сумма",IF(N(E392)&lt;=0,"БЛОК: сумма должна быть больше нуля",IF(AND(G392&lt;&gt;0,F392=""),"БЛОК: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нельзя",IF(AND(F392&lt;&gt;"",COUNTIF('Долг по актам'!$B$5:$B$34,F392)=0),"БЛОК: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договору")&gt;0)*($C$5:$C$504&lt;&gt;C392)*($E$5:$E$504=E392)*(($D$5:$D$504=D392)*(D392&lt;&gt;"")+($B$5:$B$504=B392)*(B392&lt;&gt;"")&gt;0))&gt;0,"БЛОК: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392" s="5">
        <f>IF(AND(B392="",C392="",E392=""),"",SUM($G$5:G392))</f>
        <v/>
      </c>
    </row>
    <row r="393">
      <c r="A393" s="6" t="n">
        <v>389</v>
      </c>
      <c r="B393" s="7" t="n"/>
      <c r="C393" s="8" t="n"/>
      <c r="D393" s="8" t="n"/>
      <c r="E393" s="9" t="n"/>
      <c r="F393" s="8" t="n"/>
      <c r="G393" s="5">
        <f>IF(OR(C393="",E393=""),0,IF(C393="Начисление по акту",E393,IF(OR(C393="Оплата",C393="Зачёт аванса по договору"),-E393,IF(C393="Корректировка (подписана обеими сторонами)",E393,0))))</f>
        <v/>
      </c>
      <c r="H393" s="5">
        <f>IF(OR(C393="Удержание",C393="Зачёт встречного требования",C393="Неустойка заявлена"),N(E393),0)</f>
        <v/>
      </c>
      <c r="I393" s="6">
        <f>IF(AND(B393="",C393="",D393="",E393="",F393=""),"",IF(OR(B393="",C393="",E393=""),"БЛОК: нужны дата, тип операции и сумма",IF(N(E393)&lt;=0,"БЛОК: сумма должна быть больше нуля",IF(AND(G393&lt;&gt;0,F393=""),"БЛОК: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нельзя",IF(AND(F393&lt;&gt;"",COUNTIF('Долг по актам'!$B$5:$B$34,F393)=0),"БЛОК: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договору")&gt;0)*($C$5:$C$504&lt;&gt;C393)*($E$5:$E$504=E393)*(($D$5:$D$504=D393)*(D393&lt;&gt;"")+($B$5:$B$504=B393)*(B393&lt;&gt;"")&gt;0))&gt;0,"БЛОК: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393" s="5">
        <f>IF(AND(B393="",C393="",E393=""),"",SUM($G$5:G393))</f>
        <v/>
      </c>
    </row>
    <row r="394">
      <c r="A394" s="6" t="n">
        <v>390</v>
      </c>
      <c r="B394" s="7" t="n"/>
      <c r="C394" s="8" t="n"/>
      <c r="D394" s="8" t="n"/>
      <c r="E394" s="9" t="n"/>
      <c r="F394" s="8" t="n"/>
      <c r="G394" s="5">
        <f>IF(OR(C394="",E394=""),0,IF(C394="Начисление по акту",E394,IF(OR(C394="Оплата",C394="Зачёт аванса по договору"),-E394,IF(C394="Корректировка (подписана обеими сторонами)",E394,0))))</f>
        <v/>
      </c>
      <c r="H394" s="5">
        <f>IF(OR(C394="Удержание",C394="Зачёт встречного требования",C394="Неустойка заявлена"),N(E394),0)</f>
        <v/>
      </c>
      <c r="I394" s="6">
        <f>IF(AND(B394="",C394="",D394="",E394="",F394=""),"",IF(OR(B394="",C394="",E394=""),"БЛОК: нужны дата, тип операции и сумма",IF(N(E394)&lt;=0,"БЛОК: сумма должна быть больше нуля",IF(AND(G394&lt;&gt;0,F394=""),"БЛОК: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нельзя",IF(AND(F394&lt;&gt;"",COUNTIF('Долг по актам'!$B$5:$B$34,F394)=0),"БЛОК: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договору")&gt;0)*($C$5:$C$504&lt;&gt;C394)*($E$5:$E$504=E394)*(($D$5:$D$504=D394)*(D394&lt;&gt;"")+($B$5:$B$504=B394)*(B394&lt;&gt;"")&gt;0))&gt;0,"БЛОК: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394" s="5">
        <f>IF(AND(B394="",C394="",E394=""),"",SUM($G$5:G394))</f>
        <v/>
      </c>
    </row>
    <row r="395">
      <c r="A395" s="6" t="n">
        <v>391</v>
      </c>
      <c r="B395" s="7" t="n"/>
      <c r="C395" s="8" t="n"/>
      <c r="D395" s="8" t="n"/>
      <c r="E395" s="9" t="n"/>
      <c r="F395" s="8" t="n"/>
      <c r="G395" s="5">
        <f>IF(OR(C395="",E395=""),0,IF(C395="Начисление по акту",E395,IF(OR(C395="Оплата",C395="Зачёт аванса по договору"),-E395,IF(C395="Корректировка (подписана обеими сторонами)",E395,0))))</f>
        <v/>
      </c>
      <c r="H395" s="5">
        <f>IF(OR(C395="Удержание",C395="Зачёт встречного требования",C395="Неустойка заявлена"),N(E395),0)</f>
        <v/>
      </c>
      <c r="I395" s="6">
        <f>IF(AND(B395="",C395="",D395="",E395="",F395=""),"",IF(OR(B395="",C395="",E395=""),"БЛОК: нужны дата, тип операции и сумма",IF(N(E395)&lt;=0,"БЛОК: сумма должна быть больше нуля",IF(AND(G395&lt;&gt;0,F395=""),"БЛОК: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нельзя",IF(AND(F395&lt;&gt;"",COUNTIF('Долг по актам'!$B$5:$B$34,F395)=0),"БЛОК: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договору")&gt;0)*($C$5:$C$504&lt;&gt;C395)*($E$5:$E$504=E395)*(($D$5:$D$504=D395)*(D395&lt;&gt;"")+($B$5:$B$504=B395)*(B395&lt;&gt;"")&gt;0))&gt;0,"БЛОК: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395" s="5">
        <f>IF(AND(B395="",C395="",E395=""),"",SUM($G$5:G395))</f>
        <v/>
      </c>
    </row>
    <row r="396">
      <c r="A396" s="6" t="n">
        <v>392</v>
      </c>
      <c r="B396" s="7" t="n"/>
      <c r="C396" s="8" t="n"/>
      <c r="D396" s="8" t="n"/>
      <c r="E396" s="9" t="n"/>
      <c r="F396" s="8" t="n"/>
      <c r="G396" s="5">
        <f>IF(OR(C396="",E396=""),0,IF(C396="Начисление по акту",E396,IF(OR(C396="Оплата",C396="Зачёт аванса по договору"),-E396,IF(C396="Корректировка (подписана обеими сторонами)",E396,0))))</f>
        <v/>
      </c>
      <c r="H396" s="5">
        <f>IF(OR(C396="Удержание",C396="Зачёт встречного требования",C396="Неустойка заявлена"),N(E396),0)</f>
        <v/>
      </c>
      <c r="I396" s="6">
        <f>IF(AND(B396="",C396="",D396="",E396="",F396=""),"",IF(OR(B396="",C396="",E396=""),"БЛОК: нужны дата, тип операции и сумма",IF(N(E396)&lt;=0,"БЛОК: сумма должна быть больше нуля",IF(AND(G396&lt;&gt;0,F396=""),"БЛОК: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нельзя",IF(AND(F396&lt;&gt;"",COUNTIF('Долг по актам'!$B$5:$B$34,F396)=0),"БЛОК: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договору")&gt;0)*($C$5:$C$504&lt;&gt;C396)*($E$5:$E$504=E396)*(($D$5:$D$504=D396)*(D396&lt;&gt;"")+($B$5:$B$504=B396)*(B396&lt;&gt;"")&gt;0))&gt;0,"БЛОК: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396" s="5">
        <f>IF(AND(B396="",C396="",E396=""),"",SUM($G$5:G396))</f>
        <v/>
      </c>
    </row>
    <row r="397">
      <c r="A397" s="6" t="n">
        <v>393</v>
      </c>
      <c r="B397" s="7" t="n"/>
      <c r="C397" s="8" t="n"/>
      <c r="D397" s="8" t="n"/>
      <c r="E397" s="9" t="n"/>
      <c r="F397" s="8" t="n"/>
      <c r="G397" s="5">
        <f>IF(OR(C397="",E397=""),0,IF(C397="Начисление по акту",E397,IF(OR(C397="Оплата",C397="Зачёт аванса по договору"),-E397,IF(C397="Корректировка (подписана обеими сторонами)",E397,0))))</f>
        <v/>
      </c>
      <c r="H397" s="5">
        <f>IF(OR(C397="Удержание",C397="Зачёт встречного требования",C397="Неустойка заявлена"),N(E397),0)</f>
        <v/>
      </c>
      <c r="I397" s="6">
        <f>IF(AND(B397="",C397="",D397="",E397="",F397=""),"",IF(OR(B397="",C397="",E397=""),"БЛОК: нужны дата, тип операции и сумма",IF(N(E397)&lt;=0,"БЛОК: сумма должна быть больше нуля",IF(AND(G397&lt;&gt;0,F397=""),"БЛОК: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нельзя",IF(AND(F397&lt;&gt;"",COUNTIF('Долг по актам'!$B$5:$B$34,F397)=0),"БЛОК: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договору")&gt;0)*($C$5:$C$504&lt;&gt;C397)*($E$5:$E$504=E397)*(($D$5:$D$504=D397)*(D397&lt;&gt;"")+($B$5:$B$504=B397)*(B397&lt;&gt;"")&gt;0))&gt;0,"БЛОК: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397" s="5">
        <f>IF(AND(B397="",C397="",E397=""),"",SUM($G$5:G397))</f>
        <v/>
      </c>
    </row>
    <row r="398">
      <c r="A398" s="6" t="n">
        <v>394</v>
      </c>
      <c r="B398" s="7" t="n"/>
      <c r="C398" s="8" t="n"/>
      <c r="D398" s="8" t="n"/>
      <c r="E398" s="9" t="n"/>
      <c r="F398" s="8" t="n"/>
      <c r="G398" s="5">
        <f>IF(OR(C398="",E398=""),0,IF(C398="Начисление по акту",E398,IF(OR(C398="Оплата",C398="Зачёт аванса по договору"),-E398,IF(C398="Корректировка (подписана обеими сторонами)",E398,0))))</f>
        <v/>
      </c>
      <c r="H398" s="5">
        <f>IF(OR(C398="Удержание",C398="Зачёт встречного требования",C398="Неустойка заявлена"),N(E398),0)</f>
        <v/>
      </c>
      <c r="I398" s="6">
        <f>IF(AND(B398="",C398="",D398="",E398="",F398=""),"",IF(OR(B398="",C398="",E398=""),"БЛОК: нужны дата, тип операции и сумма",IF(N(E398)&lt;=0,"БЛОК: сумма должна быть больше нуля",IF(AND(G398&lt;&gt;0,F398=""),"БЛОК: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нельзя",IF(AND(F398&lt;&gt;"",COUNTIF('Долг по актам'!$B$5:$B$34,F398)=0),"БЛОК: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договору")&gt;0)*($C$5:$C$504&lt;&gt;C398)*($E$5:$E$504=E398)*(($D$5:$D$504=D398)*(D398&lt;&gt;"")+($B$5:$B$504=B398)*(B398&lt;&gt;"")&gt;0))&gt;0,"БЛОК: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398" s="5">
        <f>IF(AND(B398="",C398="",E398=""),"",SUM($G$5:G398))</f>
        <v/>
      </c>
    </row>
    <row r="399">
      <c r="A399" s="6" t="n">
        <v>395</v>
      </c>
      <c r="B399" s="7" t="n"/>
      <c r="C399" s="8" t="n"/>
      <c r="D399" s="8" t="n"/>
      <c r="E399" s="9" t="n"/>
      <c r="F399" s="8" t="n"/>
      <c r="G399" s="5">
        <f>IF(OR(C399="",E399=""),0,IF(C399="Начисление по акту",E399,IF(OR(C399="Оплата",C399="Зачёт аванса по договору"),-E399,IF(C399="Корректировка (подписана обеими сторонами)",E399,0))))</f>
        <v/>
      </c>
      <c r="H399" s="5">
        <f>IF(OR(C399="Удержание",C399="Зачёт встречного требования",C399="Неустойка заявлена"),N(E399),0)</f>
        <v/>
      </c>
      <c r="I399" s="6">
        <f>IF(AND(B399="",C399="",D399="",E399="",F399=""),"",IF(OR(B399="",C399="",E399=""),"БЛОК: нужны дата, тип операции и сумма",IF(N(E399)&lt;=0,"БЛОК: сумма должна быть больше нуля",IF(AND(G399&lt;&gt;0,F399=""),"БЛОК: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нельзя",IF(AND(F399&lt;&gt;"",COUNTIF('Долг по актам'!$B$5:$B$34,F399)=0),"БЛОК: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договору")&gt;0)*($C$5:$C$504&lt;&gt;C399)*($E$5:$E$504=E399)*(($D$5:$D$504=D399)*(D399&lt;&gt;"")+($B$5:$B$504=B399)*(B399&lt;&gt;"")&gt;0))&gt;0,"БЛОК: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399" s="5">
        <f>IF(AND(B399="",C399="",E399=""),"",SUM($G$5:G399))</f>
        <v/>
      </c>
    </row>
    <row r="400">
      <c r="A400" s="6" t="n">
        <v>396</v>
      </c>
      <c r="B400" s="7" t="n"/>
      <c r="C400" s="8" t="n"/>
      <c r="D400" s="8" t="n"/>
      <c r="E400" s="9" t="n"/>
      <c r="F400" s="8" t="n"/>
      <c r="G400" s="5">
        <f>IF(OR(C400="",E400=""),0,IF(C400="Начисление по акту",E400,IF(OR(C400="Оплата",C400="Зачёт аванса по договору"),-E400,IF(C400="Корректировка (подписана обеими сторонами)",E400,0))))</f>
        <v/>
      </c>
      <c r="H400" s="5">
        <f>IF(OR(C400="Удержание",C400="Зачёт встречного требования",C400="Неустойка заявлена"),N(E400),0)</f>
        <v/>
      </c>
      <c r="I400" s="6">
        <f>IF(AND(B400="",C400="",D400="",E400="",F400=""),"",IF(OR(B400="",C400="",E400=""),"БЛОК: нужны дата, тип операции и сумма",IF(N(E400)&lt;=0,"БЛОК: сумма должна быть больше нуля",IF(AND(G400&lt;&gt;0,F400=""),"БЛОК: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нельзя",IF(AND(F400&lt;&gt;"",COUNTIF('Долг по актам'!$B$5:$B$34,F400)=0),"БЛОК: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договору")&gt;0)*($C$5:$C$504&lt;&gt;C400)*($E$5:$E$504=E400)*(($D$5:$D$504=D400)*(D400&lt;&gt;"")+($B$5:$B$504=B400)*(B400&lt;&gt;"")&gt;0))&gt;0,"БЛОК: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400" s="5">
        <f>IF(AND(B400="",C400="",E400=""),"",SUM($G$5:G400))</f>
        <v/>
      </c>
    </row>
    <row r="401">
      <c r="A401" s="6" t="n">
        <v>397</v>
      </c>
      <c r="B401" s="7" t="n"/>
      <c r="C401" s="8" t="n"/>
      <c r="D401" s="8" t="n"/>
      <c r="E401" s="9" t="n"/>
      <c r="F401" s="8" t="n"/>
      <c r="G401" s="5">
        <f>IF(OR(C401="",E401=""),0,IF(C401="Начисление по акту",E401,IF(OR(C401="Оплата",C401="Зачёт аванса по договору"),-E401,IF(C401="Корректировка (подписана обеими сторонами)",E401,0))))</f>
        <v/>
      </c>
      <c r="H401" s="5">
        <f>IF(OR(C401="Удержание",C401="Зачёт встречного требования",C401="Неустойка заявлена"),N(E401),0)</f>
        <v/>
      </c>
      <c r="I401" s="6">
        <f>IF(AND(B401="",C401="",D401="",E401="",F401=""),"",IF(OR(B401="",C401="",E401=""),"БЛОК: нужны дата, тип операции и сумма",IF(N(E401)&lt;=0,"БЛОК: сумма должна быть больше нуля",IF(AND(G401&lt;&gt;0,F401=""),"БЛОК: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нельзя",IF(AND(F401&lt;&gt;"",COUNTIF('Долг по актам'!$B$5:$B$34,F401)=0),"БЛОК: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договору")&gt;0)*($C$5:$C$504&lt;&gt;C401)*($E$5:$E$504=E401)*(($D$5:$D$504=D401)*(D401&lt;&gt;"")+($B$5:$B$504=B401)*(B401&lt;&gt;"")&gt;0))&gt;0,"БЛОК: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401" s="5">
        <f>IF(AND(B401="",C401="",E401=""),"",SUM($G$5:G401))</f>
        <v/>
      </c>
    </row>
    <row r="402">
      <c r="A402" s="6" t="n">
        <v>398</v>
      </c>
      <c r="B402" s="7" t="n"/>
      <c r="C402" s="8" t="n"/>
      <c r="D402" s="8" t="n"/>
      <c r="E402" s="9" t="n"/>
      <c r="F402" s="8" t="n"/>
      <c r="G402" s="5">
        <f>IF(OR(C402="",E402=""),0,IF(C402="Начисление по акту",E402,IF(OR(C402="Оплата",C402="Зачёт аванса по договору"),-E402,IF(C402="Корректировка (подписана обеими сторонами)",E402,0))))</f>
        <v/>
      </c>
      <c r="H402" s="5">
        <f>IF(OR(C402="Удержание",C402="Зачёт встречного требования",C402="Неустойка заявлена"),N(E402),0)</f>
        <v/>
      </c>
      <c r="I402" s="6">
        <f>IF(AND(B402="",C402="",D402="",E402="",F402=""),"",IF(OR(B402="",C402="",E402=""),"БЛОК: нужны дата, тип операции и сумма",IF(N(E402)&lt;=0,"БЛОК: сумма должна быть больше нуля",IF(AND(G402&lt;&gt;0,F402=""),"БЛОК: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нельзя",IF(AND(F402&lt;&gt;"",COUNTIF('Долг по актам'!$B$5:$B$34,F402)=0),"БЛОК: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договору")&gt;0)*($C$5:$C$504&lt;&gt;C402)*($E$5:$E$504=E402)*(($D$5:$D$504=D402)*(D402&lt;&gt;"")+($B$5:$B$504=B402)*(B402&lt;&gt;"")&gt;0))&gt;0,"БЛОК: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402" s="5">
        <f>IF(AND(B402="",C402="",E402=""),"",SUM($G$5:G402))</f>
        <v/>
      </c>
    </row>
    <row r="403">
      <c r="A403" s="6" t="n">
        <v>399</v>
      </c>
      <c r="B403" s="7" t="n"/>
      <c r="C403" s="8" t="n"/>
      <c r="D403" s="8" t="n"/>
      <c r="E403" s="9" t="n"/>
      <c r="F403" s="8" t="n"/>
      <c r="G403" s="5">
        <f>IF(OR(C403="",E403=""),0,IF(C403="Начисление по акту",E403,IF(OR(C403="Оплата",C403="Зачёт аванса по договору"),-E403,IF(C403="Корректировка (подписана обеими сторонами)",E403,0))))</f>
        <v/>
      </c>
      <c r="H403" s="5">
        <f>IF(OR(C403="Удержание",C403="Зачёт встречного требования",C403="Неустойка заявлена"),N(E403),0)</f>
        <v/>
      </c>
      <c r="I403" s="6">
        <f>IF(AND(B403="",C403="",D403="",E403="",F403=""),"",IF(OR(B403="",C403="",E403=""),"БЛОК: нужны дата, тип операции и сумма",IF(N(E403)&lt;=0,"БЛОК: сумма должна быть больше нуля",IF(AND(G403&lt;&gt;0,F403=""),"БЛОК: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нельзя",IF(AND(F403&lt;&gt;"",COUNTIF('Долг по актам'!$B$5:$B$34,F403)=0),"БЛОК: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договору")&gt;0)*($C$5:$C$504&lt;&gt;C403)*($E$5:$E$504=E403)*(($D$5:$D$504=D403)*(D403&lt;&gt;"")+($B$5:$B$504=B403)*(B403&lt;&gt;"")&gt;0))&gt;0,"БЛОК: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403" s="5">
        <f>IF(AND(B403="",C403="",E403=""),"",SUM($G$5:G403))</f>
        <v/>
      </c>
    </row>
    <row r="404">
      <c r="A404" s="6" t="n">
        <v>400</v>
      </c>
      <c r="B404" s="7" t="n"/>
      <c r="C404" s="8" t="n"/>
      <c r="D404" s="8" t="n"/>
      <c r="E404" s="9" t="n"/>
      <c r="F404" s="8" t="n"/>
      <c r="G404" s="5">
        <f>IF(OR(C404="",E404=""),0,IF(C404="Начисление по акту",E404,IF(OR(C404="Оплата",C404="Зачёт аванса по договору"),-E404,IF(C404="Корректировка (подписана обеими сторонами)",E404,0))))</f>
        <v/>
      </c>
      <c r="H404" s="5">
        <f>IF(OR(C404="Удержание",C404="Зачёт встречного требования",C404="Неустойка заявлена"),N(E404),0)</f>
        <v/>
      </c>
      <c r="I404" s="6">
        <f>IF(AND(B404="",C404="",D404="",E404="",F404=""),"",IF(OR(B404="",C404="",E404=""),"БЛОК: нужны дата, тип операции и сумма",IF(N(E404)&lt;=0,"БЛОК: сумма должна быть больше нуля",IF(AND(G404&lt;&gt;0,F404=""),"БЛОК: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нельзя",IF(AND(F404&lt;&gt;"",COUNTIF('Долг по актам'!$B$5:$B$34,F404)=0),"БЛОК: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договору")&gt;0)*($C$5:$C$504&lt;&gt;C404)*($E$5:$E$504=E404)*(($D$5:$D$504=D404)*(D404&lt;&gt;"")+($B$5:$B$504=B404)*(B404&lt;&gt;"")&gt;0))&gt;0,"БЛОК: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404" s="5">
        <f>IF(AND(B404="",C404="",E404=""),"",SUM($G$5:G404))</f>
        <v/>
      </c>
    </row>
    <row r="405">
      <c r="A405" s="6" t="n">
        <v>401</v>
      </c>
      <c r="B405" s="7" t="n"/>
      <c r="C405" s="8" t="n"/>
      <c r="D405" s="8" t="n"/>
      <c r="E405" s="9" t="n"/>
      <c r="F405" s="8" t="n"/>
      <c r="G405" s="5">
        <f>IF(OR(C405="",E405=""),0,IF(C405="Начисление по акту",E405,IF(OR(C405="Оплата",C405="Зачёт аванса по договору"),-E405,IF(C405="Корректировка (подписана обеими сторонами)",E405,0))))</f>
        <v/>
      </c>
      <c r="H405" s="5">
        <f>IF(OR(C405="Удержание",C405="Зачёт встречного требования",C405="Неустойка заявлена"),N(E405),0)</f>
        <v/>
      </c>
      <c r="I405" s="6">
        <f>IF(AND(B405="",C405="",D405="",E405="",F405=""),"",IF(OR(B405="",C405="",E405=""),"БЛОК: нужны дата, тип операции и сумма",IF(N(E405)&lt;=0,"БЛОК: сумма должна быть больше нуля",IF(AND(G405&lt;&gt;0,F405=""),"БЛОК: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нельзя",IF(AND(F405&lt;&gt;"",COUNTIF('Долг по актам'!$B$5:$B$34,F405)=0),"БЛОК: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договору")&gt;0)*($C$5:$C$504&lt;&gt;C405)*($E$5:$E$504=E405)*(($D$5:$D$504=D405)*(D405&lt;&gt;"")+($B$5:$B$504=B405)*(B405&lt;&gt;"")&gt;0))&gt;0,"БЛОК: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405" s="5">
        <f>IF(AND(B405="",C405="",E405=""),"",SUM($G$5:G405))</f>
        <v/>
      </c>
    </row>
    <row r="406">
      <c r="A406" s="6" t="n">
        <v>402</v>
      </c>
      <c r="B406" s="7" t="n"/>
      <c r="C406" s="8" t="n"/>
      <c r="D406" s="8" t="n"/>
      <c r="E406" s="9" t="n"/>
      <c r="F406" s="8" t="n"/>
      <c r="G406" s="5">
        <f>IF(OR(C406="",E406=""),0,IF(C406="Начисление по акту",E406,IF(OR(C406="Оплата",C406="Зачёт аванса по договору"),-E406,IF(C406="Корректировка (подписана обеими сторонами)",E406,0))))</f>
        <v/>
      </c>
      <c r="H406" s="5">
        <f>IF(OR(C406="Удержание",C406="Зачёт встречного требования",C406="Неустойка заявлена"),N(E406),0)</f>
        <v/>
      </c>
      <c r="I406" s="6">
        <f>IF(AND(B406="",C406="",D406="",E406="",F406=""),"",IF(OR(B406="",C406="",E406=""),"БЛОК: нужны дата, тип операции и сумма",IF(N(E406)&lt;=0,"БЛОК: сумма должна быть больше нуля",IF(AND(G406&lt;&gt;0,F406=""),"БЛОК: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нельзя",IF(AND(F406&lt;&gt;"",COUNTIF('Долг по актам'!$B$5:$B$34,F406)=0),"БЛОК: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договору")&gt;0)*($C$5:$C$504&lt;&gt;C406)*($E$5:$E$504=E406)*(($D$5:$D$504=D406)*(D406&lt;&gt;"")+($B$5:$B$504=B406)*(B406&lt;&gt;"")&gt;0))&gt;0,"БЛОК: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406" s="5">
        <f>IF(AND(B406="",C406="",E406=""),"",SUM($G$5:G406))</f>
        <v/>
      </c>
    </row>
    <row r="407">
      <c r="A407" s="6" t="n">
        <v>403</v>
      </c>
      <c r="B407" s="7" t="n"/>
      <c r="C407" s="8" t="n"/>
      <c r="D407" s="8" t="n"/>
      <c r="E407" s="9" t="n"/>
      <c r="F407" s="8" t="n"/>
      <c r="G407" s="5">
        <f>IF(OR(C407="",E407=""),0,IF(C407="Начисление по акту",E407,IF(OR(C407="Оплата",C407="Зачёт аванса по договору"),-E407,IF(C407="Корректировка (подписана обеими сторонами)",E407,0))))</f>
        <v/>
      </c>
      <c r="H407" s="5">
        <f>IF(OR(C407="Удержание",C407="Зачёт встречного требования",C407="Неустойка заявлена"),N(E407),0)</f>
        <v/>
      </c>
      <c r="I407" s="6">
        <f>IF(AND(B407="",C407="",D407="",E407="",F407=""),"",IF(OR(B407="",C407="",E407=""),"БЛОК: нужны дата, тип операции и сумма",IF(N(E407)&lt;=0,"БЛОК: сумма должна быть больше нуля",IF(AND(G407&lt;&gt;0,F407=""),"БЛОК: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нельзя",IF(AND(F407&lt;&gt;"",COUNTIF('Долг по актам'!$B$5:$B$34,F407)=0),"БЛОК: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договору")&gt;0)*($C$5:$C$504&lt;&gt;C407)*($E$5:$E$504=E407)*(($D$5:$D$504=D407)*(D407&lt;&gt;"")+($B$5:$B$504=B407)*(B407&lt;&gt;"")&gt;0))&gt;0,"БЛОК: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407" s="5">
        <f>IF(AND(B407="",C407="",E407=""),"",SUM($G$5:G407))</f>
        <v/>
      </c>
    </row>
    <row r="408">
      <c r="A408" s="6" t="n">
        <v>404</v>
      </c>
      <c r="B408" s="7" t="n"/>
      <c r="C408" s="8" t="n"/>
      <c r="D408" s="8" t="n"/>
      <c r="E408" s="9" t="n"/>
      <c r="F408" s="8" t="n"/>
      <c r="G408" s="5">
        <f>IF(OR(C408="",E408=""),0,IF(C408="Начисление по акту",E408,IF(OR(C408="Оплата",C408="Зачёт аванса по договору"),-E408,IF(C408="Корректировка (подписана обеими сторонами)",E408,0))))</f>
        <v/>
      </c>
      <c r="H408" s="5">
        <f>IF(OR(C408="Удержание",C408="Зачёт встречного требования",C408="Неустойка заявлена"),N(E408),0)</f>
        <v/>
      </c>
      <c r="I408" s="6">
        <f>IF(AND(B408="",C408="",D408="",E408="",F408=""),"",IF(OR(B408="",C408="",E408=""),"БЛОК: нужны дата, тип операции и сумма",IF(N(E408)&lt;=0,"БЛОК: сумма должна быть больше нуля",IF(AND(G408&lt;&gt;0,F408=""),"БЛОК: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нельзя",IF(AND(F408&lt;&gt;"",COUNTIF('Долг по актам'!$B$5:$B$34,F408)=0),"БЛОК: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договору")&gt;0)*($C$5:$C$504&lt;&gt;C408)*($E$5:$E$504=E408)*(($D$5:$D$504=D408)*(D408&lt;&gt;"")+($B$5:$B$504=B408)*(B408&lt;&gt;"")&gt;0))&gt;0,"БЛОК: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408" s="5">
        <f>IF(AND(B408="",C408="",E408=""),"",SUM($G$5:G408))</f>
        <v/>
      </c>
    </row>
    <row r="409">
      <c r="A409" s="6" t="n">
        <v>405</v>
      </c>
      <c r="B409" s="7" t="n"/>
      <c r="C409" s="8" t="n"/>
      <c r="D409" s="8" t="n"/>
      <c r="E409" s="9" t="n"/>
      <c r="F409" s="8" t="n"/>
      <c r="G409" s="5">
        <f>IF(OR(C409="",E409=""),0,IF(C409="Начисление по акту",E409,IF(OR(C409="Оплата",C409="Зачёт аванса по договору"),-E409,IF(C409="Корректировка (подписана обеими сторонами)",E409,0))))</f>
        <v/>
      </c>
      <c r="H409" s="5">
        <f>IF(OR(C409="Удержание",C409="Зачёт встречного требования",C409="Неустойка заявлена"),N(E409),0)</f>
        <v/>
      </c>
      <c r="I409" s="6">
        <f>IF(AND(B409="",C409="",D409="",E409="",F409=""),"",IF(OR(B409="",C409="",E409=""),"БЛОК: нужны дата, тип операции и сумма",IF(N(E409)&lt;=0,"БЛОК: сумма должна быть больше нуля",IF(AND(G409&lt;&gt;0,F409=""),"БЛОК: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нельзя",IF(AND(F409&lt;&gt;"",COUNTIF('Долг по актам'!$B$5:$B$34,F409)=0),"БЛОК: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договору")&gt;0)*($C$5:$C$504&lt;&gt;C409)*($E$5:$E$504=E409)*(($D$5:$D$504=D409)*(D409&lt;&gt;"")+($B$5:$B$504=B409)*(B409&lt;&gt;"")&gt;0))&gt;0,"БЛОК: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409" s="5">
        <f>IF(AND(B409="",C409="",E409=""),"",SUM($G$5:G409))</f>
        <v/>
      </c>
    </row>
    <row r="410">
      <c r="A410" s="6" t="n">
        <v>406</v>
      </c>
      <c r="B410" s="7" t="n"/>
      <c r="C410" s="8" t="n"/>
      <c r="D410" s="8" t="n"/>
      <c r="E410" s="9" t="n"/>
      <c r="F410" s="8" t="n"/>
      <c r="G410" s="5">
        <f>IF(OR(C410="",E410=""),0,IF(C410="Начисление по акту",E410,IF(OR(C410="Оплата",C410="Зачёт аванса по договору"),-E410,IF(C410="Корректировка (подписана обеими сторонами)",E410,0))))</f>
        <v/>
      </c>
      <c r="H410" s="5">
        <f>IF(OR(C410="Удержание",C410="Зачёт встречного требования",C410="Неустойка заявлена"),N(E410),0)</f>
        <v/>
      </c>
      <c r="I410" s="6">
        <f>IF(AND(B410="",C410="",D410="",E410="",F410=""),"",IF(OR(B410="",C410="",E410=""),"БЛОК: нужны дата, тип операции и сумма",IF(N(E410)&lt;=0,"БЛОК: сумма должна быть больше нуля",IF(AND(G410&lt;&gt;0,F410=""),"БЛОК: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нельзя",IF(AND(F410&lt;&gt;"",COUNTIF('Долг по актам'!$B$5:$B$34,F410)=0),"БЛОК: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договору")&gt;0)*($C$5:$C$504&lt;&gt;C410)*($E$5:$E$504=E410)*(($D$5:$D$504=D410)*(D410&lt;&gt;"")+($B$5:$B$504=B410)*(B410&lt;&gt;"")&gt;0))&gt;0,"БЛОК: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410" s="5">
        <f>IF(AND(B410="",C410="",E410=""),"",SUM($G$5:G410))</f>
        <v/>
      </c>
    </row>
    <row r="411">
      <c r="A411" s="6" t="n">
        <v>407</v>
      </c>
      <c r="B411" s="7" t="n"/>
      <c r="C411" s="8" t="n"/>
      <c r="D411" s="8" t="n"/>
      <c r="E411" s="9" t="n"/>
      <c r="F411" s="8" t="n"/>
      <c r="G411" s="5">
        <f>IF(OR(C411="",E411=""),0,IF(C411="Начисление по акту",E411,IF(OR(C411="Оплата",C411="Зачёт аванса по договору"),-E411,IF(C411="Корректировка (подписана обеими сторонами)",E411,0))))</f>
        <v/>
      </c>
      <c r="H411" s="5">
        <f>IF(OR(C411="Удержание",C411="Зачёт встречного требования",C411="Неустойка заявлена"),N(E411),0)</f>
        <v/>
      </c>
      <c r="I411" s="6">
        <f>IF(AND(B411="",C411="",D411="",E411="",F411=""),"",IF(OR(B411="",C411="",E411=""),"БЛОК: нужны дата, тип операции и сумма",IF(N(E411)&lt;=0,"БЛОК: сумма должна быть больше нуля",IF(AND(G411&lt;&gt;0,F411=""),"БЛОК: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нельзя",IF(AND(F411&lt;&gt;"",COUNTIF('Долг по актам'!$B$5:$B$34,F411)=0),"БЛОК: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договору")&gt;0)*($C$5:$C$504&lt;&gt;C411)*($E$5:$E$504=E411)*(($D$5:$D$504=D411)*(D411&lt;&gt;"")+($B$5:$B$504=B411)*(B411&lt;&gt;"")&gt;0))&gt;0,"БЛОК: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411" s="5">
        <f>IF(AND(B411="",C411="",E411=""),"",SUM($G$5:G411))</f>
        <v/>
      </c>
    </row>
    <row r="412">
      <c r="A412" s="6" t="n">
        <v>408</v>
      </c>
      <c r="B412" s="7" t="n"/>
      <c r="C412" s="8" t="n"/>
      <c r="D412" s="8" t="n"/>
      <c r="E412" s="9" t="n"/>
      <c r="F412" s="8" t="n"/>
      <c r="G412" s="5">
        <f>IF(OR(C412="",E412=""),0,IF(C412="Начисление по акту",E412,IF(OR(C412="Оплата",C412="Зачёт аванса по договору"),-E412,IF(C412="Корректировка (подписана обеими сторонами)",E412,0))))</f>
        <v/>
      </c>
      <c r="H412" s="5">
        <f>IF(OR(C412="Удержание",C412="Зачёт встречного требования",C412="Неустойка заявлена"),N(E412),0)</f>
        <v/>
      </c>
      <c r="I412" s="6">
        <f>IF(AND(B412="",C412="",D412="",E412="",F412=""),"",IF(OR(B412="",C412="",E412=""),"БЛОК: нужны дата, тип операции и сумма",IF(N(E412)&lt;=0,"БЛОК: сумма должна быть больше нуля",IF(AND(G412&lt;&gt;0,F412=""),"БЛОК: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нельзя",IF(AND(F412&lt;&gt;"",COUNTIF('Долг по актам'!$B$5:$B$34,F412)=0),"БЛОК: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договору")&gt;0)*($C$5:$C$504&lt;&gt;C412)*($E$5:$E$504=E412)*(($D$5:$D$504=D412)*(D412&lt;&gt;"")+($B$5:$B$504=B412)*(B412&lt;&gt;"")&gt;0))&gt;0,"БЛОК: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412" s="5">
        <f>IF(AND(B412="",C412="",E412=""),"",SUM($G$5:G412))</f>
        <v/>
      </c>
    </row>
    <row r="413">
      <c r="A413" s="6" t="n">
        <v>409</v>
      </c>
      <c r="B413" s="7" t="n"/>
      <c r="C413" s="8" t="n"/>
      <c r="D413" s="8" t="n"/>
      <c r="E413" s="9" t="n"/>
      <c r="F413" s="8" t="n"/>
      <c r="G413" s="5">
        <f>IF(OR(C413="",E413=""),0,IF(C413="Начисление по акту",E413,IF(OR(C413="Оплата",C413="Зачёт аванса по договору"),-E413,IF(C413="Корректировка (подписана обеими сторонами)",E413,0))))</f>
        <v/>
      </c>
      <c r="H413" s="5">
        <f>IF(OR(C413="Удержание",C413="Зачёт встречного требования",C413="Неустойка заявлена"),N(E413),0)</f>
        <v/>
      </c>
      <c r="I413" s="6">
        <f>IF(AND(B413="",C413="",D413="",E413="",F413=""),"",IF(OR(B413="",C413="",E413=""),"БЛОК: нужны дата, тип операции и сумма",IF(N(E413)&lt;=0,"БЛОК: сумма должна быть больше нуля",IF(AND(G413&lt;&gt;0,F413=""),"БЛОК: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нельзя",IF(AND(F413&lt;&gt;"",COUNTIF('Долг по актам'!$B$5:$B$34,F413)=0),"БЛОК: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договору")&gt;0)*($C$5:$C$504&lt;&gt;C413)*($E$5:$E$504=E413)*(($D$5:$D$504=D413)*(D413&lt;&gt;"")+($B$5:$B$504=B413)*(B413&lt;&gt;"")&gt;0))&gt;0,"БЛОК: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413" s="5">
        <f>IF(AND(B413="",C413="",E413=""),"",SUM($G$5:G413))</f>
        <v/>
      </c>
    </row>
    <row r="414">
      <c r="A414" s="6" t="n">
        <v>410</v>
      </c>
      <c r="B414" s="7" t="n"/>
      <c r="C414" s="8" t="n"/>
      <c r="D414" s="8" t="n"/>
      <c r="E414" s="9" t="n"/>
      <c r="F414" s="8" t="n"/>
      <c r="G414" s="5">
        <f>IF(OR(C414="",E414=""),0,IF(C414="Начисление по акту",E414,IF(OR(C414="Оплата",C414="Зачёт аванса по договору"),-E414,IF(C414="Корректировка (подписана обеими сторонами)",E414,0))))</f>
        <v/>
      </c>
      <c r="H414" s="5">
        <f>IF(OR(C414="Удержание",C414="Зачёт встречного требования",C414="Неустойка заявлена"),N(E414),0)</f>
        <v/>
      </c>
      <c r="I414" s="6">
        <f>IF(AND(B414="",C414="",D414="",E414="",F414=""),"",IF(OR(B414="",C414="",E414=""),"БЛОК: нужны дата, тип операции и сумма",IF(N(E414)&lt;=0,"БЛОК: сумма должна быть больше нуля",IF(AND(G414&lt;&gt;0,F414=""),"БЛОК: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нельзя",IF(AND(F414&lt;&gt;"",COUNTIF('Долг по актам'!$B$5:$B$34,F414)=0),"БЛОК: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договору")&gt;0)*($C$5:$C$504&lt;&gt;C414)*($E$5:$E$504=E414)*(($D$5:$D$504=D414)*(D414&lt;&gt;"")+($B$5:$B$504=B414)*(B414&lt;&gt;"")&gt;0))&gt;0,"БЛОК: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414" s="5">
        <f>IF(AND(B414="",C414="",E414=""),"",SUM($G$5:G414))</f>
        <v/>
      </c>
    </row>
    <row r="415">
      <c r="A415" s="6" t="n">
        <v>411</v>
      </c>
      <c r="B415" s="7" t="n"/>
      <c r="C415" s="8" t="n"/>
      <c r="D415" s="8" t="n"/>
      <c r="E415" s="9" t="n"/>
      <c r="F415" s="8" t="n"/>
      <c r="G415" s="5">
        <f>IF(OR(C415="",E415=""),0,IF(C415="Начисление по акту",E415,IF(OR(C415="Оплата",C415="Зачёт аванса по договору"),-E415,IF(C415="Корректировка (подписана обеими сторонами)",E415,0))))</f>
        <v/>
      </c>
      <c r="H415" s="5">
        <f>IF(OR(C415="Удержание",C415="Зачёт встречного требования",C415="Неустойка заявлена"),N(E415),0)</f>
        <v/>
      </c>
      <c r="I415" s="6">
        <f>IF(AND(B415="",C415="",D415="",E415="",F415=""),"",IF(OR(B415="",C415="",E415=""),"БЛОК: нужны дата, тип операции и сумма",IF(N(E415)&lt;=0,"БЛОК: сумма должна быть больше нуля",IF(AND(G415&lt;&gt;0,F415=""),"БЛОК: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нельзя",IF(AND(F415&lt;&gt;"",COUNTIF('Долг по актам'!$B$5:$B$34,F415)=0),"БЛОК: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договору")&gt;0)*($C$5:$C$504&lt;&gt;C415)*($E$5:$E$504=E415)*(($D$5:$D$504=D415)*(D415&lt;&gt;"")+($B$5:$B$504=B415)*(B415&lt;&gt;"")&gt;0))&gt;0,"БЛОК: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415" s="5">
        <f>IF(AND(B415="",C415="",E415=""),"",SUM($G$5:G415))</f>
        <v/>
      </c>
    </row>
    <row r="416">
      <c r="A416" s="6" t="n">
        <v>412</v>
      </c>
      <c r="B416" s="7" t="n"/>
      <c r="C416" s="8" t="n"/>
      <c r="D416" s="8" t="n"/>
      <c r="E416" s="9" t="n"/>
      <c r="F416" s="8" t="n"/>
      <c r="G416" s="5">
        <f>IF(OR(C416="",E416=""),0,IF(C416="Начисление по акту",E416,IF(OR(C416="Оплата",C416="Зачёт аванса по договору"),-E416,IF(C416="Корректировка (подписана обеими сторонами)",E416,0))))</f>
        <v/>
      </c>
      <c r="H416" s="5">
        <f>IF(OR(C416="Удержание",C416="Зачёт встречного требования",C416="Неустойка заявлена"),N(E416),0)</f>
        <v/>
      </c>
      <c r="I416" s="6">
        <f>IF(AND(B416="",C416="",D416="",E416="",F416=""),"",IF(OR(B416="",C416="",E416=""),"БЛОК: нужны дата, тип операции и сумма",IF(N(E416)&lt;=0,"БЛОК: сумма должна быть больше нуля",IF(AND(G416&lt;&gt;0,F416=""),"БЛОК: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нельзя",IF(AND(F416&lt;&gt;"",COUNTIF('Долг по актам'!$B$5:$B$34,F416)=0),"БЛОК: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договору")&gt;0)*($C$5:$C$504&lt;&gt;C416)*($E$5:$E$504=E416)*(($D$5:$D$504=D416)*(D416&lt;&gt;"")+($B$5:$B$504=B416)*(B416&lt;&gt;"")&gt;0))&gt;0,"БЛОК: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416" s="5">
        <f>IF(AND(B416="",C416="",E416=""),"",SUM($G$5:G416))</f>
        <v/>
      </c>
    </row>
    <row r="417">
      <c r="A417" s="6" t="n">
        <v>413</v>
      </c>
      <c r="B417" s="7" t="n"/>
      <c r="C417" s="8" t="n"/>
      <c r="D417" s="8" t="n"/>
      <c r="E417" s="9" t="n"/>
      <c r="F417" s="8" t="n"/>
      <c r="G417" s="5">
        <f>IF(OR(C417="",E417=""),0,IF(C417="Начисление по акту",E417,IF(OR(C417="Оплата",C417="Зачёт аванса по договору"),-E417,IF(C417="Корректировка (подписана обеими сторонами)",E417,0))))</f>
        <v/>
      </c>
      <c r="H417" s="5">
        <f>IF(OR(C417="Удержание",C417="Зачёт встречного требования",C417="Неустойка заявлена"),N(E417),0)</f>
        <v/>
      </c>
      <c r="I417" s="6">
        <f>IF(AND(B417="",C417="",D417="",E417="",F417=""),"",IF(OR(B417="",C417="",E417=""),"БЛОК: нужны дата, тип операции и сумма",IF(N(E417)&lt;=0,"БЛОК: сумма должна быть больше нуля",IF(AND(G417&lt;&gt;0,F417=""),"БЛОК: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нельзя",IF(AND(F417&lt;&gt;"",COUNTIF('Долг по актам'!$B$5:$B$34,F417)=0),"БЛОК: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договору")&gt;0)*($C$5:$C$504&lt;&gt;C417)*($E$5:$E$504=E417)*(($D$5:$D$504=D417)*(D417&lt;&gt;"")+($B$5:$B$504=B417)*(B417&lt;&gt;"")&gt;0))&gt;0,"БЛОК: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417" s="5">
        <f>IF(AND(B417="",C417="",E417=""),"",SUM($G$5:G417))</f>
        <v/>
      </c>
    </row>
    <row r="418">
      <c r="A418" s="6" t="n">
        <v>414</v>
      </c>
      <c r="B418" s="7" t="n"/>
      <c r="C418" s="8" t="n"/>
      <c r="D418" s="8" t="n"/>
      <c r="E418" s="9" t="n"/>
      <c r="F418" s="8" t="n"/>
      <c r="G418" s="5">
        <f>IF(OR(C418="",E418=""),0,IF(C418="Начисление по акту",E418,IF(OR(C418="Оплата",C418="Зачёт аванса по договору"),-E418,IF(C418="Корректировка (подписана обеими сторонами)",E418,0))))</f>
        <v/>
      </c>
      <c r="H418" s="5">
        <f>IF(OR(C418="Удержание",C418="Зачёт встречного требования",C418="Неустойка заявлена"),N(E418),0)</f>
        <v/>
      </c>
      <c r="I418" s="6">
        <f>IF(AND(B418="",C418="",D418="",E418="",F418=""),"",IF(OR(B418="",C418="",E418=""),"БЛОК: нужны дата, тип операции и сумма",IF(N(E418)&lt;=0,"БЛОК: сумма должна быть больше нуля",IF(AND(G418&lt;&gt;0,F418=""),"БЛОК: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нельзя",IF(AND(F418&lt;&gt;"",COUNTIF('Долг по актам'!$B$5:$B$34,F418)=0),"БЛОК: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договору")&gt;0)*($C$5:$C$504&lt;&gt;C418)*($E$5:$E$504=E418)*(($D$5:$D$504=D418)*(D418&lt;&gt;"")+($B$5:$B$504=B418)*(B418&lt;&gt;"")&gt;0))&gt;0,"БЛОК: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418" s="5">
        <f>IF(AND(B418="",C418="",E418=""),"",SUM($G$5:G418))</f>
        <v/>
      </c>
    </row>
    <row r="419">
      <c r="A419" s="6" t="n">
        <v>415</v>
      </c>
      <c r="B419" s="7" t="n"/>
      <c r="C419" s="8" t="n"/>
      <c r="D419" s="8" t="n"/>
      <c r="E419" s="9" t="n"/>
      <c r="F419" s="8" t="n"/>
      <c r="G419" s="5">
        <f>IF(OR(C419="",E419=""),0,IF(C419="Начисление по акту",E419,IF(OR(C419="Оплата",C419="Зачёт аванса по договору"),-E419,IF(C419="Корректировка (подписана обеими сторонами)",E419,0))))</f>
        <v/>
      </c>
      <c r="H419" s="5">
        <f>IF(OR(C419="Удержание",C419="Зачёт встречного требования",C419="Неустойка заявлена"),N(E419),0)</f>
        <v/>
      </c>
      <c r="I419" s="6">
        <f>IF(AND(B419="",C419="",D419="",E419="",F419=""),"",IF(OR(B419="",C419="",E419=""),"БЛОК: нужны дата, тип операции и сумма",IF(N(E419)&lt;=0,"БЛОК: сумма должна быть больше нуля",IF(AND(G419&lt;&gt;0,F419=""),"БЛОК: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нельзя",IF(AND(F419&lt;&gt;"",COUNTIF('Долг по актам'!$B$5:$B$34,F419)=0),"БЛОК: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договору")&gt;0)*($C$5:$C$504&lt;&gt;C419)*($E$5:$E$504=E419)*(($D$5:$D$504=D419)*(D419&lt;&gt;"")+($B$5:$B$504=B419)*(B419&lt;&gt;"")&gt;0))&gt;0,"БЛОК: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419" s="5">
        <f>IF(AND(B419="",C419="",E419=""),"",SUM($G$5:G419))</f>
        <v/>
      </c>
    </row>
    <row r="420">
      <c r="A420" s="6" t="n">
        <v>416</v>
      </c>
      <c r="B420" s="7" t="n"/>
      <c r="C420" s="8" t="n"/>
      <c r="D420" s="8" t="n"/>
      <c r="E420" s="9" t="n"/>
      <c r="F420" s="8" t="n"/>
      <c r="G420" s="5">
        <f>IF(OR(C420="",E420=""),0,IF(C420="Начисление по акту",E420,IF(OR(C420="Оплата",C420="Зачёт аванса по договору"),-E420,IF(C420="Корректировка (подписана обеими сторонами)",E420,0))))</f>
        <v/>
      </c>
      <c r="H420" s="5">
        <f>IF(OR(C420="Удержание",C420="Зачёт встречного требования",C420="Неустойка заявлена"),N(E420),0)</f>
        <v/>
      </c>
      <c r="I420" s="6">
        <f>IF(AND(B420="",C420="",D420="",E420="",F420=""),"",IF(OR(B420="",C420="",E420=""),"БЛОК: нужны дата, тип операции и сумма",IF(N(E420)&lt;=0,"БЛОК: сумма должна быть больше нуля",IF(AND(G420&lt;&gt;0,F420=""),"БЛОК: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нельзя",IF(AND(F420&lt;&gt;"",COUNTIF('Долг по актам'!$B$5:$B$34,F420)=0),"БЛОК: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договору")&gt;0)*($C$5:$C$504&lt;&gt;C420)*($E$5:$E$504=E420)*(($D$5:$D$504=D420)*(D420&lt;&gt;"")+($B$5:$B$504=B420)*(B420&lt;&gt;"")&gt;0))&gt;0,"БЛОК: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420" s="5">
        <f>IF(AND(B420="",C420="",E420=""),"",SUM($G$5:G420))</f>
        <v/>
      </c>
    </row>
    <row r="421">
      <c r="A421" s="6" t="n">
        <v>417</v>
      </c>
      <c r="B421" s="7" t="n"/>
      <c r="C421" s="8" t="n"/>
      <c r="D421" s="8" t="n"/>
      <c r="E421" s="9" t="n"/>
      <c r="F421" s="8" t="n"/>
      <c r="G421" s="5">
        <f>IF(OR(C421="",E421=""),0,IF(C421="Начисление по акту",E421,IF(OR(C421="Оплата",C421="Зачёт аванса по договору"),-E421,IF(C421="Корректировка (подписана обеими сторонами)",E421,0))))</f>
        <v/>
      </c>
      <c r="H421" s="5">
        <f>IF(OR(C421="Удержание",C421="Зачёт встречного требования",C421="Неустойка заявлена"),N(E421),0)</f>
        <v/>
      </c>
      <c r="I421" s="6">
        <f>IF(AND(B421="",C421="",D421="",E421="",F421=""),"",IF(OR(B421="",C421="",E421=""),"БЛОК: нужны дата, тип операции и сумма",IF(N(E421)&lt;=0,"БЛОК: сумма должна быть больше нуля",IF(AND(G421&lt;&gt;0,F421=""),"БЛОК: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нельзя",IF(AND(F421&lt;&gt;"",COUNTIF('Долг по актам'!$B$5:$B$34,F421)=0),"БЛОК: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договору")&gt;0)*($C$5:$C$504&lt;&gt;C421)*($E$5:$E$504=E421)*(($D$5:$D$504=D421)*(D421&lt;&gt;"")+($B$5:$B$504=B421)*(B421&lt;&gt;"")&gt;0))&gt;0,"БЛОК: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421" s="5">
        <f>IF(AND(B421="",C421="",E421=""),"",SUM($G$5:G421))</f>
        <v/>
      </c>
    </row>
    <row r="422">
      <c r="A422" s="6" t="n">
        <v>418</v>
      </c>
      <c r="B422" s="7" t="n"/>
      <c r="C422" s="8" t="n"/>
      <c r="D422" s="8" t="n"/>
      <c r="E422" s="9" t="n"/>
      <c r="F422" s="8" t="n"/>
      <c r="G422" s="5">
        <f>IF(OR(C422="",E422=""),0,IF(C422="Начисление по акту",E422,IF(OR(C422="Оплата",C422="Зачёт аванса по договору"),-E422,IF(C422="Корректировка (подписана обеими сторонами)",E422,0))))</f>
        <v/>
      </c>
      <c r="H422" s="5">
        <f>IF(OR(C422="Удержание",C422="Зачёт встречного требования",C422="Неустойка заявлена"),N(E422),0)</f>
        <v/>
      </c>
      <c r="I422" s="6">
        <f>IF(AND(B422="",C422="",D422="",E422="",F422=""),"",IF(OR(B422="",C422="",E422=""),"БЛОК: нужны дата, тип операции и сумма",IF(N(E422)&lt;=0,"БЛОК: сумма должна быть больше нуля",IF(AND(G422&lt;&gt;0,F422=""),"БЛОК: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нельзя",IF(AND(F422&lt;&gt;"",COUNTIF('Долг по актам'!$B$5:$B$34,F422)=0),"БЛОК: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договору")&gt;0)*($C$5:$C$504&lt;&gt;C422)*($E$5:$E$504=E422)*(($D$5:$D$504=D422)*(D422&lt;&gt;"")+($B$5:$B$504=B422)*(B422&lt;&gt;"")&gt;0))&gt;0,"БЛОК: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422" s="5">
        <f>IF(AND(B422="",C422="",E422=""),"",SUM($G$5:G422))</f>
        <v/>
      </c>
    </row>
    <row r="423">
      <c r="A423" s="6" t="n">
        <v>419</v>
      </c>
      <c r="B423" s="7" t="n"/>
      <c r="C423" s="8" t="n"/>
      <c r="D423" s="8" t="n"/>
      <c r="E423" s="9" t="n"/>
      <c r="F423" s="8" t="n"/>
      <c r="G423" s="5">
        <f>IF(OR(C423="",E423=""),0,IF(C423="Начисление по акту",E423,IF(OR(C423="Оплата",C423="Зачёт аванса по договору"),-E423,IF(C423="Корректировка (подписана обеими сторонами)",E423,0))))</f>
        <v/>
      </c>
      <c r="H423" s="5">
        <f>IF(OR(C423="Удержание",C423="Зачёт встречного требования",C423="Неустойка заявлена"),N(E423),0)</f>
        <v/>
      </c>
      <c r="I423" s="6">
        <f>IF(AND(B423="",C423="",D423="",E423="",F423=""),"",IF(OR(B423="",C423="",E423=""),"БЛОК: нужны дата, тип операции и сумма",IF(N(E423)&lt;=0,"БЛОК: сумма должна быть больше нуля",IF(AND(G423&lt;&gt;0,F423=""),"БЛОК: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нельзя",IF(AND(F423&lt;&gt;"",COUNTIF('Долг по актам'!$B$5:$B$34,F423)=0),"БЛОК: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договору")&gt;0)*($C$5:$C$504&lt;&gt;C423)*($E$5:$E$504=E423)*(($D$5:$D$504=D423)*(D423&lt;&gt;"")+($B$5:$B$504=B423)*(B423&lt;&gt;"")&gt;0))&gt;0,"БЛОК: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423" s="5">
        <f>IF(AND(B423="",C423="",E423=""),"",SUM($G$5:G423))</f>
        <v/>
      </c>
    </row>
    <row r="424">
      <c r="A424" s="6" t="n">
        <v>420</v>
      </c>
      <c r="B424" s="7" t="n"/>
      <c r="C424" s="8" t="n"/>
      <c r="D424" s="8" t="n"/>
      <c r="E424" s="9" t="n"/>
      <c r="F424" s="8" t="n"/>
      <c r="G424" s="5">
        <f>IF(OR(C424="",E424=""),0,IF(C424="Начисление по акту",E424,IF(OR(C424="Оплата",C424="Зачёт аванса по договору"),-E424,IF(C424="Корректировка (подписана обеими сторонами)",E424,0))))</f>
        <v/>
      </c>
      <c r="H424" s="5">
        <f>IF(OR(C424="Удержание",C424="Зачёт встречного требования",C424="Неустойка заявлена"),N(E424),0)</f>
        <v/>
      </c>
      <c r="I424" s="6">
        <f>IF(AND(B424="",C424="",D424="",E424="",F424=""),"",IF(OR(B424="",C424="",E424=""),"БЛОК: нужны дата, тип операции и сумма",IF(N(E424)&lt;=0,"БЛОК: сумма должна быть больше нуля",IF(AND(G424&lt;&gt;0,F424=""),"БЛОК: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нельзя",IF(AND(F424&lt;&gt;"",COUNTIF('Долг по актам'!$B$5:$B$34,F424)=0),"БЛОК: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договору")&gt;0)*($C$5:$C$504&lt;&gt;C424)*($E$5:$E$504=E424)*(($D$5:$D$504=D424)*(D424&lt;&gt;"")+($B$5:$B$504=B424)*(B424&lt;&gt;"")&gt;0))&gt;0,"БЛОК: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424" s="5">
        <f>IF(AND(B424="",C424="",E424=""),"",SUM($G$5:G424))</f>
        <v/>
      </c>
    </row>
    <row r="425">
      <c r="A425" s="6" t="n">
        <v>421</v>
      </c>
      <c r="B425" s="7" t="n"/>
      <c r="C425" s="8" t="n"/>
      <c r="D425" s="8" t="n"/>
      <c r="E425" s="9" t="n"/>
      <c r="F425" s="8" t="n"/>
      <c r="G425" s="5">
        <f>IF(OR(C425="",E425=""),0,IF(C425="Начисление по акту",E425,IF(OR(C425="Оплата",C425="Зачёт аванса по договору"),-E425,IF(C425="Корректировка (подписана обеими сторонами)",E425,0))))</f>
        <v/>
      </c>
      <c r="H425" s="5">
        <f>IF(OR(C425="Удержание",C425="Зачёт встречного требования",C425="Неустойка заявлена"),N(E425),0)</f>
        <v/>
      </c>
      <c r="I425" s="6">
        <f>IF(AND(B425="",C425="",D425="",E425="",F425=""),"",IF(OR(B425="",C425="",E425=""),"БЛОК: нужны дата, тип операции и сумма",IF(N(E425)&lt;=0,"БЛОК: сумма должна быть больше нуля",IF(AND(G425&lt;&gt;0,F425=""),"БЛОК: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нельзя",IF(AND(F425&lt;&gt;"",COUNTIF('Долг по актам'!$B$5:$B$34,F425)=0),"БЛОК: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договору")&gt;0)*($C$5:$C$504&lt;&gt;C425)*($E$5:$E$504=E425)*(($D$5:$D$504=D425)*(D425&lt;&gt;"")+($B$5:$B$504=B425)*(B425&lt;&gt;"")&gt;0))&gt;0,"БЛОК: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425" s="5">
        <f>IF(AND(B425="",C425="",E425=""),"",SUM($G$5:G425))</f>
        <v/>
      </c>
    </row>
    <row r="426">
      <c r="A426" s="6" t="n">
        <v>422</v>
      </c>
      <c r="B426" s="7" t="n"/>
      <c r="C426" s="8" t="n"/>
      <c r="D426" s="8" t="n"/>
      <c r="E426" s="9" t="n"/>
      <c r="F426" s="8" t="n"/>
      <c r="G426" s="5">
        <f>IF(OR(C426="",E426=""),0,IF(C426="Начисление по акту",E426,IF(OR(C426="Оплата",C426="Зачёт аванса по договору"),-E426,IF(C426="Корректировка (подписана обеими сторонами)",E426,0))))</f>
        <v/>
      </c>
      <c r="H426" s="5">
        <f>IF(OR(C426="Удержание",C426="Зачёт встречного требования",C426="Неустойка заявлена"),N(E426),0)</f>
        <v/>
      </c>
      <c r="I426" s="6">
        <f>IF(AND(B426="",C426="",D426="",E426="",F426=""),"",IF(OR(B426="",C426="",E426=""),"БЛОК: нужны дата, тип операции и сумма",IF(N(E426)&lt;=0,"БЛОК: сумма должна быть больше нуля",IF(AND(G426&lt;&gt;0,F426=""),"БЛОК: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нельзя",IF(AND(F426&lt;&gt;"",COUNTIF('Долг по актам'!$B$5:$B$34,F426)=0),"БЛОК: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договору")&gt;0)*($C$5:$C$504&lt;&gt;C426)*($E$5:$E$504=E426)*(($D$5:$D$504=D426)*(D426&lt;&gt;"")+($B$5:$B$504=B426)*(B426&lt;&gt;"")&gt;0))&gt;0,"БЛОК: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426" s="5">
        <f>IF(AND(B426="",C426="",E426=""),"",SUM($G$5:G426))</f>
        <v/>
      </c>
    </row>
    <row r="427">
      <c r="A427" s="6" t="n">
        <v>423</v>
      </c>
      <c r="B427" s="7" t="n"/>
      <c r="C427" s="8" t="n"/>
      <c r="D427" s="8" t="n"/>
      <c r="E427" s="9" t="n"/>
      <c r="F427" s="8" t="n"/>
      <c r="G427" s="5">
        <f>IF(OR(C427="",E427=""),0,IF(C427="Начисление по акту",E427,IF(OR(C427="Оплата",C427="Зачёт аванса по договору"),-E427,IF(C427="Корректировка (подписана обеими сторонами)",E427,0))))</f>
        <v/>
      </c>
      <c r="H427" s="5">
        <f>IF(OR(C427="Удержание",C427="Зачёт встречного требования",C427="Неустойка заявлена"),N(E427),0)</f>
        <v/>
      </c>
      <c r="I427" s="6">
        <f>IF(AND(B427="",C427="",D427="",E427="",F427=""),"",IF(OR(B427="",C427="",E427=""),"БЛОК: нужны дата, тип операции и сумма",IF(N(E427)&lt;=0,"БЛОК: сумма должна быть больше нуля",IF(AND(G427&lt;&gt;0,F427=""),"БЛОК: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нельзя",IF(AND(F427&lt;&gt;"",COUNTIF('Долг по актам'!$B$5:$B$34,F427)=0),"БЛОК: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договору")&gt;0)*($C$5:$C$504&lt;&gt;C427)*($E$5:$E$504=E427)*(($D$5:$D$504=D427)*(D427&lt;&gt;"")+($B$5:$B$504=B427)*(B427&lt;&gt;"")&gt;0))&gt;0,"БЛОК: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427" s="5">
        <f>IF(AND(B427="",C427="",E427=""),"",SUM($G$5:G427))</f>
        <v/>
      </c>
    </row>
    <row r="428">
      <c r="A428" s="6" t="n">
        <v>424</v>
      </c>
      <c r="B428" s="7" t="n"/>
      <c r="C428" s="8" t="n"/>
      <c r="D428" s="8" t="n"/>
      <c r="E428" s="9" t="n"/>
      <c r="F428" s="8" t="n"/>
      <c r="G428" s="5">
        <f>IF(OR(C428="",E428=""),0,IF(C428="Начисление по акту",E428,IF(OR(C428="Оплата",C428="Зачёт аванса по договору"),-E428,IF(C428="Корректировка (подписана обеими сторонами)",E428,0))))</f>
        <v/>
      </c>
      <c r="H428" s="5">
        <f>IF(OR(C428="Удержание",C428="Зачёт встречного требования",C428="Неустойка заявлена"),N(E428),0)</f>
        <v/>
      </c>
      <c r="I428" s="6">
        <f>IF(AND(B428="",C428="",D428="",E428="",F428=""),"",IF(OR(B428="",C428="",E428=""),"БЛОК: нужны дата, тип операции и сумма",IF(N(E428)&lt;=0,"БЛОК: сумма должна быть больше нуля",IF(AND(G428&lt;&gt;0,F428=""),"БЛОК: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нельзя",IF(AND(F428&lt;&gt;"",COUNTIF('Долг по актам'!$B$5:$B$34,F428)=0),"БЛОК: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договору")&gt;0)*($C$5:$C$504&lt;&gt;C428)*($E$5:$E$504=E428)*(($D$5:$D$504=D428)*(D428&lt;&gt;"")+($B$5:$B$504=B428)*(B428&lt;&gt;"")&gt;0))&gt;0,"БЛОК: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428" s="5">
        <f>IF(AND(B428="",C428="",E428=""),"",SUM($G$5:G428))</f>
        <v/>
      </c>
    </row>
    <row r="429">
      <c r="A429" s="6" t="n">
        <v>425</v>
      </c>
      <c r="B429" s="7" t="n"/>
      <c r="C429" s="8" t="n"/>
      <c r="D429" s="8" t="n"/>
      <c r="E429" s="9" t="n"/>
      <c r="F429" s="8" t="n"/>
      <c r="G429" s="5">
        <f>IF(OR(C429="",E429=""),0,IF(C429="Начисление по акту",E429,IF(OR(C429="Оплата",C429="Зачёт аванса по договору"),-E429,IF(C429="Корректировка (подписана обеими сторонами)",E429,0))))</f>
        <v/>
      </c>
      <c r="H429" s="5">
        <f>IF(OR(C429="Удержание",C429="Зачёт встречного требования",C429="Неустойка заявлена"),N(E429),0)</f>
        <v/>
      </c>
      <c r="I429" s="6">
        <f>IF(AND(B429="",C429="",D429="",E429="",F429=""),"",IF(OR(B429="",C429="",E429=""),"БЛОК: нужны дата, тип операции и сумма",IF(N(E429)&lt;=0,"БЛОК: сумма должна быть больше нуля",IF(AND(G429&lt;&gt;0,F429=""),"БЛОК: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нельзя",IF(AND(F429&lt;&gt;"",COUNTIF('Долг по актам'!$B$5:$B$34,F429)=0),"БЛОК: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договору")&gt;0)*($C$5:$C$504&lt;&gt;C429)*($E$5:$E$504=E429)*(($D$5:$D$504=D429)*(D429&lt;&gt;"")+($B$5:$B$504=B429)*(B429&lt;&gt;"")&gt;0))&gt;0,"БЛОК: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429" s="5">
        <f>IF(AND(B429="",C429="",E429=""),"",SUM($G$5:G429))</f>
        <v/>
      </c>
    </row>
    <row r="430">
      <c r="A430" s="6" t="n">
        <v>426</v>
      </c>
      <c r="B430" s="7" t="n"/>
      <c r="C430" s="8" t="n"/>
      <c r="D430" s="8" t="n"/>
      <c r="E430" s="9" t="n"/>
      <c r="F430" s="8" t="n"/>
      <c r="G430" s="5">
        <f>IF(OR(C430="",E430=""),0,IF(C430="Начисление по акту",E430,IF(OR(C430="Оплата",C430="Зачёт аванса по договору"),-E430,IF(C430="Корректировка (подписана обеими сторонами)",E430,0))))</f>
        <v/>
      </c>
      <c r="H430" s="5">
        <f>IF(OR(C430="Удержание",C430="Зачёт встречного требования",C430="Неустойка заявлена"),N(E430),0)</f>
        <v/>
      </c>
      <c r="I430" s="6">
        <f>IF(AND(B430="",C430="",D430="",E430="",F430=""),"",IF(OR(B430="",C430="",E430=""),"БЛОК: нужны дата, тип операции и сумма",IF(N(E430)&lt;=0,"БЛОК: сумма должна быть больше нуля",IF(AND(G430&lt;&gt;0,F430=""),"БЛОК: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нельзя",IF(AND(F430&lt;&gt;"",COUNTIF('Долг по актам'!$B$5:$B$34,F430)=0),"БЛОК: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договору")&gt;0)*($C$5:$C$504&lt;&gt;C430)*($E$5:$E$504=E430)*(($D$5:$D$504=D430)*(D430&lt;&gt;"")+($B$5:$B$504=B430)*(B430&lt;&gt;"")&gt;0))&gt;0,"БЛОК: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430" s="5">
        <f>IF(AND(B430="",C430="",E430=""),"",SUM($G$5:G430))</f>
        <v/>
      </c>
    </row>
    <row r="431">
      <c r="A431" s="6" t="n">
        <v>427</v>
      </c>
      <c r="B431" s="7" t="n"/>
      <c r="C431" s="8" t="n"/>
      <c r="D431" s="8" t="n"/>
      <c r="E431" s="9" t="n"/>
      <c r="F431" s="8" t="n"/>
      <c r="G431" s="5">
        <f>IF(OR(C431="",E431=""),0,IF(C431="Начисление по акту",E431,IF(OR(C431="Оплата",C431="Зачёт аванса по договору"),-E431,IF(C431="Корректировка (подписана обеими сторонами)",E431,0))))</f>
        <v/>
      </c>
      <c r="H431" s="5">
        <f>IF(OR(C431="Удержание",C431="Зачёт встречного требования",C431="Неустойка заявлена"),N(E431),0)</f>
        <v/>
      </c>
      <c r="I431" s="6">
        <f>IF(AND(B431="",C431="",D431="",E431="",F431=""),"",IF(OR(B431="",C431="",E431=""),"БЛОК: нужны дата, тип операции и сумма",IF(N(E431)&lt;=0,"БЛОК: сумма должна быть больше нуля",IF(AND(G431&lt;&gt;0,F431=""),"БЛОК: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нельзя",IF(AND(F431&lt;&gt;"",COUNTIF('Долг по актам'!$B$5:$B$34,F431)=0),"БЛОК: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договору")&gt;0)*($C$5:$C$504&lt;&gt;C431)*($E$5:$E$504=E431)*(($D$5:$D$504=D431)*(D431&lt;&gt;"")+($B$5:$B$504=B431)*(B431&lt;&gt;"")&gt;0))&gt;0,"БЛОК: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431" s="5">
        <f>IF(AND(B431="",C431="",E431=""),"",SUM($G$5:G431))</f>
        <v/>
      </c>
    </row>
    <row r="432">
      <c r="A432" s="6" t="n">
        <v>428</v>
      </c>
      <c r="B432" s="7" t="n"/>
      <c r="C432" s="8" t="n"/>
      <c r="D432" s="8" t="n"/>
      <c r="E432" s="9" t="n"/>
      <c r="F432" s="8" t="n"/>
      <c r="G432" s="5">
        <f>IF(OR(C432="",E432=""),0,IF(C432="Начисление по акту",E432,IF(OR(C432="Оплата",C432="Зачёт аванса по договору"),-E432,IF(C432="Корректировка (подписана обеими сторонами)",E432,0))))</f>
        <v/>
      </c>
      <c r="H432" s="5">
        <f>IF(OR(C432="Удержание",C432="Зачёт встречного требования",C432="Неустойка заявлена"),N(E432),0)</f>
        <v/>
      </c>
      <c r="I432" s="6">
        <f>IF(AND(B432="",C432="",D432="",E432="",F432=""),"",IF(OR(B432="",C432="",E432=""),"БЛОК: нужны дата, тип операции и сумма",IF(N(E432)&lt;=0,"БЛОК: сумма должна быть больше нуля",IF(AND(G432&lt;&gt;0,F432=""),"БЛОК: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нельзя",IF(AND(F432&lt;&gt;"",COUNTIF('Долг по актам'!$B$5:$B$34,F432)=0),"БЛОК: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договору")&gt;0)*($C$5:$C$504&lt;&gt;C432)*($E$5:$E$504=E432)*(($D$5:$D$504=D432)*(D432&lt;&gt;"")+($B$5:$B$504=B432)*(B432&lt;&gt;"")&gt;0))&gt;0,"БЛОК: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432" s="5">
        <f>IF(AND(B432="",C432="",E432=""),"",SUM($G$5:G432))</f>
        <v/>
      </c>
    </row>
    <row r="433">
      <c r="A433" s="6" t="n">
        <v>429</v>
      </c>
      <c r="B433" s="7" t="n"/>
      <c r="C433" s="8" t="n"/>
      <c r="D433" s="8" t="n"/>
      <c r="E433" s="9" t="n"/>
      <c r="F433" s="8" t="n"/>
      <c r="G433" s="5">
        <f>IF(OR(C433="",E433=""),0,IF(C433="Начисление по акту",E433,IF(OR(C433="Оплата",C433="Зачёт аванса по договору"),-E433,IF(C433="Корректировка (подписана обеими сторонами)",E433,0))))</f>
        <v/>
      </c>
      <c r="H433" s="5">
        <f>IF(OR(C433="Удержание",C433="Зачёт встречного требования",C433="Неустойка заявлена"),N(E433),0)</f>
        <v/>
      </c>
      <c r="I433" s="6">
        <f>IF(AND(B433="",C433="",D433="",E433="",F433=""),"",IF(OR(B433="",C433="",E433=""),"БЛОК: нужны дата, тип операции и сумма",IF(N(E433)&lt;=0,"БЛОК: сумма должна быть больше нуля",IF(AND(G433&lt;&gt;0,F433=""),"БЛОК: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нельзя",IF(AND(F433&lt;&gt;"",COUNTIF('Долг по актам'!$B$5:$B$34,F433)=0),"БЛОК: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договору")&gt;0)*($C$5:$C$504&lt;&gt;C433)*($E$5:$E$504=E433)*(($D$5:$D$504=D433)*(D433&lt;&gt;"")+($B$5:$B$504=B433)*(B433&lt;&gt;"")&gt;0))&gt;0,"БЛОК: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433" s="5">
        <f>IF(AND(B433="",C433="",E433=""),"",SUM($G$5:G433))</f>
        <v/>
      </c>
    </row>
    <row r="434">
      <c r="A434" s="6" t="n">
        <v>430</v>
      </c>
      <c r="B434" s="7" t="n"/>
      <c r="C434" s="8" t="n"/>
      <c r="D434" s="8" t="n"/>
      <c r="E434" s="9" t="n"/>
      <c r="F434" s="8" t="n"/>
      <c r="G434" s="5">
        <f>IF(OR(C434="",E434=""),0,IF(C434="Начисление по акту",E434,IF(OR(C434="Оплата",C434="Зачёт аванса по договору"),-E434,IF(C434="Корректировка (подписана обеими сторонами)",E434,0))))</f>
        <v/>
      </c>
      <c r="H434" s="5">
        <f>IF(OR(C434="Удержание",C434="Зачёт встречного требования",C434="Неустойка заявлена"),N(E434),0)</f>
        <v/>
      </c>
      <c r="I434" s="6">
        <f>IF(AND(B434="",C434="",D434="",E434="",F434=""),"",IF(OR(B434="",C434="",E434=""),"БЛОК: нужны дата, тип операции и сумма",IF(N(E434)&lt;=0,"БЛОК: сумма должна быть больше нуля",IF(AND(G434&lt;&gt;0,F434=""),"БЛОК: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нельзя",IF(AND(F434&lt;&gt;"",COUNTIF('Долг по актам'!$B$5:$B$34,F434)=0),"БЛОК: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договору")&gt;0)*($C$5:$C$504&lt;&gt;C434)*($E$5:$E$504=E434)*(($D$5:$D$504=D434)*(D434&lt;&gt;"")+($B$5:$B$504=B434)*(B434&lt;&gt;"")&gt;0))&gt;0,"БЛОК: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434" s="5">
        <f>IF(AND(B434="",C434="",E434=""),"",SUM($G$5:G434))</f>
        <v/>
      </c>
    </row>
    <row r="435">
      <c r="A435" s="6" t="n">
        <v>431</v>
      </c>
      <c r="B435" s="7" t="n"/>
      <c r="C435" s="8" t="n"/>
      <c r="D435" s="8" t="n"/>
      <c r="E435" s="9" t="n"/>
      <c r="F435" s="8" t="n"/>
      <c r="G435" s="5">
        <f>IF(OR(C435="",E435=""),0,IF(C435="Начисление по акту",E435,IF(OR(C435="Оплата",C435="Зачёт аванса по договору"),-E435,IF(C435="Корректировка (подписана обеими сторонами)",E435,0))))</f>
        <v/>
      </c>
      <c r="H435" s="5">
        <f>IF(OR(C435="Удержание",C435="Зачёт встречного требования",C435="Неустойка заявлена"),N(E435),0)</f>
        <v/>
      </c>
      <c r="I435" s="6">
        <f>IF(AND(B435="",C435="",D435="",E435="",F435=""),"",IF(OR(B435="",C435="",E435=""),"БЛОК: нужны дата, тип операции и сумма",IF(N(E435)&lt;=0,"БЛОК: сумма должна быть больше нуля",IF(AND(G435&lt;&gt;0,F435=""),"БЛОК: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нельзя",IF(AND(F435&lt;&gt;"",COUNTIF('Долг по актам'!$B$5:$B$34,F435)=0),"БЛОК: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договору")&gt;0)*($C$5:$C$504&lt;&gt;C435)*($E$5:$E$504=E435)*(($D$5:$D$504=D435)*(D435&lt;&gt;"")+($B$5:$B$504=B435)*(B435&lt;&gt;"")&gt;0))&gt;0,"БЛОК: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435" s="5">
        <f>IF(AND(B435="",C435="",E435=""),"",SUM($G$5:G435))</f>
        <v/>
      </c>
    </row>
    <row r="436">
      <c r="A436" s="6" t="n">
        <v>432</v>
      </c>
      <c r="B436" s="7" t="n"/>
      <c r="C436" s="8" t="n"/>
      <c r="D436" s="8" t="n"/>
      <c r="E436" s="9" t="n"/>
      <c r="F436" s="8" t="n"/>
      <c r="G436" s="5">
        <f>IF(OR(C436="",E436=""),0,IF(C436="Начисление по акту",E436,IF(OR(C436="Оплата",C436="Зачёт аванса по договору"),-E436,IF(C436="Корректировка (подписана обеими сторонами)",E436,0))))</f>
        <v/>
      </c>
      <c r="H436" s="5">
        <f>IF(OR(C436="Удержание",C436="Зачёт встречного требования",C436="Неустойка заявлена"),N(E436),0)</f>
        <v/>
      </c>
      <c r="I436" s="6">
        <f>IF(AND(B436="",C436="",D436="",E436="",F436=""),"",IF(OR(B436="",C436="",E436=""),"БЛОК: нужны дата, тип операции и сумма",IF(N(E436)&lt;=0,"БЛОК: сумма должна быть больше нуля",IF(AND(G436&lt;&gt;0,F436=""),"БЛОК: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нельзя",IF(AND(F436&lt;&gt;"",COUNTIF('Долг по актам'!$B$5:$B$34,F436)=0),"БЛОК: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договору")&gt;0)*($C$5:$C$504&lt;&gt;C436)*($E$5:$E$504=E436)*(($D$5:$D$504=D436)*(D436&lt;&gt;"")+($B$5:$B$504=B436)*(B436&lt;&gt;"")&gt;0))&gt;0,"БЛОК: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436" s="5">
        <f>IF(AND(B436="",C436="",E436=""),"",SUM($G$5:G436))</f>
        <v/>
      </c>
    </row>
    <row r="437">
      <c r="A437" s="6" t="n">
        <v>433</v>
      </c>
      <c r="B437" s="7" t="n"/>
      <c r="C437" s="8" t="n"/>
      <c r="D437" s="8" t="n"/>
      <c r="E437" s="9" t="n"/>
      <c r="F437" s="8" t="n"/>
      <c r="G437" s="5">
        <f>IF(OR(C437="",E437=""),0,IF(C437="Начисление по акту",E437,IF(OR(C437="Оплата",C437="Зачёт аванса по договору"),-E437,IF(C437="Корректировка (подписана обеими сторонами)",E437,0))))</f>
        <v/>
      </c>
      <c r="H437" s="5">
        <f>IF(OR(C437="Удержание",C437="Зачёт встречного требования",C437="Неустойка заявлена"),N(E437),0)</f>
        <v/>
      </c>
      <c r="I437" s="6">
        <f>IF(AND(B437="",C437="",D437="",E437="",F437=""),"",IF(OR(B437="",C437="",E437=""),"БЛОК: нужны дата, тип операции и сумма",IF(N(E437)&lt;=0,"БЛОК: сумма должна быть больше нуля",IF(AND(G437&lt;&gt;0,F437=""),"БЛОК: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нельзя",IF(AND(F437&lt;&gt;"",COUNTIF('Долг по актам'!$B$5:$B$34,F437)=0),"БЛОК: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договору")&gt;0)*($C$5:$C$504&lt;&gt;C437)*($E$5:$E$504=E437)*(($D$5:$D$504=D437)*(D437&lt;&gt;"")+($B$5:$B$504=B437)*(B437&lt;&gt;"")&gt;0))&gt;0,"БЛОК: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437" s="5">
        <f>IF(AND(B437="",C437="",E437=""),"",SUM($G$5:G437))</f>
        <v/>
      </c>
    </row>
    <row r="438">
      <c r="A438" s="6" t="n">
        <v>434</v>
      </c>
      <c r="B438" s="7" t="n"/>
      <c r="C438" s="8" t="n"/>
      <c r="D438" s="8" t="n"/>
      <c r="E438" s="9" t="n"/>
      <c r="F438" s="8" t="n"/>
      <c r="G438" s="5">
        <f>IF(OR(C438="",E438=""),0,IF(C438="Начисление по акту",E438,IF(OR(C438="Оплата",C438="Зачёт аванса по договору"),-E438,IF(C438="Корректировка (подписана обеими сторонами)",E438,0))))</f>
        <v/>
      </c>
      <c r="H438" s="5">
        <f>IF(OR(C438="Удержание",C438="Зачёт встречного требования",C438="Неустойка заявлена"),N(E438),0)</f>
        <v/>
      </c>
      <c r="I438" s="6">
        <f>IF(AND(B438="",C438="",D438="",E438="",F438=""),"",IF(OR(B438="",C438="",E438=""),"БЛОК: нужны дата, тип операции и сумма",IF(N(E438)&lt;=0,"БЛОК: сумма должна быть больше нуля",IF(AND(G438&lt;&gt;0,F438=""),"БЛОК: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нельзя",IF(AND(F438&lt;&gt;"",COUNTIF('Долг по актам'!$B$5:$B$34,F438)=0),"БЛОК: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договору")&gt;0)*($C$5:$C$504&lt;&gt;C438)*($E$5:$E$504=E438)*(($D$5:$D$504=D438)*(D438&lt;&gt;"")+($B$5:$B$504=B438)*(B438&lt;&gt;"")&gt;0))&gt;0,"БЛОК: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438" s="5">
        <f>IF(AND(B438="",C438="",E438=""),"",SUM($G$5:G438))</f>
        <v/>
      </c>
    </row>
    <row r="439">
      <c r="A439" s="6" t="n">
        <v>435</v>
      </c>
      <c r="B439" s="7" t="n"/>
      <c r="C439" s="8" t="n"/>
      <c r="D439" s="8" t="n"/>
      <c r="E439" s="9" t="n"/>
      <c r="F439" s="8" t="n"/>
      <c r="G439" s="5">
        <f>IF(OR(C439="",E439=""),0,IF(C439="Начисление по акту",E439,IF(OR(C439="Оплата",C439="Зачёт аванса по договору"),-E439,IF(C439="Корректировка (подписана обеими сторонами)",E439,0))))</f>
        <v/>
      </c>
      <c r="H439" s="5">
        <f>IF(OR(C439="Удержание",C439="Зачёт встречного требования",C439="Неустойка заявлена"),N(E439),0)</f>
        <v/>
      </c>
      <c r="I439" s="6">
        <f>IF(AND(B439="",C439="",D439="",E439="",F439=""),"",IF(OR(B439="",C439="",E439=""),"БЛОК: нужны дата, тип операции и сумма",IF(N(E439)&lt;=0,"БЛОК: сумма должна быть больше нуля",IF(AND(G439&lt;&gt;0,F439=""),"БЛОК: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нельзя",IF(AND(F439&lt;&gt;"",COUNTIF('Долг по актам'!$B$5:$B$34,F439)=0),"БЛОК: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договору")&gt;0)*($C$5:$C$504&lt;&gt;C439)*($E$5:$E$504=E439)*(($D$5:$D$504=D439)*(D439&lt;&gt;"")+($B$5:$B$504=B439)*(B439&lt;&gt;"")&gt;0))&gt;0,"БЛОК: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439" s="5">
        <f>IF(AND(B439="",C439="",E439=""),"",SUM($G$5:G439))</f>
        <v/>
      </c>
    </row>
    <row r="440">
      <c r="A440" s="6" t="n">
        <v>436</v>
      </c>
      <c r="B440" s="7" t="n"/>
      <c r="C440" s="8" t="n"/>
      <c r="D440" s="8" t="n"/>
      <c r="E440" s="9" t="n"/>
      <c r="F440" s="8" t="n"/>
      <c r="G440" s="5">
        <f>IF(OR(C440="",E440=""),0,IF(C440="Начисление по акту",E440,IF(OR(C440="Оплата",C440="Зачёт аванса по договору"),-E440,IF(C440="Корректировка (подписана обеими сторонами)",E440,0))))</f>
        <v/>
      </c>
      <c r="H440" s="5">
        <f>IF(OR(C440="Удержание",C440="Зачёт встречного требования",C440="Неустойка заявлена"),N(E440),0)</f>
        <v/>
      </c>
      <c r="I440" s="6">
        <f>IF(AND(B440="",C440="",D440="",E440="",F440=""),"",IF(OR(B440="",C440="",E440=""),"БЛОК: нужны дата, тип операции и сумма",IF(N(E440)&lt;=0,"БЛОК: сумма должна быть больше нуля",IF(AND(G440&lt;&gt;0,F440=""),"БЛОК: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нельзя",IF(AND(F440&lt;&gt;"",COUNTIF('Долг по актам'!$B$5:$B$34,F440)=0),"БЛОК: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договору")&gt;0)*($C$5:$C$504&lt;&gt;C440)*($E$5:$E$504=E440)*(($D$5:$D$504=D440)*(D440&lt;&gt;"")+($B$5:$B$504=B440)*(B440&lt;&gt;"")&gt;0))&gt;0,"БЛОК: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440" s="5">
        <f>IF(AND(B440="",C440="",E440=""),"",SUM($G$5:G440))</f>
        <v/>
      </c>
    </row>
    <row r="441">
      <c r="A441" s="6" t="n">
        <v>437</v>
      </c>
      <c r="B441" s="7" t="n"/>
      <c r="C441" s="8" t="n"/>
      <c r="D441" s="8" t="n"/>
      <c r="E441" s="9" t="n"/>
      <c r="F441" s="8" t="n"/>
      <c r="G441" s="5">
        <f>IF(OR(C441="",E441=""),0,IF(C441="Начисление по акту",E441,IF(OR(C441="Оплата",C441="Зачёт аванса по договору"),-E441,IF(C441="Корректировка (подписана обеими сторонами)",E441,0))))</f>
        <v/>
      </c>
      <c r="H441" s="5">
        <f>IF(OR(C441="Удержание",C441="Зачёт встречного требования",C441="Неустойка заявлена"),N(E441),0)</f>
        <v/>
      </c>
      <c r="I441" s="6">
        <f>IF(AND(B441="",C441="",D441="",E441="",F441=""),"",IF(OR(B441="",C441="",E441=""),"БЛОК: нужны дата, тип операции и сумма",IF(N(E441)&lt;=0,"БЛОК: сумма должна быть больше нуля",IF(AND(G441&lt;&gt;0,F441=""),"БЛОК: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нельзя",IF(AND(F441&lt;&gt;"",COUNTIF('Долг по актам'!$B$5:$B$34,F441)=0),"БЛОК: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договору")&gt;0)*($C$5:$C$504&lt;&gt;C441)*($E$5:$E$504=E441)*(($D$5:$D$504=D441)*(D441&lt;&gt;"")+($B$5:$B$504=B441)*(B441&lt;&gt;"")&gt;0))&gt;0,"БЛОК: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441" s="5">
        <f>IF(AND(B441="",C441="",E441=""),"",SUM($G$5:G441))</f>
        <v/>
      </c>
    </row>
    <row r="442">
      <c r="A442" s="6" t="n">
        <v>438</v>
      </c>
      <c r="B442" s="7" t="n"/>
      <c r="C442" s="8" t="n"/>
      <c r="D442" s="8" t="n"/>
      <c r="E442" s="9" t="n"/>
      <c r="F442" s="8" t="n"/>
      <c r="G442" s="5">
        <f>IF(OR(C442="",E442=""),0,IF(C442="Начисление по акту",E442,IF(OR(C442="Оплата",C442="Зачёт аванса по договору"),-E442,IF(C442="Корректировка (подписана обеими сторонами)",E442,0))))</f>
        <v/>
      </c>
      <c r="H442" s="5">
        <f>IF(OR(C442="Удержание",C442="Зачёт встречного требования",C442="Неустойка заявлена"),N(E442),0)</f>
        <v/>
      </c>
      <c r="I442" s="6">
        <f>IF(AND(B442="",C442="",D442="",E442="",F442=""),"",IF(OR(B442="",C442="",E442=""),"БЛОК: нужны дата, тип операции и сумма",IF(N(E442)&lt;=0,"БЛОК: сумма должна быть больше нуля",IF(AND(G442&lt;&gt;0,F442=""),"БЛОК: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нельзя",IF(AND(F442&lt;&gt;"",COUNTIF('Долг по актам'!$B$5:$B$34,F442)=0),"БЛОК: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договору")&gt;0)*($C$5:$C$504&lt;&gt;C442)*($E$5:$E$504=E442)*(($D$5:$D$504=D442)*(D442&lt;&gt;"")+($B$5:$B$504=B442)*(B442&lt;&gt;"")&gt;0))&gt;0,"БЛОК: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442" s="5">
        <f>IF(AND(B442="",C442="",E442=""),"",SUM($G$5:G442))</f>
        <v/>
      </c>
    </row>
    <row r="443">
      <c r="A443" s="6" t="n">
        <v>439</v>
      </c>
      <c r="B443" s="7" t="n"/>
      <c r="C443" s="8" t="n"/>
      <c r="D443" s="8" t="n"/>
      <c r="E443" s="9" t="n"/>
      <c r="F443" s="8" t="n"/>
      <c r="G443" s="5">
        <f>IF(OR(C443="",E443=""),0,IF(C443="Начисление по акту",E443,IF(OR(C443="Оплата",C443="Зачёт аванса по договору"),-E443,IF(C443="Корректировка (подписана обеими сторонами)",E443,0))))</f>
        <v/>
      </c>
      <c r="H443" s="5">
        <f>IF(OR(C443="Удержание",C443="Зачёт встречного требования",C443="Неустойка заявлена"),N(E443),0)</f>
        <v/>
      </c>
      <c r="I443" s="6">
        <f>IF(AND(B443="",C443="",D443="",E443="",F443=""),"",IF(OR(B443="",C443="",E443=""),"БЛОК: нужны дата, тип операции и сумма",IF(N(E443)&lt;=0,"БЛОК: сумма должна быть больше нуля",IF(AND(G443&lt;&gt;0,F443=""),"БЛОК: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нельзя",IF(AND(F443&lt;&gt;"",COUNTIF('Долг по актам'!$B$5:$B$34,F443)=0),"БЛОК: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договору")&gt;0)*($C$5:$C$504&lt;&gt;C443)*($E$5:$E$504=E443)*(($D$5:$D$504=D443)*(D443&lt;&gt;"")+($B$5:$B$504=B443)*(B443&lt;&gt;"")&gt;0))&gt;0,"БЛОК: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443" s="5">
        <f>IF(AND(B443="",C443="",E443=""),"",SUM($G$5:G443))</f>
        <v/>
      </c>
    </row>
    <row r="444">
      <c r="A444" s="6" t="n">
        <v>440</v>
      </c>
      <c r="B444" s="7" t="n"/>
      <c r="C444" s="8" t="n"/>
      <c r="D444" s="8" t="n"/>
      <c r="E444" s="9" t="n"/>
      <c r="F444" s="8" t="n"/>
      <c r="G444" s="5">
        <f>IF(OR(C444="",E444=""),0,IF(C444="Начисление по акту",E444,IF(OR(C444="Оплата",C444="Зачёт аванса по договору"),-E444,IF(C444="Корректировка (подписана обеими сторонами)",E444,0))))</f>
        <v/>
      </c>
      <c r="H444" s="5">
        <f>IF(OR(C444="Удержание",C444="Зачёт встречного требования",C444="Неустойка заявлена"),N(E444),0)</f>
        <v/>
      </c>
      <c r="I444" s="6">
        <f>IF(AND(B444="",C444="",D444="",E444="",F444=""),"",IF(OR(B444="",C444="",E444=""),"БЛОК: нужны дата, тип операции и сумма",IF(N(E444)&lt;=0,"БЛОК: сумма должна быть больше нуля",IF(AND(G444&lt;&gt;0,F444=""),"БЛОК: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нельзя",IF(AND(F444&lt;&gt;"",COUNTIF('Долг по актам'!$B$5:$B$34,F444)=0),"БЛОК: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договору")&gt;0)*($C$5:$C$504&lt;&gt;C444)*($E$5:$E$504=E444)*(($D$5:$D$504=D444)*(D444&lt;&gt;"")+($B$5:$B$504=B444)*(B444&lt;&gt;"")&gt;0))&gt;0,"БЛОК: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444" s="5">
        <f>IF(AND(B444="",C444="",E444=""),"",SUM($G$5:G444))</f>
        <v/>
      </c>
    </row>
    <row r="445">
      <c r="A445" s="6" t="n">
        <v>441</v>
      </c>
      <c r="B445" s="7" t="n"/>
      <c r="C445" s="8" t="n"/>
      <c r="D445" s="8" t="n"/>
      <c r="E445" s="9" t="n"/>
      <c r="F445" s="8" t="n"/>
      <c r="G445" s="5">
        <f>IF(OR(C445="",E445=""),0,IF(C445="Начисление по акту",E445,IF(OR(C445="Оплата",C445="Зачёт аванса по договору"),-E445,IF(C445="Корректировка (подписана обеими сторонами)",E445,0))))</f>
        <v/>
      </c>
      <c r="H445" s="5">
        <f>IF(OR(C445="Удержание",C445="Зачёт встречного требования",C445="Неустойка заявлена"),N(E445),0)</f>
        <v/>
      </c>
      <c r="I445" s="6">
        <f>IF(AND(B445="",C445="",D445="",E445="",F445=""),"",IF(OR(B445="",C445="",E445=""),"БЛОК: нужны дата, тип операции и сумма",IF(N(E445)&lt;=0,"БЛОК: сумма должна быть больше нуля",IF(AND(G445&lt;&gt;0,F445=""),"БЛОК: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нельзя",IF(AND(F445&lt;&gt;"",COUNTIF('Долг по актам'!$B$5:$B$34,F445)=0),"БЛОК: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договору")&gt;0)*($C$5:$C$504&lt;&gt;C445)*($E$5:$E$504=E445)*(($D$5:$D$504=D445)*(D445&lt;&gt;"")+($B$5:$B$504=B445)*(B445&lt;&gt;"")&gt;0))&gt;0,"БЛОК: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445" s="5">
        <f>IF(AND(B445="",C445="",E445=""),"",SUM($G$5:G445))</f>
        <v/>
      </c>
    </row>
    <row r="446">
      <c r="A446" s="6" t="n">
        <v>442</v>
      </c>
      <c r="B446" s="7" t="n"/>
      <c r="C446" s="8" t="n"/>
      <c r="D446" s="8" t="n"/>
      <c r="E446" s="9" t="n"/>
      <c r="F446" s="8" t="n"/>
      <c r="G446" s="5">
        <f>IF(OR(C446="",E446=""),0,IF(C446="Начисление по акту",E446,IF(OR(C446="Оплата",C446="Зачёт аванса по договору"),-E446,IF(C446="Корректировка (подписана обеими сторонами)",E446,0))))</f>
        <v/>
      </c>
      <c r="H446" s="5">
        <f>IF(OR(C446="Удержание",C446="Зачёт встречного требования",C446="Неустойка заявлена"),N(E446),0)</f>
        <v/>
      </c>
      <c r="I446" s="6">
        <f>IF(AND(B446="",C446="",D446="",E446="",F446=""),"",IF(OR(B446="",C446="",E446=""),"БЛОК: нужны дата, тип операции и сумма",IF(N(E446)&lt;=0,"БЛОК: сумма должна быть больше нуля",IF(AND(G446&lt;&gt;0,F446=""),"БЛОК: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нельзя",IF(AND(F446&lt;&gt;"",COUNTIF('Долг по актам'!$B$5:$B$34,F446)=0),"БЛОК: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договору")&gt;0)*($C$5:$C$504&lt;&gt;C446)*($E$5:$E$504=E446)*(($D$5:$D$504=D446)*(D446&lt;&gt;"")+($B$5:$B$504=B446)*(B446&lt;&gt;"")&gt;0))&gt;0,"БЛОК: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446" s="5">
        <f>IF(AND(B446="",C446="",E446=""),"",SUM($G$5:G446))</f>
        <v/>
      </c>
    </row>
    <row r="447">
      <c r="A447" s="6" t="n">
        <v>443</v>
      </c>
      <c r="B447" s="7" t="n"/>
      <c r="C447" s="8" t="n"/>
      <c r="D447" s="8" t="n"/>
      <c r="E447" s="9" t="n"/>
      <c r="F447" s="8" t="n"/>
      <c r="G447" s="5">
        <f>IF(OR(C447="",E447=""),0,IF(C447="Начисление по акту",E447,IF(OR(C447="Оплата",C447="Зачёт аванса по договору"),-E447,IF(C447="Корректировка (подписана обеими сторонами)",E447,0))))</f>
        <v/>
      </c>
      <c r="H447" s="5">
        <f>IF(OR(C447="Удержание",C447="Зачёт встречного требования",C447="Неустойка заявлена"),N(E447),0)</f>
        <v/>
      </c>
      <c r="I447" s="6">
        <f>IF(AND(B447="",C447="",D447="",E447="",F447=""),"",IF(OR(B447="",C447="",E447=""),"БЛОК: нужны дата, тип операции и сумма",IF(N(E447)&lt;=0,"БЛОК: сумма должна быть больше нуля",IF(AND(G447&lt;&gt;0,F447=""),"БЛОК: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нельзя",IF(AND(F447&lt;&gt;"",COUNTIF('Долг по актам'!$B$5:$B$34,F447)=0),"БЛОК: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договору")&gt;0)*($C$5:$C$504&lt;&gt;C447)*($E$5:$E$504=E447)*(($D$5:$D$504=D447)*(D447&lt;&gt;"")+($B$5:$B$504=B447)*(B447&lt;&gt;"")&gt;0))&gt;0,"БЛОК: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447" s="5">
        <f>IF(AND(B447="",C447="",E447=""),"",SUM($G$5:G447))</f>
        <v/>
      </c>
    </row>
    <row r="448">
      <c r="A448" s="6" t="n">
        <v>444</v>
      </c>
      <c r="B448" s="7" t="n"/>
      <c r="C448" s="8" t="n"/>
      <c r="D448" s="8" t="n"/>
      <c r="E448" s="9" t="n"/>
      <c r="F448" s="8" t="n"/>
      <c r="G448" s="5">
        <f>IF(OR(C448="",E448=""),0,IF(C448="Начисление по акту",E448,IF(OR(C448="Оплата",C448="Зачёт аванса по договору"),-E448,IF(C448="Корректировка (подписана обеими сторонами)",E448,0))))</f>
        <v/>
      </c>
      <c r="H448" s="5">
        <f>IF(OR(C448="Удержание",C448="Зачёт встречного требования",C448="Неустойка заявлена"),N(E448),0)</f>
        <v/>
      </c>
      <c r="I448" s="6">
        <f>IF(AND(B448="",C448="",D448="",E448="",F448=""),"",IF(OR(B448="",C448="",E448=""),"БЛОК: нужны дата, тип операции и сумма",IF(N(E448)&lt;=0,"БЛОК: сумма должна быть больше нуля",IF(AND(G448&lt;&gt;0,F448=""),"БЛОК: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нельзя",IF(AND(F448&lt;&gt;"",COUNTIF('Долг по актам'!$B$5:$B$34,F448)=0),"БЛОК: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договору")&gt;0)*($C$5:$C$504&lt;&gt;C448)*($E$5:$E$504=E448)*(($D$5:$D$504=D448)*(D448&lt;&gt;"")+($B$5:$B$504=B448)*(B448&lt;&gt;"")&gt;0))&gt;0,"БЛОК: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448" s="5">
        <f>IF(AND(B448="",C448="",E448=""),"",SUM($G$5:G448))</f>
        <v/>
      </c>
    </row>
    <row r="449">
      <c r="A449" s="6" t="n">
        <v>445</v>
      </c>
      <c r="B449" s="7" t="n"/>
      <c r="C449" s="8" t="n"/>
      <c r="D449" s="8" t="n"/>
      <c r="E449" s="9" t="n"/>
      <c r="F449" s="8" t="n"/>
      <c r="G449" s="5">
        <f>IF(OR(C449="",E449=""),0,IF(C449="Начисление по акту",E449,IF(OR(C449="Оплата",C449="Зачёт аванса по договору"),-E449,IF(C449="Корректировка (подписана обеими сторонами)",E449,0))))</f>
        <v/>
      </c>
      <c r="H449" s="5">
        <f>IF(OR(C449="Удержание",C449="Зачёт встречного требования",C449="Неустойка заявлена"),N(E449),0)</f>
        <v/>
      </c>
      <c r="I449" s="6">
        <f>IF(AND(B449="",C449="",D449="",E449="",F449=""),"",IF(OR(B449="",C449="",E449=""),"БЛОК: нужны дата, тип операции и сумма",IF(N(E449)&lt;=0,"БЛОК: сумма должна быть больше нуля",IF(AND(G449&lt;&gt;0,F449=""),"БЛОК: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нельзя",IF(AND(F449&lt;&gt;"",COUNTIF('Долг по актам'!$B$5:$B$34,F449)=0),"БЛОК: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договору")&gt;0)*($C$5:$C$504&lt;&gt;C449)*($E$5:$E$504=E449)*(($D$5:$D$504=D449)*(D449&lt;&gt;"")+($B$5:$B$504=B449)*(B449&lt;&gt;"")&gt;0))&gt;0,"БЛОК: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449" s="5">
        <f>IF(AND(B449="",C449="",E449=""),"",SUM($G$5:G449))</f>
        <v/>
      </c>
    </row>
    <row r="450">
      <c r="A450" s="6" t="n">
        <v>446</v>
      </c>
      <c r="B450" s="7" t="n"/>
      <c r="C450" s="8" t="n"/>
      <c r="D450" s="8" t="n"/>
      <c r="E450" s="9" t="n"/>
      <c r="F450" s="8" t="n"/>
      <c r="G450" s="5">
        <f>IF(OR(C450="",E450=""),0,IF(C450="Начисление по акту",E450,IF(OR(C450="Оплата",C450="Зачёт аванса по договору"),-E450,IF(C450="Корректировка (подписана обеими сторонами)",E450,0))))</f>
        <v/>
      </c>
      <c r="H450" s="5">
        <f>IF(OR(C450="Удержание",C450="Зачёт встречного требования",C450="Неустойка заявлена"),N(E450),0)</f>
        <v/>
      </c>
      <c r="I450" s="6">
        <f>IF(AND(B450="",C450="",D450="",E450="",F450=""),"",IF(OR(B450="",C450="",E450=""),"БЛОК: нужны дата, тип операции и сумма",IF(N(E450)&lt;=0,"БЛОК: сумма должна быть больше нуля",IF(AND(G450&lt;&gt;0,F450=""),"БЛОК: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нельзя",IF(AND(F450&lt;&gt;"",COUNTIF('Долг по актам'!$B$5:$B$34,F450)=0),"БЛОК: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договору")&gt;0)*($C$5:$C$504&lt;&gt;C450)*($E$5:$E$504=E450)*(($D$5:$D$504=D450)*(D450&lt;&gt;"")+($B$5:$B$504=B450)*(B450&lt;&gt;"")&gt;0))&gt;0,"БЛОК: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450" s="5">
        <f>IF(AND(B450="",C450="",E450=""),"",SUM($G$5:G450))</f>
        <v/>
      </c>
    </row>
    <row r="451">
      <c r="A451" s="6" t="n">
        <v>447</v>
      </c>
      <c r="B451" s="7" t="n"/>
      <c r="C451" s="8" t="n"/>
      <c r="D451" s="8" t="n"/>
      <c r="E451" s="9" t="n"/>
      <c r="F451" s="8" t="n"/>
      <c r="G451" s="5">
        <f>IF(OR(C451="",E451=""),0,IF(C451="Начисление по акту",E451,IF(OR(C451="Оплата",C451="Зачёт аванса по договору"),-E451,IF(C451="Корректировка (подписана обеими сторонами)",E451,0))))</f>
        <v/>
      </c>
      <c r="H451" s="5">
        <f>IF(OR(C451="Удержание",C451="Зачёт встречного требования",C451="Неустойка заявлена"),N(E451),0)</f>
        <v/>
      </c>
      <c r="I451" s="6">
        <f>IF(AND(B451="",C451="",D451="",E451="",F451=""),"",IF(OR(B451="",C451="",E451=""),"БЛОК: нужны дата, тип операции и сумма",IF(N(E451)&lt;=0,"БЛОК: сумма должна быть больше нуля",IF(AND(G451&lt;&gt;0,F451=""),"БЛОК: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нельзя",IF(AND(F451&lt;&gt;"",COUNTIF('Долг по актам'!$B$5:$B$34,F451)=0),"БЛОК: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договору")&gt;0)*($C$5:$C$504&lt;&gt;C451)*($E$5:$E$504=E451)*(($D$5:$D$504=D451)*(D451&lt;&gt;"")+($B$5:$B$504=B451)*(B451&lt;&gt;"")&gt;0))&gt;0,"БЛОК: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451" s="5">
        <f>IF(AND(B451="",C451="",E451=""),"",SUM($G$5:G451))</f>
        <v/>
      </c>
    </row>
    <row r="452">
      <c r="A452" s="6" t="n">
        <v>448</v>
      </c>
      <c r="B452" s="7" t="n"/>
      <c r="C452" s="8" t="n"/>
      <c r="D452" s="8" t="n"/>
      <c r="E452" s="9" t="n"/>
      <c r="F452" s="8" t="n"/>
      <c r="G452" s="5">
        <f>IF(OR(C452="",E452=""),0,IF(C452="Начисление по акту",E452,IF(OR(C452="Оплата",C452="Зачёт аванса по договору"),-E452,IF(C452="Корректировка (подписана обеими сторонами)",E452,0))))</f>
        <v/>
      </c>
      <c r="H452" s="5">
        <f>IF(OR(C452="Удержание",C452="Зачёт встречного требования",C452="Неустойка заявлена"),N(E452),0)</f>
        <v/>
      </c>
      <c r="I452" s="6">
        <f>IF(AND(B452="",C452="",D452="",E452="",F452=""),"",IF(OR(B452="",C452="",E452=""),"БЛОК: нужны дата, тип операции и сумма",IF(N(E452)&lt;=0,"БЛОК: сумма должна быть больше нуля",IF(AND(G452&lt;&gt;0,F452=""),"БЛОК: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нельзя",IF(AND(F452&lt;&gt;"",COUNTIF('Долг по актам'!$B$5:$B$34,F452)=0),"БЛОК: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договору")&gt;0)*($C$5:$C$504&lt;&gt;C452)*($E$5:$E$504=E452)*(($D$5:$D$504=D452)*(D452&lt;&gt;"")+($B$5:$B$504=B452)*(B452&lt;&gt;"")&gt;0))&gt;0,"БЛОК: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452" s="5">
        <f>IF(AND(B452="",C452="",E452=""),"",SUM($G$5:G452))</f>
        <v/>
      </c>
    </row>
    <row r="453">
      <c r="A453" s="6" t="n">
        <v>449</v>
      </c>
      <c r="B453" s="7" t="n"/>
      <c r="C453" s="8" t="n"/>
      <c r="D453" s="8" t="n"/>
      <c r="E453" s="9" t="n"/>
      <c r="F453" s="8" t="n"/>
      <c r="G453" s="5">
        <f>IF(OR(C453="",E453=""),0,IF(C453="Начисление по акту",E453,IF(OR(C453="Оплата",C453="Зачёт аванса по договору"),-E453,IF(C453="Корректировка (подписана обеими сторонами)",E453,0))))</f>
        <v/>
      </c>
      <c r="H453" s="5">
        <f>IF(OR(C453="Удержание",C453="Зачёт встречного требования",C453="Неустойка заявлена"),N(E453),0)</f>
        <v/>
      </c>
      <c r="I453" s="6">
        <f>IF(AND(B453="",C453="",D453="",E453="",F453=""),"",IF(OR(B453="",C453="",E453=""),"БЛОК: нужны дата, тип операции и сумма",IF(N(E453)&lt;=0,"БЛОК: сумма должна быть больше нуля",IF(AND(G453&lt;&gt;0,F453=""),"БЛОК: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нельзя",IF(AND(F453&lt;&gt;"",COUNTIF('Долг по актам'!$B$5:$B$34,F453)=0),"БЛОК: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договору")&gt;0)*($C$5:$C$504&lt;&gt;C453)*($E$5:$E$504=E453)*(($D$5:$D$504=D453)*(D453&lt;&gt;"")+($B$5:$B$504=B453)*(B453&lt;&gt;"")&gt;0))&gt;0,"БЛОК: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453" s="5">
        <f>IF(AND(B453="",C453="",E453=""),"",SUM($G$5:G453))</f>
        <v/>
      </c>
    </row>
    <row r="454">
      <c r="A454" s="6" t="n">
        <v>450</v>
      </c>
      <c r="B454" s="7" t="n"/>
      <c r="C454" s="8" t="n"/>
      <c r="D454" s="8" t="n"/>
      <c r="E454" s="9" t="n"/>
      <c r="F454" s="8" t="n"/>
      <c r="G454" s="5">
        <f>IF(OR(C454="",E454=""),0,IF(C454="Начисление по акту",E454,IF(OR(C454="Оплата",C454="Зачёт аванса по договору"),-E454,IF(C454="Корректировка (подписана обеими сторонами)",E454,0))))</f>
        <v/>
      </c>
      <c r="H454" s="5">
        <f>IF(OR(C454="Удержание",C454="Зачёт встречного требования",C454="Неустойка заявлена"),N(E454),0)</f>
        <v/>
      </c>
      <c r="I454" s="6">
        <f>IF(AND(B454="",C454="",D454="",E454="",F454=""),"",IF(OR(B454="",C454="",E454=""),"БЛОК: нужны дата, тип операции и сумма",IF(N(E454)&lt;=0,"БЛОК: сумма должна быть больше нуля",IF(AND(G454&lt;&gt;0,F454=""),"БЛОК: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нельзя",IF(AND(F454&lt;&gt;"",COUNTIF('Долг по актам'!$B$5:$B$34,F454)=0),"БЛОК: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договору")&gt;0)*($C$5:$C$504&lt;&gt;C454)*($E$5:$E$504=E454)*(($D$5:$D$504=D454)*(D454&lt;&gt;"")+($B$5:$B$504=B454)*(B454&lt;&gt;"")&gt;0))&gt;0,"БЛОК: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454" s="5">
        <f>IF(AND(B454="",C454="",E454=""),"",SUM($G$5:G454))</f>
        <v/>
      </c>
    </row>
    <row r="455">
      <c r="A455" s="6" t="n">
        <v>451</v>
      </c>
      <c r="B455" s="7" t="n"/>
      <c r="C455" s="8" t="n"/>
      <c r="D455" s="8" t="n"/>
      <c r="E455" s="9" t="n"/>
      <c r="F455" s="8" t="n"/>
      <c r="G455" s="5">
        <f>IF(OR(C455="",E455=""),0,IF(C455="Начисление по акту",E455,IF(OR(C455="Оплата",C455="Зачёт аванса по договору"),-E455,IF(C455="Корректировка (подписана обеими сторонами)",E455,0))))</f>
        <v/>
      </c>
      <c r="H455" s="5">
        <f>IF(OR(C455="Удержание",C455="Зачёт встречного требования",C455="Неустойка заявлена"),N(E455),0)</f>
        <v/>
      </c>
      <c r="I455" s="6">
        <f>IF(AND(B455="",C455="",D455="",E455="",F455=""),"",IF(OR(B455="",C455="",E455=""),"БЛОК: нужны дата, тип операции и сумма",IF(N(E455)&lt;=0,"БЛОК: сумма должна быть больше нуля",IF(AND(G455&lt;&gt;0,F455=""),"БЛОК: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нельзя",IF(AND(F455&lt;&gt;"",COUNTIF('Долг по актам'!$B$5:$B$34,F455)=0),"БЛОК: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договору")&gt;0)*($C$5:$C$504&lt;&gt;C455)*($E$5:$E$504=E455)*(($D$5:$D$504=D455)*(D455&lt;&gt;"")+($B$5:$B$504=B455)*(B455&lt;&gt;"")&gt;0))&gt;0,"БЛОК: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455" s="5">
        <f>IF(AND(B455="",C455="",E455=""),"",SUM($G$5:G455))</f>
        <v/>
      </c>
    </row>
    <row r="456">
      <c r="A456" s="6" t="n">
        <v>452</v>
      </c>
      <c r="B456" s="7" t="n"/>
      <c r="C456" s="8" t="n"/>
      <c r="D456" s="8" t="n"/>
      <c r="E456" s="9" t="n"/>
      <c r="F456" s="8" t="n"/>
      <c r="G456" s="5">
        <f>IF(OR(C456="",E456=""),0,IF(C456="Начисление по акту",E456,IF(OR(C456="Оплата",C456="Зачёт аванса по договору"),-E456,IF(C456="Корректировка (подписана обеими сторонами)",E456,0))))</f>
        <v/>
      </c>
      <c r="H456" s="5">
        <f>IF(OR(C456="Удержание",C456="Зачёт встречного требования",C456="Неустойка заявлена"),N(E456),0)</f>
        <v/>
      </c>
      <c r="I456" s="6">
        <f>IF(AND(B456="",C456="",D456="",E456="",F456=""),"",IF(OR(B456="",C456="",E456=""),"БЛОК: нужны дата, тип операции и сумма",IF(N(E456)&lt;=0,"БЛОК: сумма должна быть больше нуля",IF(AND(G456&lt;&gt;0,F456=""),"БЛОК: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нельзя",IF(AND(F456&lt;&gt;"",COUNTIF('Долг по актам'!$B$5:$B$34,F456)=0),"БЛОК: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договору")&gt;0)*($C$5:$C$504&lt;&gt;C456)*($E$5:$E$504=E456)*(($D$5:$D$504=D456)*(D456&lt;&gt;"")+($B$5:$B$504=B456)*(B456&lt;&gt;"")&gt;0))&gt;0,"БЛОК: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456" s="5">
        <f>IF(AND(B456="",C456="",E456=""),"",SUM($G$5:G456))</f>
        <v/>
      </c>
    </row>
    <row r="457">
      <c r="A457" s="6" t="n">
        <v>453</v>
      </c>
      <c r="B457" s="7" t="n"/>
      <c r="C457" s="8" t="n"/>
      <c r="D457" s="8" t="n"/>
      <c r="E457" s="9" t="n"/>
      <c r="F457" s="8" t="n"/>
      <c r="G457" s="5">
        <f>IF(OR(C457="",E457=""),0,IF(C457="Начисление по акту",E457,IF(OR(C457="Оплата",C457="Зачёт аванса по договору"),-E457,IF(C457="Корректировка (подписана обеими сторонами)",E457,0))))</f>
        <v/>
      </c>
      <c r="H457" s="5">
        <f>IF(OR(C457="Удержание",C457="Зачёт встречного требования",C457="Неустойка заявлена"),N(E457),0)</f>
        <v/>
      </c>
      <c r="I457" s="6">
        <f>IF(AND(B457="",C457="",D457="",E457="",F457=""),"",IF(OR(B457="",C457="",E457=""),"БЛОК: нужны дата, тип операции и сумма",IF(N(E457)&lt;=0,"БЛОК: сумма должна быть больше нуля",IF(AND(G457&lt;&gt;0,F457=""),"БЛОК: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нельзя",IF(AND(F457&lt;&gt;"",COUNTIF('Долг по актам'!$B$5:$B$34,F457)=0),"БЛОК: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договору")&gt;0)*($C$5:$C$504&lt;&gt;C457)*($E$5:$E$504=E457)*(($D$5:$D$504=D457)*(D457&lt;&gt;"")+($B$5:$B$504=B457)*(B457&lt;&gt;"")&gt;0))&gt;0,"БЛОК: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457" s="5">
        <f>IF(AND(B457="",C457="",E457=""),"",SUM($G$5:G457))</f>
        <v/>
      </c>
    </row>
    <row r="458">
      <c r="A458" s="6" t="n">
        <v>454</v>
      </c>
      <c r="B458" s="7" t="n"/>
      <c r="C458" s="8" t="n"/>
      <c r="D458" s="8" t="n"/>
      <c r="E458" s="9" t="n"/>
      <c r="F458" s="8" t="n"/>
      <c r="G458" s="5">
        <f>IF(OR(C458="",E458=""),0,IF(C458="Начисление по акту",E458,IF(OR(C458="Оплата",C458="Зачёт аванса по договору"),-E458,IF(C458="Корректировка (подписана обеими сторонами)",E458,0))))</f>
        <v/>
      </c>
      <c r="H458" s="5">
        <f>IF(OR(C458="Удержание",C458="Зачёт встречного требования",C458="Неустойка заявлена"),N(E458),0)</f>
        <v/>
      </c>
      <c r="I458" s="6">
        <f>IF(AND(B458="",C458="",D458="",E458="",F458=""),"",IF(OR(B458="",C458="",E458=""),"БЛОК: нужны дата, тип операции и сумма",IF(N(E458)&lt;=0,"БЛОК: сумма должна быть больше нуля",IF(AND(G458&lt;&gt;0,F458=""),"БЛОК: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нельзя",IF(AND(F458&lt;&gt;"",COUNTIF('Долг по актам'!$B$5:$B$34,F458)=0),"БЛОК: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договору")&gt;0)*($C$5:$C$504&lt;&gt;C458)*($E$5:$E$504=E458)*(($D$5:$D$504=D458)*(D458&lt;&gt;"")+($B$5:$B$504=B458)*(B458&lt;&gt;"")&gt;0))&gt;0,"БЛОК: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458" s="5">
        <f>IF(AND(B458="",C458="",E458=""),"",SUM($G$5:G458))</f>
        <v/>
      </c>
    </row>
    <row r="459">
      <c r="A459" s="6" t="n">
        <v>455</v>
      </c>
      <c r="B459" s="7" t="n"/>
      <c r="C459" s="8" t="n"/>
      <c r="D459" s="8" t="n"/>
      <c r="E459" s="9" t="n"/>
      <c r="F459" s="8" t="n"/>
      <c r="G459" s="5">
        <f>IF(OR(C459="",E459=""),0,IF(C459="Начисление по акту",E459,IF(OR(C459="Оплата",C459="Зачёт аванса по договору"),-E459,IF(C459="Корректировка (подписана обеими сторонами)",E459,0))))</f>
        <v/>
      </c>
      <c r="H459" s="5">
        <f>IF(OR(C459="Удержание",C459="Зачёт встречного требования",C459="Неустойка заявлена"),N(E459),0)</f>
        <v/>
      </c>
      <c r="I459" s="6">
        <f>IF(AND(B459="",C459="",D459="",E459="",F459=""),"",IF(OR(B459="",C459="",E459=""),"БЛОК: нужны дата, тип операции и сумма",IF(N(E459)&lt;=0,"БЛОК: сумма должна быть больше нуля",IF(AND(G459&lt;&gt;0,F459=""),"БЛОК: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нельзя",IF(AND(F459&lt;&gt;"",COUNTIF('Долг по актам'!$B$5:$B$34,F459)=0),"БЛОК: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договору")&gt;0)*($C$5:$C$504&lt;&gt;C459)*($E$5:$E$504=E459)*(($D$5:$D$504=D459)*(D459&lt;&gt;"")+($B$5:$B$504=B459)*(B459&lt;&gt;"")&gt;0))&gt;0,"БЛОК: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459" s="5">
        <f>IF(AND(B459="",C459="",E459=""),"",SUM($G$5:G459))</f>
        <v/>
      </c>
    </row>
    <row r="460">
      <c r="A460" s="6" t="n">
        <v>456</v>
      </c>
      <c r="B460" s="7" t="n"/>
      <c r="C460" s="8" t="n"/>
      <c r="D460" s="8" t="n"/>
      <c r="E460" s="9" t="n"/>
      <c r="F460" s="8" t="n"/>
      <c r="G460" s="5">
        <f>IF(OR(C460="",E460=""),0,IF(C460="Начисление по акту",E460,IF(OR(C460="Оплата",C460="Зачёт аванса по договору"),-E460,IF(C460="Корректировка (подписана обеими сторонами)",E460,0))))</f>
        <v/>
      </c>
      <c r="H460" s="5">
        <f>IF(OR(C460="Удержание",C460="Зачёт встречного требования",C460="Неустойка заявлена"),N(E460),0)</f>
        <v/>
      </c>
      <c r="I460" s="6">
        <f>IF(AND(B460="",C460="",D460="",E460="",F460=""),"",IF(OR(B460="",C460="",E460=""),"БЛОК: нужны дата, тип операции и сумма",IF(N(E460)&lt;=0,"БЛОК: сумма должна быть больше нуля",IF(AND(G460&lt;&gt;0,F460=""),"БЛОК: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нельзя",IF(AND(F460&lt;&gt;"",COUNTIF('Долг по актам'!$B$5:$B$34,F460)=0),"БЛОК: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договору")&gt;0)*($C$5:$C$504&lt;&gt;C460)*($E$5:$E$504=E460)*(($D$5:$D$504=D460)*(D460&lt;&gt;"")+($B$5:$B$504=B460)*(B460&lt;&gt;"")&gt;0))&gt;0,"БЛОК: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460" s="5">
        <f>IF(AND(B460="",C460="",E460=""),"",SUM($G$5:G460))</f>
        <v/>
      </c>
    </row>
    <row r="461">
      <c r="A461" s="6" t="n">
        <v>457</v>
      </c>
      <c r="B461" s="7" t="n"/>
      <c r="C461" s="8" t="n"/>
      <c r="D461" s="8" t="n"/>
      <c r="E461" s="9" t="n"/>
      <c r="F461" s="8" t="n"/>
      <c r="G461" s="5">
        <f>IF(OR(C461="",E461=""),0,IF(C461="Начисление по акту",E461,IF(OR(C461="Оплата",C461="Зачёт аванса по договору"),-E461,IF(C461="Корректировка (подписана обеими сторонами)",E461,0))))</f>
        <v/>
      </c>
      <c r="H461" s="5">
        <f>IF(OR(C461="Удержание",C461="Зачёт встречного требования",C461="Неустойка заявлена"),N(E461),0)</f>
        <v/>
      </c>
      <c r="I461" s="6">
        <f>IF(AND(B461="",C461="",D461="",E461="",F461=""),"",IF(OR(B461="",C461="",E461=""),"БЛОК: нужны дата, тип операции и сумма",IF(N(E461)&lt;=0,"БЛОК: сумма должна быть больше нуля",IF(AND(G461&lt;&gt;0,F461=""),"БЛОК: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нельзя",IF(AND(F461&lt;&gt;"",COUNTIF('Долг по актам'!$B$5:$B$34,F461)=0),"БЛОК: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договору")&gt;0)*($C$5:$C$504&lt;&gt;C461)*($E$5:$E$504=E461)*(($D$5:$D$504=D461)*(D461&lt;&gt;"")+($B$5:$B$504=B461)*(B461&lt;&gt;"")&gt;0))&gt;0,"БЛОК: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461" s="5">
        <f>IF(AND(B461="",C461="",E461=""),"",SUM($G$5:G461))</f>
        <v/>
      </c>
    </row>
    <row r="462">
      <c r="A462" s="6" t="n">
        <v>458</v>
      </c>
      <c r="B462" s="7" t="n"/>
      <c r="C462" s="8" t="n"/>
      <c r="D462" s="8" t="n"/>
      <c r="E462" s="9" t="n"/>
      <c r="F462" s="8" t="n"/>
      <c r="G462" s="5">
        <f>IF(OR(C462="",E462=""),0,IF(C462="Начисление по акту",E462,IF(OR(C462="Оплата",C462="Зачёт аванса по договору"),-E462,IF(C462="Корректировка (подписана обеими сторонами)",E462,0))))</f>
        <v/>
      </c>
      <c r="H462" s="5">
        <f>IF(OR(C462="Удержание",C462="Зачёт встречного требования",C462="Неустойка заявлена"),N(E462),0)</f>
        <v/>
      </c>
      <c r="I462" s="6">
        <f>IF(AND(B462="",C462="",D462="",E462="",F462=""),"",IF(OR(B462="",C462="",E462=""),"БЛОК: нужны дата, тип операции и сумма",IF(N(E462)&lt;=0,"БЛОК: сумма должна быть больше нуля",IF(AND(G462&lt;&gt;0,F462=""),"БЛОК: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нельзя",IF(AND(F462&lt;&gt;"",COUNTIF('Долг по актам'!$B$5:$B$34,F462)=0),"БЛОК: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договору")&gt;0)*($C$5:$C$504&lt;&gt;C462)*($E$5:$E$504=E462)*(($D$5:$D$504=D462)*(D462&lt;&gt;"")+($B$5:$B$504=B462)*(B462&lt;&gt;"")&gt;0))&gt;0,"БЛОК: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462" s="5">
        <f>IF(AND(B462="",C462="",E462=""),"",SUM($G$5:G462))</f>
        <v/>
      </c>
    </row>
    <row r="463">
      <c r="A463" s="6" t="n">
        <v>459</v>
      </c>
      <c r="B463" s="7" t="n"/>
      <c r="C463" s="8" t="n"/>
      <c r="D463" s="8" t="n"/>
      <c r="E463" s="9" t="n"/>
      <c r="F463" s="8" t="n"/>
      <c r="G463" s="5">
        <f>IF(OR(C463="",E463=""),0,IF(C463="Начисление по акту",E463,IF(OR(C463="Оплата",C463="Зачёт аванса по договору"),-E463,IF(C463="Корректировка (подписана обеими сторонами)",E463,0))))</f>
        <v/>
      </c>
      <c r="H463" s="5">
        <f>IF(OR(C463="Удержание",C463="Зачёт встречного требования",C463="Неустойка заявлена"),N(E463),0)</f>
        <v/>
      </c>
      <c r="I463" s="6">
        <f>IF(AND(B463="",C463="",D463="",E463="",F463=""),"",IF(OR(B463="",C463="",E463=""),"БЛОК: нужны дата, тип операции и сумма",IF(N(E463)&lt;=0,"БЛОК: сумма должна быть больше нуля",IF(AND(G463&lt;&gt;0,F463=""),"БЛОК: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нельзя",IF(AND(F463&lt;&gt;"",COUNTIF('Долг по актам'!$B$5:$B$34,F463)=0),"БЛОК: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договору")&gt;0)*($C$5:$C$504&lt;&gt;C463)*($E$5:$E$504=E463)*(($D$5:$D$504=D463)*(D463&lt;&gt;"")+($B$5:$B$504=B463)*(B463&lt;&gt;"")&gt;0))&gt;0,"БЛОК: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463" s="5">
        <f>IF(AND(B463="",C463="",E463=""),"",SUM($G$5:G463))</f>
        <v/>
      </c>
    </row>
    <row r="464">
      <c r="A464" s="6" t="n">
        <v>460</v>
      </c>
      <c r="B464" s="7" t="n"/>
      <c r="C464" s="8" t="n"/>
      <c r="D464" s="8" t="n"/>
      <c r="E464" s="9" t="n"/>
      <c r="F464" s="8" t="n"/>
      <c r="G464" s="5">
        <f>IF(OR(C464="",E464=""),0,IF(C464="Начисление по акту",E464,IF(OR(C464="Оплата",C464="Зачёт аванса по договору"),-E464,IF(C464="Корректировка (подписана обеими сторонами)",E464,0))))</f>
        <v/>
      </c>
      <c r="H464" s="5">
        <f>IF(OR(C464="Удержание",C464="Зачёт встречного требования",C464="Неустойка заявлена"),N(E464),0)</f>
        <v/>
      </c>
      <c r="I464" s="6">
        <f>IF(AND(B464="",C464="",D464="",E464="",F464=""),"",IF(OR(B464="",C464="",E464=""),"БЛОК: нужны дата, тип операции и сумма",IF(N(E464)&lt;=0,"БЛОК: сумма должна быть больше нуля",IF(AND(G464&lt;&gt;0,F464=""),"БЛОК: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нельзя",IF(AND(F464&lt;&gt;"",COUNTIF('Долг по актам'!$B$5:$B$34,F464)=0),"БЛОК: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договору")&gt;0)*($C$5:$C$504&lt;&gt;C464)*($E$5:$E$504=E464)*(($D$5:$D$504=D464)*(D464&lt;&gt;"")+($B$5:$B$504=B464)*(B464&lt;&gt;"")&gt;0))&gt;0,"БЛОК: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464" s="5">
        <f>IF(AND(B464="",C464="",E464=""),"",SUM($G$5:G464))</f>
        <v/>
      </c>
    </row>
    <row r="465">
      <c r="A465" s="6" t="n">
        <v>461</v>
      </c>
      <c r="B465" s="7" t="n"/>
      <c r="C465" s="8" t="n"/>
      <c r="D465" s="8" t="n"/>
      <c r="E465" s="9" t="n"/>
      <c r="F465" s="8" t="n"/>
      <c r="G465" s="5">
        <f>IF(OR(C465="",E465=""),0,IF(C465="Начисление по акту",E465,IF(OR(C465="Оплата",C465="Зачёт аванса по договору"),-E465,IF(C465="Корректировка (подписана обеими сторонами)",E465,0))))</f>
        <v/>
      </c>
      <c r="H465" s="5">
        <f>IF(OR(C465="Удержание",C465="Зачёт встречного требования",C465="Неустойка заявлена"),N(E465),0)</f>
        <v/>
      </c>
      <c r="I465" s="6">
        <f>IF(AND(B465="",C465="",D465="",E465="",F465=""),"",IF(OR(B465="",C465="",E465=""),"БЛОК: нужны дата, тип операции и сумма",IF(N(E465)&lt;=0,"БЛОК: сумма должна быть больше нуля",IF(AND(G465&lt;&gt;0,F465=""),"БЛОК: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нельзя",IF(AND(F465&lt;&gt;"",COUNTIF('Долг по актам'!$B$5:$B$34,F465)=0),"БЛОК: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договору")&gt;0)*($C$5:$C$504&lt;&gt;C465)*($E$5:$E$504=E465)*(($D$5:$D$504=D465)*(D465&lt;&gt;"")+($B$5:$B$504=B465)*(B465&lt;&gt;"")&gt;0))&gt;0,"БЛОК: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465" s="5">
        <f>IF(AND(B465="",C465="",E465=""),"",SUM($G$5:G465))</f>
        <v/>
      </c>
    </row>
    <row r="466">
      <c r="A466" s="6" t="n">
        <v>462</v>
      </c>
      <c r="B466" s="7" t="n"/>
      <c r="C466" s="8" t="n"/>
      <c r="D466" s="8" t="n"/>
      <c r="E466" s="9" t="n"/>
      <c r="F466" s="8" t="n"/>
      <c r="G466" s="5">
        <f>IF(OR(C466="",E466=""),0,IF(C466="Начисление по акту",E466,IF(OR(C466="Оплата",C466="Зачёт аванса по договору"),-E466,IF(C466="Корректировка (подписана обеими сторонами)",E466,0))))</f>
        <v/>
      </c>
      <c r="H466" s="5">
        <f>IF(OR(C466="Удержание",C466="Зачёт встречного требования",C466="Неустойка заявлена"),N(E466),0)</f>
        <v/>
      </c>
      <c r="I466" s="6">
        <f>IF(AND(B466="",C466="",D466="",E466="",F466=""),"",IF(OR(B466="",C466="",E466=""),"БЛОК: нужны дата, тип операции и сумма",IF(N(E466)&lt;=0,"БЛОК: сумма должна быть больше нуля",IF(AND(G466&lt;&gt;0,F466=""),"БЛОК: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нельзя",IF(AND(F466&lt;&gt;"",COUNTIF('Долг по актам'!$B$5:$B$34,F466)=0),"БЛОК: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договору")&gt;0)*($C$5:$C$504&lt;&gt;C466)*($E$5:$E$504=E466)*(($D$5:$D$504=D466)*(D466&lt;&gt;"")+($B$5:$B$504=B466)*(B466&lt;&gt;"")&gt;0))&gt;0,"БЛОК: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466" s="5">
        <f>IF(AND(B466="",C466="",E466=""),"",SUM($G$5:G466))</f>
        <v/>
      </c>
    </row>
    <row r="467">
      <c r="A467" s="6" t="n">
        <v>463</v>
      </c>
      <c r="B467" s="7" t="n"/>
      <c r="C467" s="8" t="n"/>
      <c r="D467" s="8" t="n"/>
      <c r="E467" s="9" t="n"/>
      <c r="F467" s="8" t="n"/>
      <c r="G467" s="5">
        <f>IF(OR(C467="",E467=""),0,IF(C467="Начисление по акту",E467,IF(OR(C467="Оплата",C467="Зачёт аванса по договору"),-E467,IF(C467="Корректировка (подписана обеими сторонами)",E467,0))))</f>
        <v/>
      </c>
      <c r="H467" s="5">
        <f>IF(OR(C467="Удержание",C467="Зачёт встречного требования",C467="Неустойка заявлена"),N(E467),0)</f>
        <v/>
      </c>
      <c r="I467" s="6">
        <f>IF(AND(B467="",C467="",D467="",E467="",F467=""),"",IF(OR(B467="",C467="",E467=""),"БЛОК: нужны дата, тип операции и сумма",IF(N(E467)&lt;=0,"БЛОК: сумма должна быть больше нуля",IF(AND(G467&lt;&gt;0,F467=""),"БЛОК: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нельзя",IF(AND(F467&lt;&gt;"",COUNTIF('Долг по актам'!$B$5:$B$34,F467)=0),"БЛОК: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договору")&gt;0)*($C$5:$C$504&lt;&gt;C467)*($E$5:$E$504=E467)*(($D$5:$D$504=D467)*(D467&lt;&gt;"")+($B$5:$B$504=B467)*(B467&lt;&gt;"")&gt;0))&gt;0,"БЛОК: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467" s="5">
        <f>IF(AND(B467="",C467="",E467=""),"",SUM($G$5:G467))</f>
        <v/>
      </c>
    </row>
    <row r="468">
      <c r="A468" s="6" t="n">
        <v>464</v>
      </c>
      <c r="B468" s="7" t="n"/>
      <c r="C468" s="8" t="n"/>
      <c r="D468" s="8" t="n"/>
      <c r="E468" s="9" t="n"/>
      <c r="F468" s="8" t="n"/>
      <c r="G468" s="5">
        <f>IF(OR(C468="",E468=""),0,IF(C468="Начисление по акту",E468,IF(OR(C468="Оплата",C468="Зачёт аванса по договору"),-E468,IF(C468="Корректировка (подписана обеими сторонами)",E468,0))))</f>
        <v/>
      </c>
      <c r="H468" s="5">
        <f>IF(OR(C468="Удержание",C468="Зачёт встречного требования",C468="Неустойка заявлена"),N(E468),0)</f>
        <v/>
      </c>
      <c r="I468" s="6">
        <f>IF(AND(B468="",C468="",D468="",E468="",F468=""),"",IF(OR(B468="",C468="",E468=""),"БЛОК: нужны дата, тип операции и сумма",IF(N(E468)&lt;=0,"БЛОК: сумма должна быть больше нуля",IF(AND(G468&lt;&gt;0,F468=""),"БЛОК: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нельзя",IF(AND(F468&lt;&gt;"",COUNTIF('Долг по актам'!$B$5:$B$34,F468)=0),"БЛОК: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договору")&gt;0)*($C$5:$C$504&lt;&gt;C468)*($E$5:$E$504=E468)*(($D$5:$D$504=D468)*(D468&lt;&gt;"")+($B$5:$B$504=B468)*(B468&lt;&gt;"")&gt;0))&gt;0,"БЛОК: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468" s="5">
        <f>IF(AND(B468="",C468="",E468=""),"",SUM($G$5:G468))</f>
        <v/>
      </c>
    </row>
    <row r="469">
      <c r="A469" s="6" t="n">
        <v>465</v>
      </c>
      <c r="B469" s="7" t="n"/>
      <c r="C469" s="8" t="n"/>
      <c r="D469" s="8" t="n"/>
      <c r="E469" s="9" t="n"/>
      <c r="F469" s="8" t="n"/>
      <c r="G469" s="5">
        <f>IF(OR(C469="",E469=""),0,IF(C469="Начисление по акту",E469,IF(OR(C469="Оплата",C469="Зачёт аванса по договору"),-E469,IF(C469="Корректировка (подписана обеими сторонами)",E469,0))))</f>
        <v/>
      </c>
      <c r="H469" s="5">
        <f>IF(OR(C469="Удержание",C469="Зачёт встречного требования",C469="Неустойка заявлена"),N(E469),0)</f>
        <v/>
      </c>
      <c r="I469" s="6">
        <f>IF(AND(B469="",C469="",D469="",E469="",F469=""),"",IF(OR(B469="",C469="",E469=""),"БЛОК: нужны дата, тип операции и сумма",IF(N(E469)&lt;=0,"БЛОК: сумма должна быть больше нуля",IF(AND(G469&lt;&gt;0,F469=""),"БЛОК: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нельзя",IF(AND(F469&lt;&gt;"",COUNTIF('Долг по актам'!$B$5:$B$34,F469)=0),"БЛОК: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договору")&gt;0)*($C$5:$C$504&lt;&gt;C469)*($E$5:$E$504=E469)*(($D$5:$D$504=D469)*(D469&lt;&gt;"")+($B$5:$B$504=B469)*(B469&lt;&gt;"")&gt;0))&gt;0,"БЛОК: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469" s="5">
        <f>IF(AND(B469="",C469="",E469=""),"",SUM($G$5:G469))</f>
        <v/>
      </c>
    </row>
    <row r="470">
      <c r="A470" s="6" t="n">
        <v>466</v>
      </c>
      <c r="B470" s="7" t="n"/>
      <c r="C470" s="8" t="n"/>
      <c r="D470" s="8" t="n"/>
      <c r="E470" s="9" t="n"/>
      <c r="F470" s="8" t="n"/>
      <c r="G470" s="5">
        <f>IF(OR(C470="",E470=""),0,IF(C470="Начисление по акту",E470,IF(OR(C470="Оплата",C470="Зачёт аванса по договору"),-E470,IF(C470="Корректировка (подписана обеими сторонами)",E470,0))))</f>
        <v/>
      </c>
      <c r="H470" s="5">
        <f>IF(OR(C470="Удержание",C470="Зачёт встречного требования",C470="Неустойка заявлена"),N(E470),0)</f>
        <v/>
      </c>
      <c r="I470" s="6">
        <f>IF(AND(B470="",C470="",D470="",E470="",F470=""),"",IF(OR(B470="",C470="",E470=""),"БЛОК: нужны дата, тип операции и сумма",IF(N(E470)&lt;=0,"БЛОК: сумма должна быть больше нуля",IF(AND(G470&lt;&gt;0,F470=""),"БЛОК: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нельзя",IF(AND(F470&lt;&gt;"",COUNTIF('Долг по актам'!$B$5:$B$34,F470)=0),"БЛОК: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договору")&gt;0)*($C$5:$C$504&lt;&gt;C470)*($E$5:$E$504=E470)*(($D$5:$D$504=D470)*(D470&lt;&gt;"")+($B$5:$B$504=B470)*(B470&lt;&gt;"")&gt;0))&gt;0,"БЛОК: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470" s="5">
        <f>IF(AND(B470="",C470="",E470=""),"",SUM($G$5:G470))</f>
        <v/>
      </c>
    </row>
    <row r="471">
      <c r="A471" s="6" t="n">
        <v>467</v>
      </c>
      <c r="B471" s="7" t="n"/>
      <c r="C471" s="8" t="n"/>
      <c r="D471" s="8" t="n"/>
      <c r="E471" s="9" t="n"/>
      <c r="F471" s="8" t="n"/>
      <c r="G471" s="5">
        <f>IF(OR(C471="",E471=""),0,IF(C471="Начисление по акту",E471,IF(OR(C471="Оплата",C471="Зачёт аванса по договору"),-E471,IF(C471="Корректировка (подписана обеими сторонами)",E471,0))))</f>
        <v/>
      </c>
      <c r="H471" s="5">
        <f>IF(OR(C471="Удержание",C471="Зачёт встречного требования",C471="Неустойка заявлена"),N(E471),0)</f>
        <v/>
      </c>
      <c r="I471" s="6">
        <f>IF(AND(B471="",C471="",D471="",E471="",F471=""),"",IF(OR(B471="",C471="",E471=""),"БЛОК: нужны дата, тип операции и сумма",IF(N(E471)&lt;=0,"БЛОК: сумма должна быть больше нуля",IF(AND(G471&lt;&gt;0,F471=""),"БЛОК: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нельзя",IF(AND(F471&lt;&gt;"",COUNTIF('Долг по актам'!$B$5:$B$34,F471)=0),"БЛОК: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договору")&gt;0)*($C$5:$C$504&lt;&gt;C471)*($E$5:$E$504=E471)*(($D$5:$D$504=D471)*(D471&lt;&gt;"")+($B$5:$B$504=B471)*(B471&lt;&gt;"")&gt;0))&gt;0,"БЛОК: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471" s="5">
        <f>IF(AND(B471="",C471="",E471=""),"",SUM($G$5:G471))</f>
        <v/>
      </c>
    </row>
    <row r="472">
      <c r="A472" s="6" t="n">
        <v>468</v>
      </c>
      <c r="B472" s="7" t="n"/>
      <c r="C472" s="8" t="n"/>
      <c r="D472" s="8" t="n"/>
      <c r="E472" s="9" t="n"/>
      <c r="F472" s="8" t="n"/>
      <c r="G472" s="5">
        <f>IF(OR(C472="",E472=""),0,IF(C472="Начисление по акту",E472,IF(OR(C472="Оплата",C472="Зачёт аванса по договору"),-E472,IF(C472="Корректировка (подписана обеими сторонами)",E472,0))))</f>
        <v/>
      </c>
      <c r="H472" s="5">
        <f>IF(OR(C472="Удержание",C472="Зачёт встречного требования",C472="Неустойка заявлена"),N(E472),0)</f>
        <v/>
      </c>
      <c r="I472" s="6">
        <f>IF(AND(B472="",C472="",D472="",E472="",F472=""),"",IF(OR(B472="",C472="",E472=""),"БЛОК: нужны дата, тип операции и сумма",IF(N(E472)&lt;=0,"БЛОК: сумма должна быть больше нуля",IF(AND(G472&lt;&gt;0,F472=""),"БЛОК: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нельзя",IF(AND(F472&lt;&gt;"",COUNTIF('Долг по актам'!$B$5:$B$34,F472)=0),"БЛОК: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договору")&gt;0)*($C$5:$C$504&lt;&gt;C472)*($E$5:$E$504=E472)*(($D$5:$D$504=D472)*(D472&lt;&gt;"")+($B$5:$B$504=B472)*(B472&lt;&gt;"")&gt;0))&gt;0,"БЛОК: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472" s="5">
        <f>IF(AND(B472="",C472="",E472=""),"",SUM($G$5:G472))</f>
        <v/>
      </c>
    </row>
    <row r="473">
      <c r="A473" s="6" t="n">
        <v>469</v>
      </c>
      <c r="B473" s="7" t="n"/>
      <c r="C473" s="8" t="n"/>
      <c r="D473" s="8" t="n"/>
      <c r="E473" s="9" t="n"/>
      <c r="F473" s="8" t="n"/>
      <c r="G473" s="5">
        <f>IF(OR(C473="",E473=""),0,IF(C473="Начисление по акту",E473,IF(OR(C473="Оплата",C473="Зачёт аванса по договору"),-E473,IF(C473="Корректировка (подписана обеими сторонами)",E473,0))))</f>
        <v/>
      </c>
      <c r="H473" s="5">
        <f>IF(OR(C473="Удержание",C473="Зачёт встречного требования",C473="Неустойка заявлена"),N(E473),0)</f>
        <v/>
      </c>
      <c r="I473" s="6">
        <f>IF(AND(B473="",C473="",D473="",E473="",F473=""),"",IF(OR(B473="",C473="",E473=""),"БЛОК: нужны дата, тип операции и сумма",IF(N(E473)&lt;=0,"БЛОК: сумма должна быть больше нуля",IF(AND(G473&lt;&gt;0,F473=""),"БЛОК: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нельзя",IF(AND(F473&lt;&gt;"",COUNTIF('Долг по актам'!$B$5:$B$34,F473)=0),"БЛОК: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договору")&gt;0)*($C$5:$C$504&lt;&gt;C473)*($E$5:$E$504=E473)*(($D$5:$D$504=D473)*(D473&lt;&gt;"")+($B$5:$B$504=B473)*(B473&lt;&gt;"")&gt;0))&gt;0,"БЛОК: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473" s="5">
        <f>IF(AND(B473="",C473="",E473=""),"",SUM($G$5:G473))</f>
        <v/>
      </c>
    </row>
    <row r="474">
      <c r="A474" s="6" t="n">
        <v>470</v>
      </c>
      <c r="B474" s="7" t="n"/>
      <c r="C474" s="8" t="n"/>
      <c r="D474" s="8" t="n"/>
      <c r="E474" s="9" t="n"/>
      <c r="F474" s="8" t="n"/>
      <c r="G474" s="5">
        <f>IF(OR(C474="",E474=""),0,IF(C474="Начисление по акту",E474,IF(OR(C474="Оплата",C474="Зачёт аванса по договору"),-E474,IF(C474="Корректировка (подписана обеими сторонами)",E474,0))))</f>
        <v/>
      </c>
      <c r="H474" s="5">
        <f>IF(OR(C474="Удержание",C474="Зачёт встречного требования",C474="Неустойка заявлена"),N(E474),0)</f>
        <v/>
      </c>
      <c r="I474" s="6">
        <f>IF(AND(B474="",C474="",D474="",E474="",F474=""),"",IF(OR(B474="",C474="",E474=""),"БЛОК: нужны дата, тип операции и сумма",IF(N(E474)&lt;=0,"БЛОК: сумма должна быть больше нуля",IF(AND(G474&lt;&gt;0,F474=""),"БЛОК: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нельзя",IF(AND(F474&lt;&gt;"",COUNTIF('Долг по актам'!$B$5:$B$34,F474)=0),"БЛОК: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договору")&gt;0)*($C$5:$C$504&lt;&gt;C474)*($E$5:$E$504=E474)*(($D$5:$D$504=D474)*(D474&lt;&gt;"")+($B$5:$B$504=B474)*(B474&lt;&gt;"")&gt;0))&gt;0,"БЛОК: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474" s="5">
        <f>IF(AND(B474="",C474="",E474=""),"",SUM($G$5:G474))</f>
        <v/>
      </c>
    </row>
    <row r="475">
      <c r="A475" s="6" t="n">
        <v>471</v>
      </c>
      <c r="B475" s="7" t="n"/>
      <c r="C475" s="8" t="n"/>
      <c r="D475" s="8" t="n"/>
      <c r="E475" s="9" t="n"/>
      <c r="F475" s="8" t="n"/>
      <c r="G475" s="5">
        <f>IF(OR(C475="",E475=""),0,IF(C475="Начисление по акту",E475,IF(OR(C475="Оплата",C475="Зачёт аванса по договору"),-E475,IF(C475="Корректировка (подписана обеими сторонами)",E475,0))))</f>
        <v/>
      </c>
      <c r="H475" s="5">
        <f>IF(OR(C475="Удержание",C475="Зачёт встречного требования",C475="Неустойка заявлена"),N(E475),0)</f>
        <v/>
      </c>
      <c r="I475" s="6">
        <f>IF(AND(B475="",C475="",D475="",E475="",F475=""),"",IF(OR(B475="",C475="",E475=""),"БЛОК: нужны дата, тип операции и сумма",IF(N(E475)&lt;=0,"БЛОК: сумма должна быть больше нуля",IF(AND(G475&lt;&gt;0,F475=""),"БЛОК: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нельзя",IF(AND(F475&lt;&gt;"",COUNTIF('Долг по актам'!$B$5:$B$34,F475)=0),"БЛОК: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договору")&gt;0)*($C$5:$C$504&lt;&gt;C475)*($E$5:$E$504=E475)*(($D$5:$D$504=D475)*(D475&lt;&gt;"")+($B$5:$B$504=B475)*(B475&lt;&gt;"")&gt;0))&gt;0,"БЛОК: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475" s="5">
        <f>IF(AND(B475="",C475="",E475=""),"",SUM($G$5:G475))</f>
        <v/>
      </c>
    </row>
    <row r="476">
      <c r="A476" s="6" t="n">
        <v>472</v>
      </c>
      <c r="B476" s="7" t="n"/>
      <c r="C476" s="8" t="n"/>
      <c r="D476" s="8" t="n"/>
      <c r="E476" s="9" t="n"/>
      <c r="F476" s="8" t="n"/>
      <c r="G476" s="5">
        <f>IF(OR(C476="",E476=""),0,IF(C476="Начисление по акту",E476,IF(OR(C476="Оплата",C476="Зачёт аванса по договору"),-E476,IF(C476="Корректировка (подписана обеими сторонами)",E476,0))))</f>
        <v/>
      </c>
      <c r="H476" s="5">
        <f>IF(OR(C476="Удержание",C476="Зачёт встречного требования",C476="Неустойка заявлена"),N(E476),0)</f>
        <v/>
      </c>
      <c r="I476" s="6">
        <f>IF(AND(B476="",C476="",D476="",E476="",F476=""),"",IF(OR(B476="",C476="",E476=""),"БЛОК: нужны дата, тип операции и сумма",IF(N(E476)&lt;=0,"БЛОК: сумма должна быть больше нуля",IF(AND(G476&lt;&gt;0,F476=""),"БЛОК: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нельзя",IF(AND(F476&lt;&gt;"",COUNTIF('Долг по актам'!$B$5:$B$34,F476)=0),"БЛОК: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договору")&gt;0)*($C$5:$C$504&lt;&gt;C476)*($E$5:$E$504=E476)*(($D$5:$D$504=D476)*(D476&lt;&gt;"")+($B$5:$B$504=B476)*(B476&lt;&gt;"")&gt;0))&gt;0,"БЛОК: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476" s="5">
        <f>IF(AND(B476="",C476="",E476=""),"",SUM($G$5:G476))</f>
        <v/>
      </c>
    </row>
    <row r="477">
      <c r="A477" s="6" t="n">
        <v>473</v>
      </c>
      <c r="B477" s="7" t="n"/>
      <c r="C477" s="8" t="n"/>
      <c r="D477" s="8" t="n"/>
      <c r="E477" s="9" t="n"/>
      <c r="F477" s="8" t="n"/>
      <c r="G477" s="5">
        <f>IF(OR(C477="",E477=""),0,IF(C477="Начисление по акту",E477,IF(OR(C477="Оплата",C477="Зачёт аванса по договору"),-E477,IF(C477="Корректировка (подписана обеими сторонами)",E477,0))))</f>
        <v/>
      </c>
      <c r="H477" s="5">
        <f>IF(OR(C477="Удержание",C477="Зачёт встречного требования",C477="Неустойка заявлена"),N(E477),0)</f>
        <v/>
      </c>
      <c r="I477" s="6">
        <f>IF(AND(B477="",C477="",D477="",E477="",F477=""),"",IF(OR(B477="",C477="",E477=""),"БЛОК: нужны дата, тип операции и сумма",IF(N(E477)&lt;=0,"БЛОК: сумма должна быть больше нуля",IF(AND(G477&lt;&gt;0,F477=""),"БЛОК: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нельзя",IF(AND(F477&lt;&gt;"",COUNTIF('Долг по актам'!$B$5:$B$34,F477)=0),"БЛОК: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договору")&gt;0)*($C$5:$C$504&lt;&gt;C477)*($E$5:$E$504=E477)*(($D$5:$D$504=D477)*(D477&lt;&gt;"")+($B$5:$B$504=B477)*(B477&lt;&gt;"")&gt;0))&gt;0,"БЛОК: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477" s="5">
        <f>IF(AND(B477="",C477="",E477=""),"",SUM($G$5:G477))</f>
        <v/>
      </c>
    </row>
    <row r="478">
      <c r="A478" s="6" t="n">
        <v>474</v>
      </c>
      <c r="B478" s="7" t="n"/>
      <c r="C478" s="8" t="n"/>
      <c r="D478" s="8" t="n"/>
      <c r="E478" s="9" t="n"/>
      <c r="F478" s="8" t="n"/>
      <c r="G478" s="5">
        <f>IF(OR(C478="",E478=""),0,IF(C478="Начисление по акту",E478,IF(OR(C478="Оплата",C478="Зачёт аванса по договору"),-E478,IF(C478="Корректировка (подписана обеими сторонами)",E478,0))))</f>
        <v/>
      </c>
      <c r="H478" s="5">
        <f>IF(OR(C478="Удержание",C478="Зачёт встречного требования",C478="Неустойка заявлена"),N(E478),0)</f>
        <v/>
      </c>
      <c r="I478" s="6">
        <f>IF(AND(B478="",C478="",D478="",E478="",F478=""),"",IF(OR(B478="",C478="",E478=""),"БЛОК: нужны дата, тип операции и сумма",IF(N(E478)&lt;=0,"БЛОК: сумма должна быть больше нуля",IF(AND(G478&lt;&gt;0,F478=""),"БЛОК: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нельзя",IF(AND(F478&lt;&gt;"",COUNTIF('Долг по актам'!$B$5:$B$34,F478)=0),"БЛОК: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договору")&gt;0)*($C$5:$C$504&lt;&gt;C478)*($E$5:$E$504=E478)*(($D$5:$D$504=D478)*(D478&lt;&gt;"")+($B$5:$B$504=B478)*(B478&lt;&gt;"")&gt;0))&gt;0,"БЛОК: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478" s="5">
        <f>IF(AND(B478="",C478="",E478=""),"",SUM($G$5:G478))</f>
        <v/>
      </c>
    </row>
    <row r="479">
      <c r="A479" s="6" t="n">
        <v>475</v>
      </c>
      <c r="B479" s="7" t="n"/>
      <c r="C479" s="8" t="n"/>
      <c r="D479" s="8" t="n"/>
      <c r="E479" s="9" t="n"/>
      <c r="F479" s="8" t="n"/>
      <c r="G479" s="5">
        <f>IF(OR(C479="",E479=""),0,IF(C479="Начисление по акту",E479,IF(OR(C479="Оплата",C479="Зачёт аванса по договору"),-E479,IF(C479="Корректировка (подписана обеими сторонами)",E479,0))))</f>
        <v/>
      </c>
      <c r="H479" s="5">
        <f>IF(OR(C479="Удержание",C479="Зачёт встречного требования",C479="Неустойка заявлена"),N(E479),0)</f>
        <v/>
      </c>
      <c r="I479" s="6">
        <f>IF(AND(B479="",C479="",D479="",E479="",F479=""),"",IF(OR(B479="",C479="",E479=""),"БЛОК: нужны дата, тип операции и сумма",IF(N(E479)&lt;=0,"БЛОК: сумма должна быть больше нуля",IF(AND(G479&lt;&gt;0,F479=""),"БЛОК: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нельзя",IF(AND(F479&lt;&gt;"",COUNTIF('Долг по актам'!$B$5:$B$34,F479)=0),"БЛОК: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договору")&gt;0)*($C$5:$C$504&lt;&gt;C479)*($E$5:$E$504=E479)*(($D$5:$D$504=D479)*(D479&lt;&gt;"")+($B$5:$B$504=B479)*(B479&lt;&gt;"")&gt;0))&gt;0,"БЛОК: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479" s="5">
        <f>IF(AND(B479="",C479="",E479=""),"",SUM($G$5:G479))</f>
        <v/>
      </c>
    </row>
    <row r="480">
      <c r="A480" s="6" t="n">
        <v>476</v>
      </c>
      <c r="B480" s="7" t="n"/>
      <c r="C480" s="8" t="n"/>
      <c r="D480" s="8" t="n"/>
      <c r="E480" s="9" t="n"/>
      <c r="F480" s="8" t="n"/>
      <c r="G480" s="5">
        <f>IF(OR(C480="",E480=""),0,IF(C480="Начисление по акту",E480,IF(OR(C480="Оплата",C480="Зачёт аванса по договору"),-E480,IF(C480="Корректировка (подписана обеими сторонами)",E480,0))))</f>
        <v/>
      </c>
      <c r="H480" s="5">
        <f>IF(OR(C480="Удержание",C480="Зачёт встречного требования",C480="Неустойка заявлена"),N(E480),0)</f>
        <v/>
      </c>
      <c r="I480" s="6">
        <f>IF(AND(B480="",C480="",D480="",E480="",F480=""),"",IF(OR(B480="",C480="",E480=""),"БЛОК: нужны дата, тип операции и сумма",IF(N(E480)&lt;=0,"БЛОК: сумма должна быть больше нуля",IF(AND(G480&lt;&gt;0,F480=""),"БЛОК: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нельзя",IF(AND(F480&lt;&gt;"",COUNTIF('Долг по актам'!$B$5:$B$34,F480)=0),"БЛОК: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договору")&gt;0)*($C$5:$C$504&lt;&gt;C480)*($E$5:$E$504=E480)*(($D$5:$D$504=D480)*(D480&lt;&gt;"")+($B$5:$B$504=B480)*(B480&lt;&gt;"")&gt;0))&gt;0,"БЛОК: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480" s="5">
        <f>IF(AND(B480="",C480="",E480=""),"",SUM($G$5:G480))</f>
        <v/>
      </c>
    </row>
    <row r="481">
      <c r="A481" s="6" t="n">
        <v>477</v>
      </c>
      <c r="B481" s="7" t="n"/>
      <c r="C481" s="8" t="n"/>
      <c r="D481" s="8" t="n"/>
      <c r="E481" s="9" t="n"/>
      <c r="F481" s="8" t="n"/>
      <c r="G481" s="5">
        <f>IF(OR(C481="",E481=""),0,IF(C481="Начисление по акту",E481,IF(OR(C481="Оплата",C481="Зачёт аванса по договору"),-E481,IF(C481="Корректировка (подписана обеими сторонами)",E481,0))))</f>
        <v/>
      </c>
      <c r="H481" s="5">
        <f>IF(OR(C481="Удержание",C481="Зачёт встречного требования",C481="Неустойка заявлена"),N(E481),0)</f>
        <v/>
      </c>
      <c r="I481" s="6">
        <f>IF(AND(B481="",C481="",D481="",E481="",F481=""),"",IF(OR(B481="",C481="",E481=""),"БЛОК: нужны дата, тип операции и сумма",IF(N(E481)&lt;=0,"БЛОК: сумма должна быть больше нуля",IF(AND(G481&lt;&gt;0,F481=""),"БЛОК: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нельзя",IF(AND(F481&lt;&gt;"",COUNTIF('Долг по актам'!$B$5:$B$34,F481)=0),"БЛОК: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договору")&gt;0)*($C$5:$C$504&lt;&gt;C481)*($E$5:$E$504=E481)*(($D$5:$D$504=D481)*(D481&lt;&gt;"")+($B$5:$B$504=B481)*(B481&lt;&gt;"")&gt;0))&gt;0,"БЛОК: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481" s="5">
        <f>IF(AND(B481="",C481="",E481=""),"",SUM($G$5:G481))</f>
        <v/>
      </c>
    </row>
    <row r="482">
      <c r="A482" s="6" t="n">
        <v>478</v>
      </c>
      <c r="B482" s="7" t="n"/>
      <c r="C482" s="8" t="n"/>
      <c r="D482" s="8" t="n"/>
      <c r="E482" s="9" t="n"/>
      <c r="F482" s="8" t="n"/>
      <c r="G482" s="5">
        <f>IF(OR(C482="",E482=""),0,IF(C482="Начисление по акту",E482,IF(OR(C482="Оплата",C482="Зачёт аванса по договору"),-E482,IF(C482="Корректировка (подписана обеими сторонами)",E482,0))))</f>
        <v/>
      </c>
      <c r="H482" s="5">
        <f>IF(OR(C482="Удержание",C482="Зачёт встречного требования",C482="Неустойка заявлена"),N(E482),0)</f>
        <v/>
      </c>
      <c r="I482" s="6">
        <f>IF(AND(B482="",C482="",D482="",E482="",F482=""),"",IF(OR(B482="",C482="",E482=""),"БЛОК: нужны дата, тип операции и сумма",IF(N(E482)&lt;=0,"БЛОК: сумма должна быть больше нуля",IF(AND(G482&lt;&gt;0,F482=""),"БЛОК: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нельзя",IF(AND(F482&lt;&gt;"",COUNTIF('Долг по актам'!$B$5:$B$34,F482)=0),"БЛОК: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договору")&gt;0)*($C$5:$C$504&lt;&gt;C482)*($E$5:$E$504=E482)*(($D$5:$D$504=D482)*(D482&lt;&gt;"")+($B$5:$B$504=B482)*(B482&lt;&gt;"")&gt;0))&gt;0,"БЛОК: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482" s="5">
        <f>IF(AND(B482="",C482="",E482=""),"",SUM($G$5:G482))</f>
        <v/>
      </c>
    </row>
    <row r="483">
      <c r="A483" s="6" t="n">
        <v>479</v>
      </c>
      <c r="B483" s="7" t="n"/>
      <c r="C483" s="8" t="n"/>
      <c r="D483" s="8" t="n"/>
      <c r="E483" s="9" t="n"/>
      <c r="F483" s="8" t="n"/>
      <c r="G483" s="5">
        <f>IF(OR(C483="",E483=""),0,IF(C483="Начисление по акту",E483,IF(OR(C483="Оплата",C483="Зачёт аванса по договору"),-E483,IF(C483="Корректировка (подписана обеими сторонами)",E483,0))))</f>
        <v/>
      </c>
      <c r="H483" s="5">
        <f>IF(OR(C483="Удержание",C483="Зачёт встречного требования",C483="Неустойка заявлена"),N(E483),0)</f>
        <v/>
      </c>
      <c r="I483" s="6">
        <f>IF(AND(B483="",C483="",D483="",E483="",F483=""),"",IF(OR(B483="",C483="",E483=""),"БЛОК: нужны дата, тип операции и сумма",IF(N(E483)&lt;=0,"БЛОК: сумма должна быть больше нуля",IF(AND(G483&lt;&gt;0,F483=""),"БЛОК: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нельзя",IF(AND(F483&lt;&gt;"",COUNTIF('Долг по актам'!$B$5:$B$34,F483)=0),"БЛОК: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договору")&gt;0)*($C$5:$C$504&lt;&gt;C483)*($E$5:$E$504=E483)*(($D$5:$D$504=D483)*(D483&lt;&gt;"")+($B$5:$B$504=B483)*(B483&lt;&gt;"")&gt;0))&gt;0,"БЛОК: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483" s="5">
        <f>IF(AND(B483="",C483="",E483=""),"",SUM($G$5:G483))</f>
        <v/>
      </c>
    </row>
    <row r="484">
      <c r="A484" s="6" t="n">
        <v>480</v>
      </c>
      <c r="B484" s="7" t="n"/>
      <c r="C484" s="8" t="n"/>
      <c r="D484" s="8" t="n"/>
      <c r="E484" s="9" t="n"/>
      <c r="F484" s="8" t="n"/>
      <c r="G484" s="5">
        <f>IF(OR(C484="",E484=""),0,IF(C484="Начисление по акту",E484,IF(OR(C484="Оплата",C484="Зачёт аванса по договору"),-E484,IF(C484="Корректировка (подписана обеими сторонами)",E484,0))))</f>
        <v/>
      </c>
      <c r="H484" s="5">
        <f>IF(OR(C484="Удержание",C484="Зачёт встречного требования",C484="Неустойка заявлена"),N(E484),0)</f>
        <v/>
      </c>
      <c r="I484" s="6">
        <f>IF(AND(B484="",C484="",D484="",E484="",F484=""),"",IF(OR(B484="",C484="",E484=""),"БЛОК: нужны дата, тип операции и сумма",IF(N(E484)&lt;=0,"БЛОК: сумма должна быть больше нуля",IF(AND(G484&lt;&gt;0,F484=""),"БЛОК: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нельзя",IF(AND(F484&lt;&gt;"",COUNTIF('Долг по актам'!$B$5:$B$34,F484)=0),"БЛОК: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договору")&gt;0)*($C$5:$C$504&lt;&gt;C484)*($E$5:$E$504=E484)*(($D$5:$D$504=D484)*(D484&lt;&gt;"")+($B$5:$B$504=B484)*(B484&lt;&gt;"")&gt;0))&gt;0,"БЛОК: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484" s="5">
        <f>IF(AND(B484="",C484="",E484=""),"",SUM($G$5:G484))</f>
        <v/>
      </c>
    </row>
    <row r="485">
      <c r="A485" s="6" t="n">
        <v>481</v>
      </c>
      <c r="B485" s="7" t="n"/>
      <c r="C485" s="8" t="n"/>
      <c r="D485" s="8" t="n"/>
      <c r="E485" s="9" t="n"/>
      <c r="F485" s="8" t="n"/>
      <c r="G485" s="5">
        <f>IF(OR(C485="",E485=""),0,IF(C485="Начисление по акту",E485,IF(OR(C485="Оплата",C485="Зачёт аванса по договору"),-E485,IF(C485="Корректировка (подписана обеими сторонами)",E485,0))))</f>
        <v/>
      </c>
      <c r="H485" s="5">
        <f>IF(OR(C485="Удержание",C485="Зачёт встречного требования",C485="Неустойка заявлена"),N(E485),0)</f>
        <v/>
      </c>
      <c r="I485" s="6">
        <f>IF(AND(B485="",C485="",D485="",E485="",F485=""),"",IF(OR(B485="",C485="",E485=""),"БЛОК: нужны дата, тип операции и сумма",IF(N(E485)&lt;=0,"БЛОК: сумма должна быть больше нуля",IF(AND(G485&lt;&gt;0,F485=""),"БЛОК: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нельзя",IF(AND(F485&lt;&gt;"",COUNTIF('Долг по актам'!$B$5:$B$34,F485)=0),"БЛОК: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договору")&gt;0)*($C$5:$C$504&lt;&gt;C485)*($E$5:$E$504=E485)*(($D$5:$D$504=D485)*(D485&lt;&gt;"")+($B$5:$B$504=B485)*(B485&lt;&gt;"")&gt;0))&gt;0,"БЛОК: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485" s="5">
        <f>IF(AND(B485="",C485="",E485=""),"",SUM($G$5:G485))</f>
        <v/>
      </c>
    </row>
    <row r="486">
      <c r="A486" s="6" t="n">
        <v>482</v>
      </c>
      <c r="B486" s="7" t="n"/>
      <c r="C486" s="8" t="n"/>
      <c r="D486" s="8" t="n"/>
      <c r="E486" s="9" t="n"/>
      <c r="F486" s="8" t="n"/>
      <c r="G486" s="5">
        <f>IF(OR(C486="",E486=""),0,IF(C486="Начисление по акту",E486,IF(OR(C486="Оплата",C486="Зачёт аванса по договору"),-E486,IF(C486="Корректировка (подписана обеими сторонами)",E486,0))))</f>
        <v/>
      </c>
      <c r="H486" s="5">
        <f>IF(OR(C486="Удержание",C486="Зачёт встречного требования",C486="Неустойка заявлена"),N(E486),0)</f>
        <v/>
      </c>
      <c r="I486" s="6">
        <f>IF(AND(B486="",C486="",D486="",E486="",F486=""),"",IF(OR(B486="",C486="",E486=""),"БЛОК: нужны дата, тип операции и сумма",IF(N(E486)&lt;=0,"БЛОК: сумма должна быть больше нуля",IF(AND(G486&lt;&gt;0,F486=""),"БЛОК: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нельзя",IF(AND(F486&lt;&gt;"",COUNTIF('Долг по актам'!$B$5:$B$34,F486)=0),"БЛОК: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договору")&gt;0)*($C$5:$C$504&lt;&gt;C486)*($E$5:$E$504=E486)*(($D$5:$D$504=D486)*(D486&lt;&gt;"")+($B$5:$B$504=B486)*(B486&lt;&gt;"")&gt;0))&gt;0,"БЛОК: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486" s="5">
        <f>IF(AND(B486="",C486="",E486=""),"",SUM($G$5:G486))</f>
        <v/>
      </c>
    </row>
    <row r="487">
      <c r="A487" s="6" t="n">
        <v>483</v>
      </c>
      <c r="B487" s="7" t="n"/>
      <c r="C487" s="8" t="n"/>
      <c r="D487" s="8" t="n"/>
      <c r="E487" s="9" t="n"/>
      <c r="F487" s="8" t="n"/>
      <c r="G487" s="5">
        <f>IF(OR(C487="",E487=""),0,IF(C487="Начисление по акту",E487,IF(OR(C487="Оплата",C487="Зачёт аванса по договору"),-E487,IF(C487="Корректировка (подписана обеими сторонами)",E487,0))))</f>
        <v/>
      </c>
      <c r="H487" s="5">
        <f>IF(OR(C487="Удержание",C487="Зачёт встречного требования",C487="Неустойка заявлена"),N(E487),0)</f>
        <v/>
      </c>
      <c r="I487" s="6">
        <f>IF(AND(B487="",C487="",D487="",E487="",F487=""),"",IF(OR(B487="",C487="",E487=""),"БЛОК: нужны дата, тип операции и сумма",IF(N(E487)&lt;=0,"БЛОК: сумма должна быть больше нуля",IF(AND(G487&lt;&gt;0,F487=""),"БЛОК: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нельзя",IF(AND(F487&lt;&gt;"",COUNTIF('Долг по актам'!$B$5:$B$34,F487)=0),"БЛОК: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договору")&gt;0)*($C$5:$C$504&lt;&gt;C487)*($E$5:$E$504=E487)*(($D$5:$D$504=D487)*(D487&lt;&gt;"")+($B$5:$B$504=B487)*(B487&lt;&gt;"")&gt;0))&gt;0,"БЛОК: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487" s="5">
        <f>IF(AND(B487="",C487="",E487=""),"",SUM($G$5:G487))</f>
        <v/>
      </c>
    </row>
    <row r="488">
      <c r="A488" s="6" t="n">
        <v>484</v>
      </c>
      <c r="B488" s="7" t="n"/>
      <c r="C488" s="8" t="n"/>
      <c r="D488" s="8" t="n"/>
      <c r="E488" s="9" t="n"/>
      <c r="F488" s="8" t="n"/>
      <c r="G488" s="5">
        <f>IF(OR(C488="",E488=""),0,IF(C488="Начисление по акту",E488,IF(OR(C488="Оплата",C488="Зачёт аванса по договору"),-E488,IF(C488="Корректировка (подписана обеими сторонами)",E488,0))))</f>
        <v/>
      </c>
      <c r="H488" s="5">
        <f>IF(OR(C488="Удержание",C488="Зачёт встречного требования",C488="Неустойка заявлена"),N(E488),0)</f>
        <v/>
      </c>
      <c r="I488" s="6">
        <f>IF(AND(B488="",C488="",D488="",E488="",F488=""),"",IF(OR(B488="",C488="",E488=""),"БЛОК: нужны дата, тип операции и сумма",IF(N(E488)&lt;=0,"БЛОК: сумма должна быть больше нуля",IF(AND(G488&lt;&gt;0,F488=""),"БЛОК: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нельзя",IF(AND(F488&lt;&gt;"",COUNTIF('Долг по актам'!$B$5:$B$34,F488)=0),"БЛОК: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договору")&gt;0)*($C$5:$C$504&lt;&gt;C488)*($E$5:$E$504=E488)*(($D$5:$D$504=D488)*(D488&lt;&gt;"")+($B$5:$B$504=B488)*(B488&lt;&gt;"")&gt;0))&gt;0,"БЛОК: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488" s="5">
        <f>IF(AND(B488="",C488="",E488=""),"",SUM($G$5:G488))</f>
        <v/>
      </c>
    </row>
    <row r="489">
      <c r="A489" s="6" t="n">
        <v>485</v>
      </c>
      <c r="B489" s="7" t="n"/>
      <c r="C489" s="8" t="n"/>
      <c r="D489" s="8" t="n"/>
      <c r="E489" s="9" t="n"/>
      <c r="F489" s="8" t="n"/>
      <c r="G489" s="5">
        <f>IF(OR(C489="",E489=""),0,IF(C489="Начисление по акту",E489,IF(OR(C489="Оплата",C489="Зачёт аванса по договору"),-E489,IF(C489="Корректировка (подписана обеими сторонами)",E489,0))))</f>
        <v/>
      </c>
      <c r="H489" s="5">
        <f>IF(OR(C489="Удержание",C489="Зачёт встречного требования",C489="Неустойка заявлена"),N(E489),0)</f>
        <v/>
      </c>
      <c r="I489" s="6">
        <f>IF(AND(B489="",C489="",D489="",E489="",F489=""),"",IF(OR(B489="",C489="",E489=""),"БЛОК: нужны дата, тип операции и сумма",IF(N(E489)&lt;=0,"БЛОК: сумма должна быть больше нуля",IF(AND(G489&lt;&gt;0,F489=""),"БЛОК: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нельзя",IF(AND(F489&lt;&gt;"",COUNTIF('Долг по актам'!$B$5:$B$34,F489)=0),"БЛОК: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договору")&gt;0)*($C$5:$C$504&lt;&gt;C489)*($E$5:$E$504=E489)*(($D$5:$D$504=D489)*(D489&lt;&gt;"")+($B$5:$B$504=B489)*(B489&lt;&gt;"")&gt;0))&gt;0,"БЛОК: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489" s="5">
        <f>IF(AND(B489="",C489="",E489=""),"",SUM($G$5:G489))</f>
        <v/>
      </c>
    </row>
    <row r="490">
      <c r="A490" s="6" t="n">
        <v>486</v>
      </c>
      <c r="B490" s="7" t="n"/>
      <c r="C490" s="8" t="n"/>
      <c r="D490" s="8" t="n"/>
      <c r="E490" s="9" t="n"/>
      <c r="F490" s="8" t="n"/>
      <c r="G490" s="5">
        <f>IF(OR(C490="",E490=""),0,IF(C490="Начисление по акту",E490,IF(OR(C490="Оплата",C490="Зачёт аванса по договору"),-E490,IF(C490="Корректировка (подписана обеими сторонами)",E490,0))))</f>
        <v/>
      </c>
      <c r="H490" s="5">
        <f>IF(OR(C490="Удержание",C490="Зачёт встречного требования",C490="Неустойка заявлена"),N(E490),0)</f>
        <v/>
      </c>
      <c r="I490" s="6">
        <f>IF(AND(B490="",C490="",D490="",E490="",F490=""),"",IF(OR(B490="",C490="",E490=""),"БЛОК: нужны дата, тип операции и сумма",IF(N(E490)&lt;=0,"БЛОК: сумма должна быть больше нуля",IF(AND(G490&lt;&gt;0,F490=""),"БЛОК: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нельзя",IF(AND(F490&lt;&gt;"",COUNTIF('Долг по актам'!$B$5:$B$34,F490)=0),"БЛОК: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договору")&gt;0)*($C$5:$C$504&lt;&gt;C490)*($E$5:$E$504=E490)*(($D$5:$D$504=D490)*(D490&lt;&gt;"")+($B$5:$B$504=B490)*(B490&lt;&gt;"")&gt;0))&gt;0,"БЛОК: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490" s="5">
        <f>IF(AND(B490="",C490="",E490=""),"",SUM($G$5:G490))</f>
        <v/>
      </c>
    </row>
    <row r="491">
      <c r="A491" s="6" t="n">
        <v>487</v>
      </c>
      <c r="B491" s="7" t="n"/>
      <c r="C491" s="8" t="n"/>
      <c r="D491" s="8" t="n"/>
      <c r="E491" s="9" t="n"/>
      <c r="F491" s="8" t="n"/>
      <c r="G491" s="5">
        <f>IF(OR(C491="",E491=""),0,IF(C491="Начисление по акту",E491,IF(OR(C491="Оплата",C491="Зачёт аванса по договору"),-E491,IF(C491="Корректировка (подписана обеими сторонами)",E491,0))))</f>
        <v/>
      </c>
      <c r="H491" s="5">
        <f>IF(OR(C491="Удержание",C491="Зачёт встречного требования",C491="Неустойка заявлена"),N(E491),0)</f>
        <v/>
      </c>
      <c r="I491" s="6">
        <f>IF(AND(B491="",C491="",D491="",E491="",F491=""),"",IF(OR(B491="",C491="",E491=""),"БЛОК: нужны дата, тип операции и сумма",IF(N(E491)&lt;=0,"БЛОК: сумма должна быть больше нуля",IF(AND(G491&lt;&gt;0,F491=""),"БЛОК: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нельзя",IF(AND(F491&lt;&gt;"",COUNTIF('Долг по актам'!$B$5:$B$34,F491)=0),"БЛОК: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договору")&gt;0)*($C$5:$C$504&lt;&gt;C491)*($E$5:$E$504=E491)*(($D$5:$D$504=D491)*(D491&lt;&gt;"")+($B$5:$B$504=B491)*(B491&lt;&gt;"")&gt;0))&gt;0,"БЛОК: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491" s="5">
        <f>IF(AND(B491="",C491="",E491=""),"",SUM($G$5:G491))</f>
        <v/>
      </c>
    </row>
    <row r="492">
      <c r="A492" s="6" t="n">
        <v>488</v>
      </c>
      <c r="B492" s="7" t="n"/>
      <c r="C492" s="8" t="n"/>
      <c r="D492" s="8" t="n"/>
      <c r="E492" s="9" t="n"/>
      <c r="F492" s="8" t="n"/>
      <c r="G492" s="5">
        <f>IF(OR(C492="",E492=""),0,IF(C492="Начисление по акту",E492,IF(OR(C492="Оплата",C492="Зачёт аванса по договору"),-E492,IF(C492="Корректировка (подписана обеими сторонами)",E492,0))))</f>
        <v/>
      </c>
      <c r="H492" s="5">
        <f>IF(OR(C492="Удержание",C492="Зачёт встречного требования",C492="Неустойка заявлена"),N(E492),0)</f>
        <v/>
      </c>
      <c r="I492" s="6">
        <f>IF(AND(B492="",C492="",D492="",E492="",F492=""),"",IF(OR(B492="",C492="",E492=""),"БЛОК: нужны дата, тип операции и сумма",IF(N(E492)&lt;=0,"БЛОК: сумма должна быть больше нуля",IF(AND(G492&lt;&gt;0,F492=""),"БЛОК: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нельзя",IF(AND(F492&lt;&gt;"",COUNTIF('Долг по актам'!$B$5:$B$34,F492)=0),"БЛОК: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договору")&gt;0)*($C$5:$C$504&lt;&gt;C492)*($E$5:$E$504=E492)*(($D$5:$D$504=D492)*(D492&lt;&gt;"")+($B$5:$B$504=B492)*(B492&lt;&gt;"")&gt;0))&gt;0,"БЛОК: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492" s="5">
        <f>IF(AND(B492="",C492="",E492=""),"",SUM($G$5:G492))</f>
        <v/>
      </c>
    </row>
    <row r="493">
      <c r="A493" s="6" t="n">
        <v>489</v>
      </c>
      <c r="B493" s="7" t="n"/>
      <c r="C493" s="8" t="n"/>
      <c r="D493" s="8" t="n"/>
      <c r="E493" s="9" t="n"/>
      <c r="F493" s="8" t="n"/>
      <c r="G493" s="5">
        <f>IF(OR(C493="",E493=""),0,IF(C493="Начисление по акту",E493,IF(OR(C493="Оплата",C493="Зачёт аванса по договору"),-E493,IF(C493="Корректировка (подписана обеими сторонами)",E493,0))))</f>
        <v/>
      </c>
      <c r="H493" s="5">
        <f>IF(OR(C493="Удержание",C493="Зачёт встречного требования",C493="Неустойка заявлена"),N(E493),0)</f>
        <v/>
      </c>
      <c r="I493" s="6">
        <f>IF(AND(B493="",C493="",D493="",E493="",F493=""),"",IF(OR(B493="",C493="",E493=""),"БЛОК: нужны дата, тип операции и сумма",IF(N(E493)&lt;=0,"БЛОК: сумма должна быть больше нуля",IF(AND(G493&lt;&gt;0,F493=""),"БЛОК: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нельзя",IF(AND(F493&lt;&gt;"",COUNTIF('Долг по актам'!$B$5:$B$34,F493)=0),"БЛОК: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договору")&gt;0)*($C$5:$C$504&lt;&gt;C493)*($E$5:$E$504=E493)*(($D$5:$D$504=D493)*(D493&lt;&gt;"")+($B$5:$B$504=B493)*(B493&lt;&gt;"")&gt;0))&gt;0,"БЛОК: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493" s="5">
        <f>IF(AND(B493="",C493="",E493=""),"",SUM($G$5:G493))</f>
        <v/>
      </c>
    </row>
    <row r="494">
      <c r="A494" s="6" t="n">
        <v>490</v>
      </c>
      <c r="B494" s="7" t="n"/>
      <c r="C494" s="8" t="n"/>
      <c r="D494" s="8" t="n"/>
      <c r="E494" s="9" t="n"/>
      <c r="F494" s="8" t="n"/>
      <c r="G494" s="5">
        <f>IF(OR(C494="",E494=""),0,IF(C494="Начисление по акту",E494,IF(OR(C494="Оплата",C494="Зачёт аванса по договору"),-E494,IF(C494="Корректировка (подписана обеими сторонами)",E494,0))))</f>
        <v/>
      </c>
      <c r="H494" s="5">
        <f>IF(OR(C494="Удержание",C494="Зачёт встречного требования",C494="Неустойка заявлена"),N(E494),0)</f>
        <v/>
      </c>
      <c r="I494" s="6">
        <f>IF(AND(B494="",C494="",D494="",E494="",F494=""),"",IF(OR(B494="",C494="",E494=""),"БЛОК: нужны дата, тип операции и сумма",IF(N(E494)&lt;=0,"БЛОК: сумма должна быть больше нуля",IF(AND(G494&lt;&gt;0,F494=""),"БЛОК: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нельзя",IF(AND(F494&lt;&gt;"",COUNTIF('Долг по актам'!$B$5:$B$34,F494)=0),"БЛОК: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договору")&gt;0)*($C$5:$C$504&lt;&gt;C494)*($E$5:$E$504=E494)*(($D$5:$D$504=D494)*(D494&lt;&gt;"")+($B$5:$B$504=B494)*(B494&lt;&gt;"")&gt;0))&gt;0,"БЛОК: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494" s="5">
        <f>IF(AND(B494="",C494="",E494=""),"",SUM($G$5:G494))</f>
        <v/>
      </c>
    </row>
    <row r="495">
      <c r="A495" s="6" t="n">
        <v>491</v>
      </c>
      <c r="B495" s="7" t="n"/>
      <c r="C495" s="8" t="n"/>
      <c r="D495" s="8" t="n"/>
      <c r="E495" s="9" t="n"/>
      <c r="F495" s="8" t="n"/>
      <c r="G495" s="5">
        <f>IF(OR(C495="",E495=""),0,IF(C495="Начисление по акту",E495,IF(OR(C495="Оплата",C495="Зачёт аванса по договору"),-E495,IF(C495="Корректировка (подписана обеими сторонами)",E495,0))))</f>
        <v/>
      </c>
      <c r="H495" s="5">
        <f>IF(OR(C495="Удержание",C495="Зачёт встречного требования",C495="Неустойка заявлена"),N(E495),0)</f>
        <v/>
      </c>
      <c r="I495" s="6">
        <f>IF(AND(B495="",C495="",D495="",E495="",F495=""),"",IF(OR(B495="",C495="",E495=""),"БЛОК: нужны дата, тип операции и сумма",IF(N(E495)&lt;=0,"БЛОК: сумма должна быть больше нуля",IF(AND(G495&lt;&gt;0,F495=""),"БЛОК: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нельзя",IF(AND(F495&lt;&gt;"",COUNTIF('Долг по актам'!$B$5:$B$34,F495)=0),"БЛОК: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договору")&gt;0)*($C$5:$C$504&lt;&gt;C495)*($E$5:$E$504=E495)*(($D$5:$D$504=D495)*(D495&lt;&gt;"")+($B$5:$B$504=B495)*(B495&lt;&gt;"")&gt;0))&gt;0,"БЛОК: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495" s="5">
        <f>IF(AND(B495="",C495="",E495=""),"",SUM($G$5:G495))</f>
        <v/>
      </c>
    </row>
    <row r="496">
      <c r="A496" s="6" t="n">
        <v>492</v>
      </c>
      <c r="B496" s="7" t="n"/>
      <c r="C496" s="8" t="n"/>
      <c r="D496" s="8" t="n"/>
      <c r="E496" s="9" t="n"/>
      <c r="F496" s="8" t="n"/>
      <c r="G496" s="5">
        <f>IF(OR(C496="",E496=""),0,IF(C496="Начисление по акту",E496,IF(OR(C496="Оплата",C496="Зачёт аванса по договору"),-E496,IF(C496="Корректировка (подписана обеими сторонами)",E496,0))))</f>
        <v/>
      </c>
      <c r="H496" s="5">
        <f>IF(OR(C496="Удержание",C496="Зачёт встречного требования",C496="Неустойка заявлена"),N(E496),0)</f>
        <v/>
      </c>
      <c r="I496" s="6">
        <f>IF(AND(B496="",C496="",D496="",E496="",F496=""),"",IF(OR(B496="",C496="",E496=""),"БЛОК: нужны дата, тип операции и сумма",IF(N(E496)&lt;=0,"БЛОК: сумма должна быть больше нуля",IF(AND(G496&lt;&gt;0,F496=""),"БЛОК: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нельзя",IF(AND(F496&lt;&gt;"",COUNTIF('Долг по актам'!$B$5:$B$34,F496)=0),"БЛОК: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договору")&gt;0)*($C$5:$C$504&lt;&gt;C496)*($E$5:$E$504=E496)*(($D$5:$D$504=D496)*(D496&lt;&gt;"")+($B$5:$B$504=B496)*(B496&lt;&gt;"")&gt;0))&gt;0,"БЛОК: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496" s="5">
        <f>IF(AND(B496="",C496="",E496=""),"",SUM($G$5:G496))</f>
        <v/>
      </c>
    </row>
    <row r="497">
      <c r="A497" s="6" t="n">
        <v>493</v>
      </c>
      <c r="B497" s="7" t="n"/>
      <c r="C497" s="8" t="n"/>
      <c r="D497" s="8" t="n"/>
      <c r="E497" s="9" t="n"/>
      <c r="F497" s="8" t="n"/>
      <c r="G497" s="5">
        <f>IF(OR(C497="",E497=""),0,IF(C497="Начисление по акту",E497,IF(OR(C497="Оплата",C497="Зачёт аванса по договору"),-E497,IF(C497="Корректировка (подписана обеими сторонами)",E497,0))))</f>
        <v/>
      </c>
      <c r="H497" s="5">
        <f>IF(OR(C497="Удержание",C497="Зачёт встречного требования",C497="Неустойка заявлена"),N(E497),0)</f>
        <v/>
      </c>
      <c r="I497" s="6">
        <f>IF(AND(B497="",C497="",D497="",E497="",F497=""),"",IF(OR(B497="",C497="",E497=""),"БЛОК: нужны дата, тип операции и сумма",IF(N(E497)&lt;=0,"БЛОК: сумма должна быть больше нуля",IF(AND(G497&lt;&gt;0,F497=""),"БЛОК: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нельзя",IF(AND(F497&lt;&gt;"",COUNTIF('Долг по актам'!$B$5:$B$34,F497)=0),"БЛОК: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договору")&gt;0)*($C$5:$C$504&lt;&gt;C497)*($E$5:$E$504=E497)*(($D$5:$D$504=D497)*(D497&lt;&gt;"")+($B$5:$B$504=B497)*(B497&lt;&gt;"")&gt;0))&gt;0,"БЛОК: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497" s="5">
        <f>IF(AND(B497="",C497="",E497=""),"",SUM($G$5:G497))</f>
        <v/>
      </c>
    </row>
    <row r="498">
      <c r="A498" s="6" t="n">
        <v>494</v>
      </c>
      <c r="B498" s="7" t="n"/>
      <c r="C498" s="8" t="n"/>
      <c r="D498" s="8" t="n"/>
      <c r="E498" s="9" t="n"/>
      <c r="F498" s="8" t="n"/>
      <c r="G498" s="5">
        <f>IF(OR(C498="",E498=""),0,IF(C498="Начисление по акту",E498,IF(OR(C498="Оплата",C498="Зачёт аванса по договору"),-E498,IF(C498="Корректировка (подписана обеими сторонами)",E498,0))))</f>
        <v/>
      </c>
      <c r="H498" s="5">
        <f>IF(OR(C498="Удержание",C498="Зачёт встречного требования",C498="Неустойка заявлена"),N(E498),0)</f>
        <v/>
      </c>
      <c r="I498" s="6">
        <f>IF(AND(B498="",C498="",D498="",E498="",F498=""),"",IF(OR(B498="",C498="",E498=""),"БЛОК: нужны дата, тип операции и сумма",IF(N(E498)&lt;=0,"БЛОК: сумма должна быть больше нуля",IF(AND(G498&lt;&gt;0,F498=""),"БЛОК: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нельзя",IF(AND(F498&lt;&gt;"",COUNTIF('Долг по актам'!$B$5:$B$34,F498)=0),"БЛОК: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договору")&gt;0)*($C$5:$C$504&lt;&gt;C498)*($E$5:$E$504=E498)*(($D$5:$D$504=D498)*(D498&lt;&gt;"")+($B$5:$B$504=B498)*(B498&lt;&gt;"")&gt;0))&gt;0,"БЛОК: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498" s="5">
        <f>IF(AND(B498="",C498="",E498=""),"",SUM($G$5:G498))</f>
        <v/>
      </c>
    </row>
    <row r="499">
      <c r="A499" s="6" t="n">
        <v>495</v>
      </c>
      <c r="B499" s="7" t="n"/>
      <c r="C499" s="8" t="n"/>
      <c r="D499" s="8" t="n"/>
      <c r="E499" s="9" t="n"/>
      <c r="F499" s="8" t="n"/>
      <c r="G499" s="5">
        <f>IF(OR(C499="",E499=""),0,IF(C499="Начисление по акту",E499,IF(OR(C499="Оплата",C499="Зачёт аванса по договору"),-E499,IF(C499="Корректировка (подписана обеими сторонами)",E499,0))))</f>
        <v/>
      </c>
      <c r="H499" s="5">
        <f>IF(OR(C499="Удержание",C499="Зачёт встречного требования",C499="Неустойка заявлена"),N(E499),0)</f>
        <v/>
      </c>
      <c r="I499" s="6">
        <f>IF(AND(B499="",C499="",D499="",E499="",F499=""),"",IF(OR(B499="",C499="",E499=""),"БЛОК: нужны дата, тип операции и сумма",IF(N(E499)&lt;=0,"БЛОК: сумма должна быть больше нуля",IF(AND(G499&lt;&gt;0,F499=""),"БЛОК: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нельзя",IF(AND(F499&lt;&gt;"",COUNTIF('Долг по актам'!$B$5:$B$34,F499)=0),"БЛОК: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договору")&gt;0)*($C$5:$C$504&lt;&gt;C499)*($E$5:$E$504=E499)*(($D$5:$D$504=D499)*(D499&lt;&gt;"")+($B$5:$B$504=B499)*(B499&lt;&gt;"")&gt;0))&gt;0,"БЛОК: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499" s="5">
        <f>IF(AND(B499="",C499="",E499=""),"",SUM($G$5:G499))</f>
        <v/>
      </c>
    </row>
    <row r="500">
      <c r="A500" s="6" t="n">
        <v>496</v>
      </c>
      <c r="B500" s="7" t="n"/>
      <c r="C500" s="8" t="n"/>
      <c r="D500" s="8" t="n"/>
      <c r="E500" s="9" t="n"/>
      <c r="F500" s="8" t="n"/>
      <c r="G500" s="5">
        <f>IF(OR(C500="",E500=""),0,IF(C500="Начисление по акту",E500,IF(OR(C500="Оплата",C500="Зачёт аванса по договору"),-E500,IF(C500="Корректировка (подписана обеими сторонами)",E500,0))))</f>
        <v/>
      </c>
      <c r="H500" s="5">
        <f>IF(OR(C500="Удержание",C500="Зачёт встречного требования",C500="Неустойка заявлена"),N(E500),0)</f>
        <v/>
      </c>
      <c r="I500" s="6">
        <f>IF(AND(B500="",C500="",D500="",E500="",F500=""),"",IF(OR(B500="",C500="",E500=""),"БЛОК: нужны дата, тип операции и сумма",IF(N(E500)&lt;=0,"БЛОК: сумма должна быть больше нуля",IF(AND(G500&lt;&gt;0,F500=""),"БЛОК: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нельзя",IF(AND(F500&lt;&gt;"",COUNTIF('Долг по актам'!$B$5:$B$34,F500)=0),"БЛОК: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договору")&gt;0)*($C$5:$C$504&lt;&gt;C500)*($E$5:$E$504=E500)*(($D$5:$D$504=D500)*(D500&lt;&gt;"")+($B$5:$B$504=B500)*(B500&lt;&gt;"")&gt;0))&gt;0,"БЛОК: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500" s="5">
        <f>IF(AND(B500="",C500="",E500=""),"",SUM($G$5:G500))</f>
        <v/>
      </c>
    </row>
    <row r="501">
      <c r="A501" s="6" t="n">
        <v>497</v>
      </c>
      <c r="B501" s="7" t="n"/>
      <c r="C501" s="8" t="n"/>
      <c r="D501" s="8" t="n"/>
      <c r="E501" s="9" t="n"/>
      <c r="F501" s="8" t="n"/>
      <c r="G501" s="5">
        <f>IF(OR(C501="",E501=""),0,IF(C501="Начисление по акту",E501,IF(OR(C501="Оплата",C501="Зачёт аванса по договору"),-E501,IF(C501="Корректировка (подписана обеими сторонами)",E501,0))))</f>
        <v/>
      </c>
      <c r="H501" s="5">
        <f>IF(OR(C501="Удержание",C501="Зачёт встречного требования",C501="Неустойка заявлена"),N(E501),0)</f>
        <v/>
      </c>
      <c r="I501" s="6">
        <f>IF(AND(B501="",C501="",D501="",E501="",F501=""),"",IF(OR(B501="",C501="",E501=""),"БЛОК: нужны дата, тип операции и сумма",IF(N(E501)&lt;=0,"БЛОК: сумма должна быть больше нуля",IF(AND(G501&lt;&gt;0,F501=""),"БЛОК: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нельзя",IF(AND(F501&lt;&gt;"",COUNTIF('Долг по актам'!$B$5:$B$34,F501)=0),"БЛОК: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договору")&gt;0)*($C$5:$C$504&lt;&gt;C501)*($E$5:$E$504=E501)*(($D$5:$D$504=D501)*(D501&lt;&gt;"")+($B$5:$B$504=B501)*(B501&lt;&gt;"")&gt;0))&gt;0,"БЛОК: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501" s="5">
        <f>IF(AND(B501="",C501="",E501=""),"",SUM($G$5:G501))</f>
        <v/>
      </c>
    </row>
    <row r="502">
      <c r="A502" s="6" t="n">
        <v>498</v>
      </c>
      <c r="B502" s="7" t="n"/>
      <c r="C502" s="8" t="n"/>
      <c r="D502" s="8" t="n"/>
      <c r="E502" s="9" t="n"/>
      <c r="F502" s="8" t="n"/>
      <c r="G502" s="5">
        <f>IF(OR(C502="",E502=""),0,IF(C502="Начисление по акту",E502,IF(OR(C502="Оплата",C502="Зачёт аванса по договору"),-E502,IF(C502="Корректировка (подписана обеими сторонами)",E502,0))))</f>
        <v/>
      </c>
      <c r="H502" s="5">
        <f>IF(OR(C502="Удержание",C502="Зачёт встречного требования",C502="Неустойка заявлена"),N(E502),0)</f>
        <v/>
      </c>
      <c r="I502" s="6">
        <f>IF(AND(B502="",C502="",D502="",E502="",F502=""),"",IF(OR(B502="",C502="",E502=""),"БЛОК: нужны дата, тип операции и сумма",IF(N(E502)&lt;=0,"БЛОК: сумма должна быть больше нуля",IF(AND(G502&lt;&gt;0,F502=""),"БЛОК: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нельзя",IF(AND(F502&lt;&gt;"",COUNTIF('Долг по актам'!$B$5:$B$34,F502)=0),"БЛОК: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договору")&gt;0)*($C$5:$C$504&lt;&gt;C502)*($E$5:$E$504=E502)*(($D$5:$D$504=D502)*(D502&lt;&gt;"")+($B$5:$B$504=B502)*(B502&lt;&gt;"")&gt;0))&gt;0,"БЛОК: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502" s="5">
        <f>IF(AND(B502="",C502="",E502=""),"",SUM($G$5:G502))</f>
        <v/>
      </c>
    </row>
    <row r="503">
      <c r="A503" s="6" t="n">
        <v>499</v>
      </c>
      <c r="B503" s="7" t="n"/>
      <c r="C503" s="8" t="n"/>
      <c r="D503" s="8" t="n"/>
      <c r="E503" s="9" t="n"/>
      <c r="F503" s="8" t="n"/>
      <c r="G503" s="5">
        <f>IF(OR(C503="",E503=""),0,IF(C503="Начисление по акту",E503,IF(OR(C503="Оплата",C503="Зачёт аванса по договору"),-E503,IF(C503="Корректировка (подписана обеими сторонами)",E503,0))))</f>
        <v/>
      </c>
      <c r="H503" s="5">
        <f>IF(OR(C503="Удержание",C503="Зачёт встречного требования",C503="Неустойка заявлена"),N(E503),0)</f>
        <v/>
      </c>
      <c r="I503" s="6">
        <f>IF(AND(B503="",C503="",D503="",E503="",F503=""),"",IF(OR(B503="",C503="",E503=""),"БЛОК: нужны дата, тип операции и сумма",IF(N(E503)&lt;=0,"БЛОК: сумма должна быть больше нуля",IF(AND(G503&lt;&gt;0,F503=""),"БЛОК: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нельзя",IF(AND(F503&lt;&gt;"",COUNTIF('Долг по актам'!$B$5:$B$34,F503)=0),"БЛОК: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договору")&gt;0)*($C$5:$C$504&lt;&gt;C503)*($E$5:$E$504=E503)*(($D$5:$D$504=D503)*(D503&lt;&gt;"")+($B$5:$B$504=B503)*(B503&lt;&gt;"")&gt;0))&gt;0,"БЛОК: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503" s="5">
        <f>IF(AND(B503="",C503="",E503=""),"",SUM($G$5:G503))</f>
        <v/>
      </c>
    </row>
    <row r="504">
      <c r="A504" s="6" t="n">
        <v>500</v>
      </c>
      <c r="B504" s="7" t="n"/>
      <c r="C504" s="8" t="n"/>
      <c r="D504" s="8" t="n"/>
      <c r="E504" s="9" t="n"/>
      <c r="F504" s="8" t="n"/>
      <c r="G504" s="5">
        <f>IF(OR(C504="",E504=""),0,IF(C504="Начисление по акту",E504,IF(OR(C504="Оплата",C504="Зачёт аванса по договору"),-E504,IF(C504="Корректировка (подписана обеими сторонами)",E504,0))))</f>
        <v/>
      </c>
      <c r="H504" s="5">
        <f>IF(OR(C504="Удержание",C504="Зачёт встречного требования",C504="Неустойка заявлена"),N(E504),0)</f>
        <v/>
      </c>
      <c r="I504" s="6">
        <f>IF(AND(B504="",C504="",D504="",E504="",F504=""),"",IF(OR(B504="",C504="",E504=""),"БЛОК: нужны дата, тип операции и сумма",IF(N(E504)&lt;=0,"БЛОК: сумма должна быть больше нуля",IF(AND(G504&lt;&gt;0,F504=""),"БЛОК: не указан акт — платёж не отнесён к конкретному акту. Распределите его документально (назначение платежа, соглашение, письмо) и укажите акт: без этого долг на первый день просрочки и проценты посчитать нельзя",IF(AND(F504&lt;&gt;"",COUNTIF('Долг по актам'!$B$5:$B$34,F504)=0),"БЛОК: такого акта нет на листе «Долг по актам» — добавьте акт или исправьте идентификатор",IF(SUMPRODUCT((($C$5:$C$504="Оплата")+($C$5:$C$504="Зачёт аванса по договору")&gt;0)*($C$5:$C$504&lt;&gt;C504)*($E$5:$E$504=E504)*(($D$5:$D$504=D504)*(D504&lt;&gt;"")+($B$5:$B$504=B504)*(B504&lt;&gt;"")&gt;0))&gt;0,"БЛОК: двойной учёт аванса — эта сумма введена и как «Оплата», и как «Зачёт аванса по договору» с тем же документом или той же датой. Аванс, зачтённый в акт, учитывается один раз: оставьте одну операцию","ок"))))))</f>
        <v/>
      </c>
      <c r="J504" s="5">
        <f>IF(AND(B504="",C504="",E504=""),"",SUM($G$5:G504))</f>
        <v/>
      </c>
    </row>
  </sheetData>
  <mergeCells count="3">
    <mergeCell ref="L15:M20"/>
    <mergeCell ref="A1:J1"/>
    <mergeCell ref="A2:J2"/>
  </mergeCells>
  <dataValidations count="1">
    <dataValidation sqref="C5:C504" showDropDown="0" showInputMessage="0" showErrorMessage="0" allowBlank="1" errorTitle="Недопустимое значение" error="Выберите значение из списка" type="list">
      <formula1>"Начисление по акту,Оплата,Зачёт аванса по договору,Корректировка (подписана обеими сторонами),Удержание,Зачёт встречного требования,Неустойка заявлена"</formula1>
    </dataValidation>
  </dataValidation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4" customWidth="1" min="3" max="3"/>
    <col width="18" customWidth="1" min="4" max="4"/>
    <col width="14" customWidth="1" min="5" max="5"/>
    <col width="18" customWidth="1" min="6" max="6"/>
    <col width="18" customWidth="1" min="7" max="7"/>
    <col width="22" customWidth="1" min="8" max="8"/>
    <col width="20" customWidth="1" min="9" max="9"/>
    <col width="20" customWidth="1" min="10" max="10"/>
    <col width="52" customWidth="1" min="11" max="11"/>
    <col width="20" customWidth="1" min="12" max="12"/>
    <col width="3" customWidth="1" min="13" max="13"/>
    <col width="52" customWidth="1" min="14" max="14"/>
    <col width="22" customWidth="1" min="15" max="15"/>
  </cols>
  <sheetData>
    <row r="1" ht="18" customHeight="1">
      <c r="A1" s="1" t="inlineStr">
        <is>
          <t>Долг по актам: что переносить в расчёт процентов</t>
        </is>
      </c>
    </row>
    <row r="2" ht="33" customHeight="1">
      <c r="A2" s="2" t="inlineStr">
        <is>
          <t>Одна строка — один акт (или часть долга) со своим сроком оплаты. Начисления, оплаты и зачёты берутся из листа «Взаиморасчёты» по идентификатору акта. Колонка H — долг на первый день просрочки: он нужен файлу 08, лист «Акты». Колонка J — текущий остаток: он нужен там же для сверки, но не как сумма долга. Оплаты, поступившие в первый день просрочки и позже, переносятся в файл 08, лист «Оплаты», с тем же идентификатором акта.</t>
        </is>
      </c>
    </row>
    <row r="4">
      <c r="A4" s="3" t="inlineStr">
        <is>
          <t>№</t>
        </is>
      </c>
      <c r="B4" s="3" t="inlineStr">
        <is>
          <t>Акт (идентификатор)</t>
        </is>
      </c>
      <c r="C4" s="3" t="inlineStr">
        <is>
          <t>Документ (КС-2 / акт: №, дата)</t>
        </is>
      </c>
      <c r="D4" s="3" t="inlineStr">
        <is>
          <t>Последний день срока оплаты по этому акту</t>
        </is>
      </c>
      <c r="E4" s="3" t="inlineStr">
        <is>
          <t>Первый день просрочки</t>
        </is>
      </c>
      <c r="F4" s="3" t="inlineStr">
        <is>
          <t>Начислено и скорректировано, руб.</t>
        </is>
      </c>
      <c r="G4" s="3" t="inlineStr">
        <is>
          <t>Оплачено и зачтено до первого дня просрочки, руб.</t>
        </is>
      </c>
      <c r="H4" s="3" t="inlineStr">
        <is>
          <t>ДОЛГ НА ПЕРВЫЙ ДЕНЬ ПРОСРОЧКИ, руб. → файл 08, «Акты»</t>
        </is>
      </c>
      <c r="I4" s="3" t="inlineStr">
        <is>
          <t>Оплачено с первого дня просрочки, руб. → файл 08, «Оплаты»</t>
        </is>
      </c>
      <c r="J4" s="3" t="inlineStr">
        <is>
          <t>Текущий остаток по акту, руб. → файл 08, «Акты», сверка</t>
        </is>
      </c>
      <c r="K4" s="3" t="inlineStr">
        <is>
          <t>Проверка</t>
        </is>
      </c>
      <c r="L4" s="3" t="inlineStr">
        <is>
          <t>Переносить в файл 08</t>
        </is>
      </c>
      <c r="N4" s="4" t="inlineStr">
        <is>
          <t>Актов к переносу в файл 08</t>
        </is>
      </c>
      <c r="O4" s="5">
        <f>COUNTIF(L5:L34,"да")</f>
        <v/>
      </c>
    </row>
    <row r="5">
      <c r="A5" s="6" t="n">
        <v>1</v>
      </c>
      <c r="B5" s="8" t="n"/>
      <c r="C5" s="8" t="n"/>
      <c r="D5" s="7" t="n"/>
      <c r="E5" s="11">
        <f>IF(ISNUMBER(D5),D5+1,"")</f>
        <v/>
      </c>
      <c r="F5" s="5">
        <f>IF(B5="","",SUMIFS(Взаиморасчёты!$E$5:$E$504,Взаиморасчёты!$C$5:$C$504,"Начисление по акту",Взаиморасчёты!$F$5:$F$504,B5)+SUMIFS(Взаиморасчёты!$E$5:$E$504,Взаиморасчёты!$C$5:$C$504,"Корректировка (подписана обеими сторонами)",Взаиморасчёты!$F$5:$F$504,B5))</f>
        <v/>
      </c>
      <c r="G5" s="5">
        <f>IF(OR(B5="",E5=""),"",SUMIFS(Взаиморасчёты!$E$5:$E$504,Взаиморасчёты!$C$5:$C$504,"Оплата",Взаиморасчёты!$F$5:$F$504,B5,Взаиморасчёты!$B$5:$B$504,"&lt;"&amp;E5)+SUMIFS(Взаиморасчёты!$E$5:$E$504,Взаиморасчёты!$C$5:$C$504,"Зачёт аванса по договору",Взаиморасчёты!$F$5:$F$504,B5,Взаиморасчёты!$B$5:$B$504,"&lt;"&amp;E5))</f>
        <v/>
      </c>
      <c r="H5" s="5">
        <f>IF(OR(B5="",E5=""),"",IF(NOT(ISNUMBER(Взаиморасчёты!$M$10)),"ЗАБЛОКИРОВАН",F5-G5))</f>
        <v/>
      </c>
      <c r="I5" s="5">
        <f>IF(OR(B5="",E5=""),"",SUMIFS(Взаиморасчёты!$E$5:$E$504,Взаиморасчёты!$C$5:$C$504,"Оплата",Взаиморасчёты!$F$5:$F$504,B5,Взаиморасчёты!$B$5:$B$504,"&gt;="&amp;E5)+SUMIFS(Взаиморасчёты!$E$5:$E$504,Взаиморасчёты!$C$5:$C$504,"Зачёт аванса по договору",Взаиморасчёты!$F$5:$F$504,B5,Взаиморасчёты!$B$5:$B$504,"&gt;="&amp;E5))</f>
        <v/>
      </c>
      <c r="J5" s="5">
        <f>IF(OR(B5="",E5=""),"",IF(NOT(ISNUMBER(H5)),"ЗАБЛОКИРОВАН",H5-I5))</f>
        <v/>
      </c>
      <c r="K5" s="6">
        <f>IF(AND(B5="",C5="",D5=""),"",IF(B5="","БЛОК: нужен идентификатор акта — по нему распределяются оплаты",IF(COUNTIF($B$5:$B$34,B5)&gt;1,"БЛОК: идентификатор акта повторяется — оплату нельзя отнести однозначно",IF(NOT(ISNUMBER(D5)),"БЛОК: нужен последний день срока оплаты по этому акту",IF(COUNTIF(Взаиморасчёты!$F$5:$F$504,B5)=0,"БЛОК: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переносится",IF(N(H5)&lt;0,"БЛОК: до первого дня просрочки оплачено и зачтено больше, чем начислено по акту — проверьте распределение",IF(N(J5)&lt;0,"БЛОК: оплаты с первого дня просрочки больше долга на первый день просрочки — проверьте распределение","ок"))))))))</f>
        <v/>
      </c>
      <c r="L5" s="6">
        <f>IF(OR(B5="",K5&lt;&gt;"ок"),"",IF(N(H5)&gt;0,"да","нет: долга на первый день просрочки нет"))</f>
        <v/>
      </c>
      <c r="N5" s="4" t="inlineStr">
        <is>
          <t>Строк с ошибкой в колонке «Проверка»</t>
        </is>
      </c>
      <c r="O5" s="5">
        <f>COUNTIF(K5:K34,"БЛОК*")</f>
        <v/>
      </c>
    </row>
    <row r="6">
      <c r="A6" s="6" t="n">
        <v>2</v>
      </c>
      <c r="B6" s="8" t="n"/>
      <c r="C6" s="8" t="n"/>
      <c r="D6" s="7" t="n"/>
      <c r="E6" s="11">
        <f>IF(ISNUMBER(D6),D6+1,"")</f>
        <v/>
      </c>
      <c r="F6" s="5">
        <f>IF(B6="","",SUMIFS(Взаиморасчёты!$E$5:$E$504,Взаиморасчёты!$C$5:$C$504,"Начисление по акту",Взаиморасчёты!$F$5:$F$504,B6)+SUMIFS(Взаиморасчёты!$E$5:$E$504,Взаиморасчёты!$C$5:$C$504,"Корректировка (подписана обеими сторонами)",Взаиморасчёты!$F$5:$F$504,B6))</f>
        <v/>
      </c>
      <c r="G6" s="5">
        <f>IF(OR(B6="",E6=""),"",SUMIFS(Взаиморасчёты!$E$5:$E$504,Взаиморасчёты!$C$5:$C$504,"Оплата",Взаиморасчёты!$F$5:$F$504,B6,Взаиморасчёты!$B$5:$B$504,"&lt;"&amp;E6)+SUMIFS(Взаиморасчёты!$E$5:$E$504,Взаиморасчёты!$C$5:$C$504,"Зачёт аванса по договору",Взаиморасчёты!$F$5:$F$504,B6,Взаиморасчёты!$B$5:$B$504,"&lt;"&amp;E6))</f>
        <v/>
      </c>
      <c r="H6" s="5">
        <f>IF(OR(B6="",E6=""),"",IF(NOT(ISNUMBER(Взаиморасчёты!$M$10)),"ЗАБЛОКИРОВАН",F6-G6))</f>
        <v/>
      </c>
      <c r="I6" s="5">
        <f>IF(OR(B6="",E6=""),"",SUMIFS(Взаиморасчёты!$E$5:$E$504,Взаиморасчёты!$C$5:$C$504,"Оплата",Взаиморасчёты!$F$5:$F$504,B6,Взаиморасчёты!$B$5:$B$504,"&gt;="&amp;E6)+SUMIFS(Взаиморасчёты!$E$5:$E$504,Взаиморасчёты!$C$5:$C$504,"Зачёт аванса по договору",Взаиморасчёты!$F$5:$F$504,B6,Взаиморасчёты!$B$5:$B$504,"&gt;="&amp;E6))</f>
        <v/>
      </c>
      <c r="J6" s="5">
        <f>IF(OR(B6="",E6=""),"",IF(NOT(ISNUMBER(H6)),"ЗАБЛОКИРОВАН",H6-I6))</f>
        <v/>
      </c>
      <c r="K6" s="6">
        <f>IF(AND(B6="",C6="",D6=""),"",IF(B6="","БЛОК: нужен идентификатор акта — по нему распределяются оплаты",IF(COUNTIF($B$5:$B$34,B6)&gt;1,"БЛОК: идентификатор акта повторяется — оплату нельзя отнести однозначно",IF(NOT(ISNUMBER(D6)),"БЛОК: нужен последний день срока оплаты по этому акту",IF(COUNTIF(Взаиморасчёты!$F$5:$F$504,B6)=0,"БЛОК: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переносится",IF(N(H6)&lt;0,"БЛОК: до первого дня просрочки оплачено и зачтено больше, чем начислено по акту — проверьте распределение",IF(N(J6)&lt;0,"БЛОК: оплаты с первого дня просрочки больше долга на первый день просрочки — проверьте распределение","ок"))))))))</f>
        <v/>
      </c>
      <c r="L6" s="6">
        <f>IF(OR(B6="",K6&lt;&gt;"ок"),"",IF(N(H6)&gt;0,"да","нет: долга на первый день просрочки нет"))</f>
        <v/>
      </c>
      <c r="N6" s="4" t="inlineStr">
        <is>
          <t>Записей ниже таблицы (не учтены)</t>
        </is>
      </c>
      <c r="O6" s="5">
        <f>COUNTA(A35:L1000)</f>
        <v/>
      </c>
    </row>
    <row r="7">
      <c r="A7" s="6" t="n">
        <v>3</v>
      </c>
      <c r="B7" s="8" t="n"/>
      <c r="C7" s="8" t="n"/>
      <c r="D7" s="7" t="n"/>
      <c r="E7" s="11">
        <f>IF(ISNUMBER(D7),D7+1,"")</f>
        <v/>
      </c>
      <c r="F7" s="5">
        <f>IF(B7="","",SUMIFS(Взаиморасчёты!$E$5:$E$504,Взаиморасчёты!$C$5:$C$504,"Начисление по акту",Взаиморасчёты!$F$5:$F$504,B7)+SUMIFS(Взаиморасчёты!$E$5:$E$504,Взаиморасчёты!$C$5:$C$504,"Корректировка (подписана обеими сторонами)",Взаиморасчёты!$F$5:$F$504,B7))</f>
        <v/>
      </c>
      <c r="G7" s="5">
        <f>IF(OR(B7="",E7=""),"",SUMIFS(Взаиморасчёты!$E$5:$E$504,Взаиморасчёты!$C$5:$C$504,"Оплата",Взаиморасчёты!$F$5:$F$504,B7,Взаиморасчёты!$B$5:$B$504,"&lt;"&amp;E7)+SUMIFS(Взаиморасчёты!$E$5:$E$504,Взаиморасчёты!$C$5:$C$504,"Зачёт аванса по договору",Взаиморасчёты!$F$5:$F$504,B7,Взаиморасчёты!$B$5:$B$504,"&lt;"&amp;E7))</f>
        <v/>
      </c>
      <c r="H7" s="5">
        <f>IF(OR(B7="",E7=""),"",IF(NOT(ISNUMBER(Взаиморасчёты!$M$10)),"ЗАБЛОКИРОВАН",F7-G7))</f>
        <v/>
      </c>
      <c r="I7" s="5">
        <f>IF(OR(B7="",E7=""),"",SUMIFS(Взаиморасчёты!$E$5:$E$504,Взаиморасчёты!$C$5:$C$504,"Оплата",Взаиморасчёты!$F$5:$F$504,B7,Взаиморасчёты!$B$5:$B$504,"&gt;="&amp;E7)+SUMIFS(Взаиморасчёты!$E$5:$E$504,Взаиморасчёты!$C$5:$C$504,"Зачёт аванса по договору",Взаиморасчёты!$F$5:$F$504,B7,Взаиморасчёты!$B$5:$B$504,"&gt;="&amp;E7))</f>
        <v/>
      </c>
      <c r="J7" s="5">
        <f>IF(OR(B7="",E7=""),"",IF(NOT(ISNUMBER(H7)),"ЗАБЛОКИРОВАН",H7-I7))</f>
        <v/>
      </c>
      <c r="K7" s="6">
        <f>IF(AND(B7="",C7="",D7=""),"",IF(B7="","БЛОК: нужен идентификатор акта — по нему распределяются оплаты",IF(COUNTIF($B$5:$B$34,B7)&gt;1,"БЛОК: идентификатор акта повторяется — оплату нельзя отнести однозначно",IF(NOT(ISNUMBER(D7)),"БЛОК: нужен последний день срока оплаты по этому акту",IF(COUNTIF(Взаиморасчёты!$F$5:$F$504,B7)=0,"БЛОК: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переносится",IF(N(H7)&lt;0,"БЛОК: до первого дня просрочки оплачено и зачтено больше, чем начислено по акту — проверьте распределение",IF(N(J7)&lt;0,"БЛОК: оплаты с первого дня просрочки больше долга на первый день просрочки — проверьте распределение","ок"))))))))</f>
        <v/>
      </c>
      <c r="L7" s="6">
        <f>IF(OR(B7="",K7&lt;&gt;"ок"),"",IF(N(H7)&gt;0,"да","нет: долга на первый день просрочки нет"))</f>
        <v/>
      </c>
      <c r="N7" s="4" t="inlineStr">
        <is>
          <t>Долг на первый день просрочки, всего по переносимым актам, руб.</t>
        </is>
      </c>
      <c r="O7" s="5">
        <f>IF(OR(O5&gt;0,O6&gt;0),"ИТОГ ЗАБЛОКИРОВАН: см. колонку «Проверка»",SUMIF(L5:L34,"да",H5:H34))</f>
        <v/>
      </c>
    </row>
    <row r="8">
      <c r="A8" s="6" t="n">
        <v>4</v>
      </c>
      <c r="B8" s="8" t="n"/>
      <c r="C8" s="8" t="n"/>
      <c r="D8" s="7" t="n"/>
      <c r="E8" s="11">
        <f>IF(ISNUMBER(D8),D8+1,"")</f>
        <v/>
      </c>
      <c r="F8" s="5">
        <f>IF(B8="","",SUMIFS(Взаиморасчёты!$E$5:$E$504,Взаиморасчёты!$C$5:$C$504,"Начисление по акту",Взаиморасчёты!$F$5:$F$504,B8)+SUMIFS(Взаиморасчёты!$E$5:$E$504,Взаиморасчёты!$C$5:$C$504,"Корректировка (подписана обеими сторонами)",Взаиморасчёты!$F$5:$F$504,B8))</f>
        <v/>
      </c>
      <c r="G8" s="5">
        <f>IF(OR(B8="",E8=""),"",SUMIFS(Взаиморасчёты!$E$5:$E$504,Взаиморасчёты!$C$5:$C$504,"Оплата",Взаиморасчёты!$F$5:$F$504,B8,Взаиморасчёты!$B$5:$B$504,"&lt;"&amp;E8)+SUMIFS(Взаиморасчёты!$E$5:$E$504,Взаиморасчёты!$C$5:$C$504,"Зачёт аванса по договору",Взаиморасчёты!$F$5:$F$504,B8,Взаиморасчёты!$B$5:$B$504,"&lt;"&amp;E8))</f>
        <v/>
      </c>
      <c r="H8" s="5">
        <f>IF(OR(B8="",E8=""),"",IF(NOT(ISNUMBER(Взаиморасчёты!$M$10)),"ЗАБЛОКИРОВАН",F8-G8))</f>
        <v/>
      </c>
      <c r="I8" s="5">
        <f>IF(OR(B8="",E8=""),"",SUMIFS(Взаиморасчёты!$E$5:$E$504,Взаиморасчёты!$C$5:$C$504,"Оплата",Взаиморасчёты!$F$5:$F$504,B8,Взаиморасчёты!$B$5:$B$504,"&gt;="&amp;E8)+SUMIFS(Взаиморасчёты!$E$5:$E$504,Взаиморасчёты!$C$5:$C$504,"Зачёт аванса по договору",Взаиморасчёты!$F$5:$F$504,B8,Взаиморасчёты!$B$5:$B$504,"&gt;="&amp;E8))</f>
        <v/>
      </c>
      <c r="J8" s="5">
        <f>IF(OR(B8="",E8=""),"",IF(NOT(ISNUMBER(H8)),"ЗАБЛОКИРОВАН",H8-I8))</f>
        <v/>
      </c>
      <c r="K8" s="6">
        <f>IF(AND(B8="",C8="",D8=""),"",IF(B8="","БЛОК: нужен идентификатор акта — по нему распределяются оплаты",IF(COUNTIF($B$5:$B$34,B8)&gt;1,"БЛОК: идентификатор акта повторяется — оплату нельзя отнести однозначно",IF(NOT(ISNUMBER(D8)),"БЛОК: нужен последний день срока оплаты по этому акту",IF(COUNTIF(Взаиморасчёты!$F$5:$F$504,B8)=0,"БЛОК: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переносится",IF(N(H8)&lt;0,"БЛОК: до первого дня просрочки оплачено и зачтено больше, чем начислено по акту — проверьте распределение",IF(N(J8)&lt;0,"БЛОК: оплаты с первого дня просрочки больше долга на первый день просрочки — проверьте распределение","ок"))))))))</f>
        <v/>
      </c>
      <c r="L8" s="6">
        <f>IF(OR(B8="",K8&lt;&gt;"ок"),"",IF(N(H8)&gt;0,"да","нет: долга на первый день просрочки нет"))</f>
        <v/>
      </c>
      <c r="N8" s="4" t="inlineStr">
        <is>
          <t>Текущий остаток, всего по переносимым актам, руб.</t>
        </is>
      </c>
      <c r="O8" s="5">
        <f>IF(OR(O5&gt;0,O6&gt;0),"ИТОГ ЗАБЛОКИРОВАН: см. колонку «Проверка»",SUMIF(L5:L34,"да",J5:J34))</f>
        <v/>
      </c>
    </row>
    <row r="9">
      <c r="A9" s="6" t="n">
        <v>5</v>
      </c>
      <c r="B9" s="8" t="n"/>
      <c r="C9" s="8" t="n"/>
      <c r="D9" s="7" t="n"/>
      <c r="E9" s="11">
        <f>IF(ISNUMBER(D9),D9+1,"")</f>
        <v/>
      </c>
      <c r="F9" s="5">
        <f>IF(B9="","",SUMIFS(Взаиморасчёты!$E$5:$E$504,Взаиморасчёты!$C$5:$C$504,"Начисление по акту",Взаиморасчёты!$F$5:$F$504,B9)+SUMIFS(Взаиморасчёты!$E$5:$E$504,Взаиморасчёты!$C$5:$C$504,"Корректировка (подписана обеими сторонами)",Взаиморасчёты!$F$5:$F$504,B9))</f>
        <v/>
      </c>
      <c r="G9" s="5">
        <f>IF(OR(B9="",E9=""),"",SUMIFS(Взаиморасчёты!$E$5:$E$504,Взаиморасчёты!$C$5:$C$504,"Оплата",Взаиморасчёты!$F$5:$F$504,B9,Взаиморасчёты!$B$5:$B$504,"&lt;"&amp;E9)+SUMIFS(Взаиморасчёты!$E$5:$E$504,Взаиморасчёты!$C$5:$C$504,"Зачёт аванса по договору",Взаиморасчёты!$F$5:$F$504,B9,Взаиморасчёты!$B$5:$B$504,"&lt;"&amp;E9))</f>
        <v/>
      </c>
      <c r="H9" s="5">
        <f>IF(OR(B9="",E9=""),"",IF(NOT(ISNUMBER(Взаиморасчёты!$M$10)),"ЗАБЛОКИРОВАН",F9-G9))</f>
        <v/>
      </c>
      <c r="I9" s="5">
        <f>IF(OR(B9="",E9=""),"",SUMIFS(Взаиморасчёты!$E$5:$E$504,Взаиморасчёты!$C$5:$C$504,"Оплата",Взаиморасчёты!$F$5:$F$504,B9,Взаиморасчёты!$B$5:$B$504,"&gt;="&amp;E9)+SUMIFS(Взаиморасчёты!$E$5:$E$504,Взаиморасчёты!$C$5:$C$504,"Зачёт аванса по договору",Взаиморасчёты!$F$5:$F$504,B9,Взаиморасчёты!$B$5:$B$504,"&gt;="&amp;E9))</f>
        <v/>
      </c>
      <c r="J9" s="5">
        <f>IF(OR(B9="",E9=""),"",IF(NOT(ISNUMBER(H9)),"ЗАБЛОКИРОВАН",H9-I9))</f>
        <v/>
      </c>
      <c r="K9" s="6">
        <f>IF(AND(B9="",C9="",D9=""),"",IF(B9="","БЛОК: нужен идентификатор акта — по нему распределяются оплаты",IF(COUNTIF($B$5:$B$34,B9)&gt;1,"БЛОК: идентификатор акта повторяется — оплату нельзя отнести однозначно",IF(NOT(ISNUMBER(D9)),"БЛОК: нужен последний день срока оплаты по этому акту",IF(COUNTIF(Взаиморасчёты!$F$5:$F$504,B9)=0,"БЛОК: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переносится",IF(N(H9)&lt;0,"БЛОК: до первого дня просрочки оплачено и зачтено больше, чем начислено по акту — проверьте распределение",IF(N(J9)&lt;0,"БЛОК: оплаты с первого дня просрочки больше долга на первый день просрочки — проверьте распределение","ок"))))))))</f>
        <v/>
      </c>
      <c r="L9" s="6">
        <f>IF(OR(B9="",K9&lt;&gt;"ок"),"",IF(N(H9)&gt;0,"да","нет: долга на первый день просрочки нет"))</f>
        <v/>
      </c>
    </row>
    <row r="10">
      <c r="A10" s="6" t="n">
        <v>6</v>
      </c>
      <c r="B10" s="8" t="n"/>
      <c r="C10" s="8" t="n"/>
      <c r="D10" s="7" t="n"/>
      <c r="E10" s="11">
        <f>IF(ISNUMBER(D10),D10+1,"")</f>
        <v/>
      </c>
      <c r="F10" s="5">
        <f>IF(B10="","",SUMIFS(Взаиморасчёты!$E$5:$E$504,Взаиморасчёты!$C$5:$C$504,"Начисление по акту",Взаиморасчёты!$F$5:$F$504,B10)+SUMIFS(Взаиморасчёты!$E$5:$E$504,Взаиморасчёты!$C$5:$C$504,"Корректировка (подписана обеими сторонами)",Взаиморасчёты!$F$5:$F$504,B10))</f>
        <v/>
      </c>
      <c r="G10" s="5">
        <f>IF(OR(B10="",E10=""),"",SUMIFS(Взаиморасчёты!$E$5:$E$504,Взаиморасчёты!$C$5:$C$504,"Оплата",Взаиморасчёты!$F$5:$F$504,B10,Взаиморасчёты!$B$5:$B$504,"&lt;"&amp;E10)+SUMIFS(Взаиморасчёты!$E$5:$E$504,Взаиморасчёты!$C$5:$C$504,"Зачёт аванса по договору",Взаиморасчёты!$F$5:$F$504,B10,Взаиморасчёты!$B$5:$B$504,"&lt;"&amp;E10))</f>
        <v/>
      </c>
      <c r="H10" s="5">
        <f>IF(OR(B10="",E10=""),"",IF(NOT(ISNUMBER(Взаиморасчёты!$M$10)),"ЗАБЛОКИРОВАН",F10-G10))</f>
        <v/>
      </c>
      <c r="I10" s="5">
        <f>IF(OR(B10="",E10=""),"",SUMIFS(Взаиморасчёты!$E$5:$E$504,Взаиморасчёты!$C$5:$C$504,"Оплата",Взаиморасчёты!$F$5:$F$504,B10,Взаиморасчёты!$B$5:$B$504,"&gt;="&amp;E10)+SUMIFS(Взаиморасчёты!$E$5:$E$504,Взаиморасчёты!$C$5:$C$504,"Зачёт аванса по договору",Взаиморасчёты!$F$5:$F$504,B10,Взаиморасчёты!$B$5:$B$504,"&gt;="&amp;E10))</f>
        <v/>
      </c>
      <c r="J10" s="5">
        <f>IF(OR(B10="",E10=""),"",IF(NOT(ISNUMBER(H10)),"ЗАБЛОКИРОВАН",H10-I10))</f>
        <v/>
      </c>
      <c r="K10" s="6">
        <f>IF(AND(B10="",C10="",D10=""),"",IF(B10="","БЛОК: нужен идентификатор акта — по нему распределяются оплаты",IF(COUNTIF($B$5:$B$34,B10)&gt;1,"БЛОК: идентификатор акта повторяется — оплату нельзя отнести однозначно",IF(NOT(ISNUMBER(D10)),"БЛОК: нужен последний день срока оплаты по этому акту",IF(COUNTIF(Взаиморасчёты!$F$5:$F$504,B10)=0,"БЛОК: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переносится",IF(N(H10)&lt;0,"БЛОК: до первого дня просрочки оплачено и зачтено больше, чем начислено по акту — проверьте распределение",IF(N(J10)&lt;0,"БЛОК: оплаты с первого дня просрочки больше долга на первый день просрочки — проверьте распределение","ок"))))))))</f>
        <v/>
      </c>
      <c r="L10" s="6">
        <f>IF(OR(B10="",K10&lt;&gt;"ок"),"",IF(N(H10)&gt;0,"да","нет: долга на первый день просрочки нет"))</f>
        <v/>
      </c>
    </row>
    <row r="11">
      <c r="A11" s="6" t="n">
        <v>7</v>
      </c>
      <c r="B11" s="8" t="n"/>
      <c r="C11" s="8" t="n"/>
      <c r="D11" s="7" t="n"/>
      <c r="E11" s="11">
        <f>IF(ISNUMBER(D11),D11+1,"")</f>
        <v/>
      </c>
      <c r="F11" s="5">
        <f>IF(B11="","",SUMIFS(Взаиморасчёты!$E$5:$E$504,Взаиморасчёты!$C$5:$C$504,"Начисление по акту",Взаиморасчёты!$F$5:$F$504,B11)+SUMIFS(Взаиморасчёты!$E$5:$E$504,Взаиморасчёты!$C$5:$C$504,"Корректировка (подписана обеими сторонами)",Взаиморасчёты!$F$5:$F$504,B11))</f>
        <v/>
      </c>
      <c r="G11" s="5">
        <f>IF(OR(B11="",E11=""),"",SUMIFS(Взаиморасчёты!$E$5:$E$504,Взаиморасчёты!$C$5:$C$504,"Оплата",Взаиморасчёты!$F$5:$F$504,B11,Взаиморасчёты!$B$5:$B$504,"&lt;"&amp;E11)+SUMIFS(Взаиморасчёты!$E$5:$E$504,Взаиморасчёты!$C$5:$C$504,"Зачёт аванса по договору",Взаиморасчёты!$F$5:$F$504,B11,Взаиморасчёты!$B$5:$B$504,"&lt;"&amp;E11))</f>
        <v/>
      </c>
      <c r="H11" s="5">
        <f>IF(OR(B11="",E11=""),"",IF(NOT(ISNUMBER(Взаиморасчёты!$M$10)),"ЗАБЛОКИРОВАН",F11-G11))</f>
        <v/>
      </c>
      <c r="I11" s="5">
        <f>IF(OR(B11="",E11=""),"",SUMIFS(Взаиморасчёты!$E$5:$E$504,Взаиморасчёты!$C$5:$C$504,"Оплата",Взаиморасчёты!$F$5:$F$504,B11,Взаиморасчёты!$B$5:$B$504,"&gt;="&amp;E11)+SUMIFS(Взаиморасчёты!$E$5:$E$504,Взаиморасчёты!$C$5:$C$504,"Зачёт аванса по договору",Взаиморасчёты!$F$5:$F$504,B11,Взаиморасчёты!$B$5:$B$504,"&gt;="&amp;E11))</f>
        <v/>
      </c>
      <c r="J11" s="5">
        <f>IF(OR(B11="",E11=""),"",IF(NOT(ISNUMBER(H11)),"ЗАБЛОКИРОВАН",H11-I11))</f>
        <v/>
      </c>
      <c r="K11" s="6">
        <f>IF(AND(B11="",C11="",D11=""),"",IF(B11="","БЛОК: нужен идентификатор акта — по нему распределяются оплаты",IF(COUNTIF($B$5:$B$34,B11)&gt;1,"БЛОК: идентификатор акта повторяется — оплату нельзя отнести однозначно",IF(NOT(ISNUMBER(D11)),"БЛОК: нужен последний день срока оплаты по этому акту",IF(COUNTIF(Взаиморасчёты!$F$5:$F$504,B11)=0,"БЛОК: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переносится",IF(N(H11)&lt;0,"БЛОК: до первого дня просрочки оплачено и зачтено больше, чем начислено по акту — проверьте распределение",IF(N(J11)&lt;0,"БЛОК: оплаты с первого дня просрочки больше долга на первый день просрочки — проверьте распределение","ок"))))))))</f>
        <v/>
      </c>
      <c r="L11" s="6">
        <f>IF(OR(B11="",K11&lt;&gt;"ок"),"",IF(N(H11)&gt;0,"да","нет: долга на первый день просрочки нет"))</f>
        <v/>
      </c>
    </row>
    <row r="12">
      <c r="A12" s="6" t="n">
        <v>8</v>
      </c>
      <c r="B12" s="8" t="n"/>
      <c r="C12" s="8" t="n"/>
      <c r="D12" s="7" t="n"/>
      <c r="E12" s="11">
        <f>IF(ISNUMBER(D12),D12+1,"")</f>
        <v/>
      </c>
      <c r="F12" s="5">
        <f>IF(B12="","",SUMIFS(Взаиморасчёты!$E$5:$E$504,Взаиморасчёты!$C$5:$C$504,"Начисление по акту",Взаиморасчёты!$F$5:$F$504,B12)+SUMIFS(Взаиморасчёты!$E$5:$E$504,Взаиморасчёты!$C$5:$C$504,"Корректировка (подписана обеими сторонами)",Взаиморасчёты!$F$5:$F$504,B12))</f>
        <v/>
      </c>
      <c r="G12" s="5">
        <f>IF(OR(B12="",E12=""),"",SUMIFS(Взаиморасчёты!$E$5:$E$504,Взаиморасчёты!$C$5:$C$504,"Оплата",Взаиморасчёты!$F$5:$F$504,B12,Взаиморасчёты!$B$5:$B$504,"&lt;"&amp;E12)+SUMIFS(Взаиморасчёты!$E$5:$E$504,Взаиморасчёты!$C$5:$C$504,"Зачёт аванса по договору",Взаиморасчёты!$F$5:$F$504,B12,Взаиморасчёты!$B$5:$B$504,"&lt;"&amp;E12))</f>
        <v/>
      </c>
      <c r="H12" s="5">
        <f>IF(OR(B12="",E12=""),"",IF(NOT(ISNUMBER(Взаиморасчёты!$M$10)),"ЗАБЛОКИРОВАН",F12-G12))</f>
        <v/>
      </c>
      <c r="I12" s="5">
        <f>IF(OR(B12="",E12=""),"",SUMIFS(Взаиморасчёты!$E$5:$E$504,Взаиморасчёты!$C$5:$C$504,"Оплата",Взаиморасчёты!$F$5:$F$504,B12,Взаиморасчёты!$B$5:$B$504,"&gt;="&amp;E12)+SUMIFS(Взаиморасчёты!$E$5:$E$504,Взаиморасчёты!$C$5:$C$504,"Зачёт аванса по договору",Взаиморасчёты!$F$5:$F$504,B12,Взаиморасчёты!$B$5:$B$504,"&gt;="&amp;E12))</f>
        <v/>
      </c>
      <c r="J12" s="5">
        <f>IF(OR(B12="",E12=""),"",IF(NOT(ISNUMBER(H12)),"ЗАБЛОКИРОВАН",H12-I12))</f>
        <v/>
      </c>
      <c r="K12" s="6">
        <f>IF(AND(B12="",C12="",D12=""),"",IF(B12="","БЛОК: нужен идентификатор акта — по нему распределяются оплаты",IF(COUNTIF($B$5:$B$34,B12)&gt;1,"БЛОК: идентификатор акта повторяется — оплату нельзя отнести однозначно",IF(NOT(ISNUMBER(D12)),"БЛОК: нужен последний день срока оплаты по этому акту",IF(COUNTIF(Взаиморасчёты!$F$5:$F$504,B12)=0,"БЛОК: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переносится",IF(N(H12)&lt;0,"БЛОК: до первого дня просрочки оплачено и зачтено больше, чем начислено по акту — проверьте распределение",IF(N(J12)&lt;0,"БЛОК: оплаты с первого дня просрочки больше долга на первый день просрочки — проверьте распределение","ок"))))))))</f>
        <v/>
      </c>
      <c r="L12" s="6">
        <f>IF(OR(B12="",K12&lt;&gt;"ок"),"",IF(N(H12)&gt;0,"да","нет: долга на первый день просрочки нет"))</f>
        <v/>
      </c>
    </row>
    <row r="13">
      <c r="A13" s="6" t="n">
        <v>9</v>
      </c>
      <c r="B13" s="8" t="n"/>
      <c r="C13" s="8" t="n"/>
      <c r="D13" s="7" t="n"/>
      <c r="E13" s="11">
        <f>IF(ISNUMBER(D13),D13+1,"")</f>
        <v/>
      </c>
      <c r="F13" s="5">
        <f>IF(B13="","",SUMIFS(Взаиморасчёты!$E$5:$E$504,Взаиморасчёты!$C$5:$C$504,"Начисление по акту",Взаиморасчёты!$F$5:$F$504,B13)+SUMIFS(Взаиморасчёты!$E$5:$E$504,Взаиморасчёты!$C$5:$C$504,"Корректировка (подписана обеими сторонами)",Взаиморасчёты!$F$5:$F$504,B13))</f>
        <v/>
      </c>
      <c r="G13" s="5">
        <f>IF(OR(B13="",E13=""),"",SUMIFS(Взаиморасчёты!$E$5:$E$504,Взаиморасчёты!$C$5:$C$504,"Оплата",Взаиморасчёты!$F$5:$F$504,B13,Взаиморасчёты!$B$5:$B$504,"&lt;"&amp;E13)+SUMIFS(Взаиморасчёты!$E$5:$E$504,Взаиморасчёты!$C$5:$C$504,"Зачёт аванса по договору",Взаиморасчёты!$F$5:$F$504,B13,Взаиморасчёты!$B$5:$B$504,"&lt;"&amp;E13))</f>
        <v/>
      </c>
      <c r="H13" s="5">
        <f>IF(OR(B13="",E13=""),"",IF(NOT(ISNUMBER(Взаиморасчёты!$M$10)),"ЗАБЛОКИРОВАН",F13-G13))</f>
        <v/>
      </c>
      <c r="I13" s="5">
        <f>IF(OR(B13="",E13=""),"",SUMIFS(Взаиморасчёты!$E$5:$E$504,Взаиморасчёты!$C$5:$C$504,"Оплата",Взаиморасчёты!$F$5:$F$504,B13,Взаиморасчёты!$B$5:$B$504,"&gt;="&amp;E13)+SUMIFS(Взаиморасчёты!$E$5:$E$504,Взаиморасчёты!$C$5:$C$504,"Зачёт аванса по договору",Взаиморасчёты!$F$5:$F$504,B13,Взаиморасчёты!$B$5:$B$504,"&gt;="&amp;E13))</f>
        <v/>
      </c>
      <c r="J13" s="5">
        <f>IF(OR(B13="",E13=""),"",IF(NOT(ISNUMBER(H13)),"ЗАБЛОКИРОВАН",H13-I13))</f>
        <v/>
      </c>
      <c r="K13" s="6">
        <f>IF(AND(B13="",C13="",D13=""),"",IF(B13="","БЛОК: нужен идентификатор акта — по нему распределяются оплаты",IF(COUNTIF($B$5:$B$34,B13)&gt;1,"БЛОК: идентификатор акта повторяется — оплату нельзя отнести однозначно",IF(NOT(ISNUMBER(D13)),"БЛОК: нужен последний день срока оплаты по этому акту",IF(COUNTIF(Взаиморасчёты!$F$5:$F$504,B13)=0,"БЛОК: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переносится",IF(N(H13)&lt;0,"БЛОК: до первого дня просрочки оплачено и зачтено больше, чем начислено по акту — проверьте распределение",IF(N(J13)&lt;0,"БЛОК: оплаты с первого дня просрочки больше долга на первый день просрочки — проверьте распределение","ок"))))))))</f>
        <v/>
      </c>
      <c r="L13" s="6">
        <f>IF(OR(B13="",K13&lt;&gt;"ок"),"",IF(N(H13)&gt;0,"да","нет: долга на первый день просрочки нет"))</f>
        <v/>
      </c>
    </row>
    <row r="14">
      <c r="A14" s="6" t="n">
        <v>10</v>
      </c>
      <c r="B14" s="8" t="n"/>
      <c r="C14" s="8" t="n"/>
      <c r="D14" s="7" t="n"/>
      <c r="E14" s="11">
        <f>IF(ISNUMBER(D14),D14+1,"")</f>
        <v/>
      </c>
      <c r="F14" s="5">
        <f>IF(B14="","",SUMIFS(Взаиморасчёты!$E$5:$E$504,Взаиморасчёты!$C$5:$C$504,"Начисление по акту",Взаиморасчёты!$F$5:$F$504,B14)+SUMIFS(Взаиморасчёты!$E$5:$E$504,Взаиморасчёты!$C$5:$C$504,"Корректировка (подписана обеими сторонами)",Взаиморасчёты!$F$5:$F$504,B14))</f>
        <v/>
      </c>
      <c r="G14" s="5">
        <f>IF(OR(B14="",E14=""),"",SUMIFS(Взаиморасчёты!$E$5:$E$504,Взаиморасчёты!$C$5:$C$504,"Оплата",Взаиморасчёты!$F$5:$F$504,B14,Взаиморасчёты!$B$5:$B$504,"&lt;"&amp;E14)+SUMIFS(Взаиморасчёты!$E$5:$E$504,Взаиморасчёты!$C$5:$C$504,"Зачёт аванса по договору",Взаиморасчёты!$F$5:$F$504,B14,Взаиморасчёты!$B$5:$B$504,"&lt;"&amp;E14))</f>
        <v/>
      </c>
      <c r="H14" s="5">
        <f>IF(OR(B14="",E14=""),"",IF(NOT(ISNUMBER(Взаиморасчёты!$M$10)),"ЗАБЛОКИРОВАН",F14-G14))</f>
        <v/>
      </c>
      <c r="I14" s="5">
        <f>IF(OR(B14="",E14=""),"",SUMIFS(Взаиморасчёты!$E$5:$E$504,Взаиморасчёты!$C$5:$C$504,"Оплата",Взаиморасчёты!$F$5:$F$504,B14,Взаиморасчёты!$B$5:$B$504,"&gt;="&amp;E14)+SUMIFS(Взаиморасчёты!$E$5:$E$504,Взаиморасчёты!$C$5:$C$504,"Зачёт аванса по договору",Взаиморасчёты!$F$5:$F$504,B14,Взаиморасчёты!$B$5:$B$504,"&gt;="&amp;E14))</f>
        <v/>
      </c>
      <c r="J14" s="5">
        <f>IF(OR(B14="",E14=""),"",IF(NOT(ISNUMBER(H14)),"ЗАБЛОКИРОВАН",H14-I14))</f>
        <v/>
      </c>
      <c r="K14" s="6">
        <f>IF(AND(B14="",C14="",D14=""),"",IF(B14="","БЛОК: нужен идентификатор акта — по нему распределяются оплаты",IF(COUNTIF($B$5:$B$34,B14)&gt;1,"БЛОК: идентификатор акта повторяется — оплату нельзя отнести однозначно",IF(NOT(ISNUMBER(D14)),"БЛОК: нужен последний день срока оплаты по этому акту",IF(COUNTIF(Взаиморасчёты!$F$5:$F$504,B14)=0,"БЛОК: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переносится",IF(N(H14)&lt;0,"БЛОК: до первого дня просрочки оплачено и зачтено больше, чем начислено по акту — проверьте распределение",IF(N(J14)&lt;0,"БЛОК: оплаты с первого дня просрочки больше долга на первый день просрочки — проверьте распределение","ок"))))))))</f>
        <v/>
      </c>
      <c r="L14" s="6">
        <f>IF(OR(B14="",K14&lt;&gt;"ок"),"",IF(N(H14)&gt;0,"да","нет: долга на первый день просрочки нет"))</f>
        <v/>
      </c>
    </row>
    <row r="15">
      <c r="A15" s="6" t="n">
        <v>11</v>
      </c>
      <c r="B15" s="8" t="n"/>
      <c r="C15" s="8" t="n"/>
      <c r="D15" s="7" t="n"/>
      <c r="E15" s="11">
        <f>IF(ISNUMBER(D15),D15+1,"")</f>
        <v/>
      </c>
      <c r="F15" s="5">
        <f>IF(B15="","",SUMIFS(Взаиморасчёты!$E$5:$E$504,Взаиморасчёты!$C$5:$C$504,"Начисление по акту",Взаиморасчёты!$F$5:$F$504,B15)+SUMIFS(Взаиморасчёты!$E$5:$E$504,Взаиморасчёты!$C$5:$C$504,"Корректировка (подписана обеими сторонами)",Взаиморасчёты!$F$5:$F$504,B15))</f>
        <v/>
      </c>
      <c r="G15" s="5">
        <f>IF(OR(B15="",E15=""),"",SUMIFS(Взаиморасчёты!$E$5:$E$504,Взаиморасчёты!$C$5:$C$504,"Оплата",Взаиморасчёты!$F$5:$F$504,B15,Взаиморасчёты!$B$5:$B$504,"&lt;"&amp;E15)+SUMIFS(Взаиморасчёты!$E$5:$E$504,Взаиморасчёты!$C$5:$C$504,"Зачёт аванса по договору",Взаиморасчёты!$F$5:$F$504,B15,Взаиморасчёты!$B$5:$B$504,"&lt;"&amp;E15))</f>
        <v/>
      </c>
      <c r="H15" s="5">
        <f>IF(OR(B15="",E15=""),"",IF(NOT(ISNUMBER(Взаиморасчёты!$M$10)),"ЗАБЛОКИРОВАН",F15-G15))</f>
        <v/>
      </c>
      <c r="I15" s="5">
        <f>IF(OR(B15="",E15=""),"",SUMIFS(Взаиморасчёты!$E$5:$E$504,Взаиморасчёты!$C$5:$C$504,"Оплата",Взаиморасчёты!$F$5:$F$504,B15,Взаиморасчёты!$B$5:$B$504,"&gt;="&amp;E15)+SUMIFS(Взаиморасчёты!$E$5:$E$504,Взаиморасчёты!$C$5:$C$504,"Зачёт аванса по договору",Взаиморасчёты!$F$5:$F$504,B15,Взаиморасчёты!$B$5:$B$504,"&gt;="&amp;E15))</f>
        <v/>
      </c>
      <c r="J15" s="5">
        <f>IF(OR(B15="",E15=""),"",IF(NOT(ISNUMBER(H15)),"ЗАБЛОКИРОВАН",H15-I15))</f>
        <v/>
      </c>
      <c r="K15" s="6">
        <f>IF(AND(B15="",C15="",D15=""),"",IF(B15="","БЛОК: нужен идентификатор акта — по нему распределяются оплаты",IF(COUNTIF($B$5:$B$34,B15)&gt;1,"БЛОК: идентификатор акта повторяется — оплату нельзя отнести однозначно",IF(NOT(ISNUMBER(D15)),"БЛОК: нужен последний день срока оплаты по этому акту",IF(COUNTIF(Взаиморасчёты!$F$5:$F$504,B15)=0,"БЛОК: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переносится",IF(N(H15)&lt;0,"БЛОК: до первого дня просрочки оплачено и зачтено больше, чем начислено по акту — проверьте распределение",IF(N(J15)&lt;0,"БЛОК: оплаты с первого дня просрочки больше долга на первый день просрочки — проверьте распределение","ок"))))))))</f>
        <v/>
      </c>
      <c r="L15" s="6">
        <f>IF(OR(B15="",K15&lt;&gt;"ок"),"",IF(N(H15)&gt;0,"да","нет: долга на первый день просрочки нет"))</f>
        <v/>
      </c>
    </row>
    <row r="16">
      <c r="A16" s="6" t="n">
        <v>12</v>
      </c>
      <c r="B16" s="8" t="n"/>
      <c r="C16" s="8" t="n"/>
      <c r="D16" s="7" t="n"/>
      <c r="E16" s="11">
        <f>IF(ISNUMBER(D16),D16+1,"")</f>
        <v/>
      </c>
      <c r="F16" s="5">
        <f>IF(B16="","",SUMIFS(Взаиморасчёты!$E$5:$E$504,Взаиморасчёты!$C$5:$C$504,"Начисление по акту",Взаиморасчёты!$F$5:$F$504,B16)+SUMIFS(Взаиморасчёты!$E$5:$E$504,Взаиморасчёты!$C$5:$C$504,"Корректировка (подписана обеими сторонами)",Взаиморасчёты!$F$5:$F$504,B16))</f>
        <v/>
      </c>
      <c r="G16" s="5">
        <f>IF(OR(B16="",E16=""),"",SUMIFS(Взаиморасчёты!$E$5:$E$504,Взаиморасчёты!$C$5:$C$504,"Оплата",Взаиморасчёты!$F$5:$F$504,B16,Взаиморасчёты!$B$5:$B$504,"&lt;"&amp;E16)+SUMIFS(Взаиморасчёты!$E$5:$E$504,Взаиморасчёты!$C$5:$C$504,"Зачёт аванса по договору",Взаиморасчёты!$F$5:$F$504,B16,Взаиморасчёты!$B$5:$B$504,"&lt;"&amp;E16))</f>
        <v/>
      </c>
      <c r="H16" s="5">
        <f>IF(OR(B16="",E16=""),"",IF(NOT(ISNUMBER(Взаиморасчёты!$M$10)),"ЗАБЛОКИРОВАН",F16-G16))</f>
        <v/>
      </c>
      <c r="I16" s="5">
        <f>IF(OR(B16="",E16=""),"",SUMIFS(Взаиморасчёты!$E$5:$E$504,Взаиморасчёты!$C$5:$C$504,"Оплата",Взаиморасчёты!$F$5:$F$504,B16,Взаиморасчёты!$B$5:$B$504,"&gt;="&amp;E16)+SUMIFS(Взаиморасчёты!$E$5:$E$504,Взаиморасчёты!$C$5:$C$504,"Зачёт аванса по договору",Взаиморасчёты!$F$5:$F$504,B16,Взаиморасчёты!$B$5:$B$504,"&gt;="&amp;E16))</f>
        <v/>
      </c>
      <c r="J16" s="5">
        <f>IF(OR(B16="",E16=""),"",IF(NOT(ISNUMBER(H16)),"ЗАБЛОКИРОВАН",H16-I16))</f>
        <v/>
      </c>
      <c r="K16" s="6">
        <f>IF(AND(B16="",C16="",D16=""),"",IF(B16="","БЛОК: нужен идентификатор акта — по нему распределяются оплаты",IF(COUNTIF($B$5:$B$34,B16)&gt;1,"БЛОК: идентификатор акта повторяется — оплату нельзя отнести однозначно",IF(NOT(ISNUMBER(D16)),"БЛОК: нужен последний день срока оплаты по этому акту",IF(COUNTIF(Взаиморасчёты!$F$5:$F$504,B16)=0,"БЛОК: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переносится",IF(N(H16)&lt;0,"БЛОК: до первого дня просрочки оплачено и зачтено больше, чем начислено по акту — проверьте распределение",IF(N(J16)&lt;0,"БЛОК: оплаты с первого дня просрочки больше долга на первый день просрочки — проверьте распределение","ок"))))))))</f>
        <v/>
      </c>
      <c r="L16" s="6">
        <f>IF(OR(B16="",K16&lt;&gt;"ок"),"",IF(N(H16)&gt;0,"да","нет: долга на первый день просрочки нет"))</f>
        <v/>
      </c>
    </row>
    <row r="17">
      <c r="A17" s="6" t="n">
        <v>13</v>
      </c>
      <c r="B17" s="8" t="n"/>
      <c r="C17" s="8" t="n"/>
      <c r="D17" s="7" t="n"/>
      <c r="E17" s="11">
        <f>IF(ISNUMBER(D17),D17+1,"")</f>
        <v/>
      </c>
      <c r="F17" s="5">
        <f>IF(B17="","",SUMIFS(Взаиморасчёты!$E$5:$E$504,Взаиморасчёты!$C$5:$C$504,"Начисление по акту",Взаиморасчёты!$F$5:$F$504,B17)+SUMIFS(Взаиморасчёты!$E$5:$E$504,Взаиморасчёты!$C$5:$C$504,"Корректировка (подписана обеими сторонами)",Взаиморасчёты!$F$5:$F$504,B17))</f>
        <v/>
      </c>
      <c r="G17" s="5">
        <f>IF(OR(B17="",E17=""),"",SUMIFS(Взаиморасчёты!$E$5:$E$504,Взаиморасчёты!$C$5:$C$504,"Оплата",Взаиморасчёты!$F$5:$F$504,B17,Взаиморасчёты!$B$5:$B$504,"&lt;"&amp;E17)+SUMIFS(Взаиморасчёты!$E$5:$E$504,Взаиморасчёты!$C$5:$C$504,"Зачёт аванса по договору",Взаиморасчёты!$F$5:$F$504,B17,Взаиморасчёты!$B$5:$B$504,"&lt;"&amp;E17))</f>
        <v/>
      </c>
      <c r="H17" s="5">
        <f>IF(OR(B17="",E17=""),"",IF(NOT(ISNUMBER(Взаиморасчёты!$M$10)),"ЗАБЛОКИРОВАН",F17-G17))</f>
        <v/>
      </c>
      <c r="I17" s="5">
        <f>IF(OR(B17="",E17=""),"",SUMIFS(Взаиморасчёты!$E$5:$E$504,Взаиморасчёты!$C$5:$C$504,"Оплата",Взаиморасчёты!$F$5:$F$504,B17,Взаиморасчёты!$B$5:$B$504,"&gt;="&amp;E17)+SUMIFS(Взаиморасчёты!$E$5:$E$504,Взаиморасчёты!$C$5:$C$504,"Зачёт аванса по договору",Взаиморасчёты!$F$5:$F$504,B17,Взаиморасчёты!$B$5:$B$504,"&gt;="&amp;E17))</f>
        <v/>
      </c>
      <c r="J17" s="5">
        <f>IF(OR(B17="",E17=""),"",IF(NOT(ISNUMBER(H17)),"ЗАБЛОКИРОВАН",H17-I17))</f>
        <v/>
      </c>
      <c r="K17" s="6">
        <f>IF(AND(B17="",C17="",D17=""),"",IF(B17="","БЛОК: нужен идентификатор акта — по нему распределяются оплаты",IF(COUNTIF($B$5:$B$34,B17)&gt;1,"БЛОК: идентификатор акта повторяется — оплату нельзя отнести однозначно",IF(NOT(ISNUMBER(D17)),"БЛОК: нужен последний день срока оплаты по этому акту",IF(COUNTIF(Взаиморасчёты!$F$5:$F$504,B17)=0,"БЛОК: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переносится",IF(N(H17)&lt;0,"БЛОК: до первого дня просрочки оплачено и зачтено больше, чем начислено по акту — проверьте распределение",IF(N(J17)&lt;0,"БЛОК: оплаты с первого дня просрочки больше долга на первый день просрочки — проверьте распределение","ок"))))))))</f>
        <v/>
      </c>
      <c r="L17" s="6">
        <f>IF(OR(B17="",K17&lt;&gt;"ок"),"",IF(N(H17)&gt;0,"да","нет: долга на первый день просрочки нет"))</f>
        <v/>
      </c>
    </row>
    <row r="18">
      <c r="A18" s="6" t="n">
        <v>14</v>
      </c>
      <c r="B18" s="8" t="n"/>
      <c r="C18" s="8" t="n"/>
      <c r="D18" s="7" t="n"/>
      <c r="E18" s="11">
        <f>IF(ISNUMBER(D18),D18+1,"")</f>
        <v/>
      </c>
      <c r="F18" s="5">
        <f>IF(B18="","",SUMIFS(Взаиморасчёты!$E$5:$E$504,Взаиморасчёты!$C$5:$C$504,"Начисление по акту",Взаиморасчёты!$F$5:$F$504,B18)+SUMIFS(Взаиморасчёты!$E$5:$E$504,Взаиморасчёты!$C$5:$C$504,"Корректировка (подписана обеими сторонами)",Взаиморасчёты!$F$5:$F$504,B18))</f>
        <v/>
      </c>
      <c r="G18" s="5">
        <f>IF(OR(B18="",E18=""),"",SUMIFS(Взаиморасчёты!$E$5:$E$504,Взаиморасчёты!$C$5:$C$504,"Оплата",Взаиморасчёты!$F$5:$F$504,B18,Взаиморасчёты!$B$5:$B$504,"&lt;"&amp;E18)+SUMIFS(Взаиморасчёты!$E$5:$E$504,Взаиморасчёты!$C$5:$C$504,"Зачёт аванса по договору",Взаиморасчёты!$F$5:$F$504,B18,Взаиморасчёты!$B$5:$B$504,"&lt;"&amp;E18))</f>
        <v/>
      </c>
      <c r="H18" s="5">
        <f>IF(OR(B18="",E18=""),"",IF(NOT(ISNUMBER(Взаиморасчёты!$M$10)),"ЗАБЛОКИРОВАН",F18-G18))</f>
        <v/>
      </c>
      <c r="I18" s="5">
        <f>IF(OR(B18="",E18=""),"",SUMIFS(Взаиморасчёты!$E$5:$E$504,Взаиморасчёты!$C$5:$C$504,"Оплата",Взаиморасчёты!$F$5:$F$504,B18,Взаиморасчёты!$B$5:$B$504,"&gt;="&amp;E18)+SUMIFS(Взаиморасчёты!$E$5:$E$504,Взаиморасчёты!$C$5:$C$504,"Зачёт аванса по договору",Взаиморасчёты!$F$5:$F$504,B18,Взаиморасчёты!$B$5:$B$504,"&gt;="&amp;E18))</f>
        <v/>
      </c>
      <c r="J18" s="5">
        <f>IF(OR(B18="",E18=""),"",IF(NOT(ISNUMBER(H18)),"ЗАБЛОКИРОВАН",H18-I18))</f>
        <v/>
      </c>
      <c r="K18" s="6">
        <f>IF(AND(B18="",C18="",D18=""),"",IF(B18="","БЛОК: нужен идентификатор акта — по нему распределяются оплаты",IF(COUNTIF($B$5:$B$34,B18)&gt;1,"БЛОК: идентификатор акта повторяется — оплату нельзя отнести однозначно",IF(NOT(ISNUMBER(D18)),"БЛОК: нужен последний день срока оплаты по этому акту",IF(COUNTIF(Взаиморасчёты!$F$5:$F$504,B18)=0,"БЛОК: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переносится",IF(N(H18)&lt;0,"БЛОК: до первого дня просрочки оплачено и зачтено больше, чем начислено по акту — проверьте распределение",IF(N(J18)&lt;0,"БЛОК: оплаты с первого дня просрочки больше долга на первый день просрочки — проверьте распределение","ок"))))))))</f>
        <v/>
      </c>
      <c r="L18" s="6">
        <f>IF(OR(B18="",K18&lt;&gt;"ок"),"",IF(N(H18)&gt;0,"да","нет: долга на первый день просрочки нет"))</f>
        <v/>
      </c>
    </row>
    <row r="19">
      <c r="A19" s="6" t="n">
        <v>15</v>
      </c>
      <c r="B19" s="8" t="n"/>
      <c r="C19" s="8" t="n"/>
      <c r="D19" s="7" t="n"/>
      <c r="E19" s="11">
        <f>IF(ISNUMBER(D19),D19+1,"")</f>
        <v/>
      </c>
      <c r="F19" s="5">
        <f>IF(B19="","",SUMIFS(Взаиморасчёты!$E$5:$E$504,Взаиморасчёты!$C$5:$C$504,"Начисление по акту",Взаиморасчёты!$F$5:$F$504,B19)+SUMIFS(Взаиморасчёты!$E$5:$E$504,Взаиморасчёты!$C$5:$C$504,"Корректировка (подписана обеими сторонами)",Взаиморасчёты!$F$5:$F$504,B19))</f>
        <v/>
      </c>
      <c r="G19" s="5">
        <f>IF(OR(B19="",E19=""),"",SUMIFS(Взаиморасчёты!$E$5:$E$504,Взаиморасчёты!$C$5:$C$504,"Оплата",Взаиморасчёты!$F$5:$F$504,B19,Взаиморасчёты!$B$5:$B$504,"&lt;"&amp;E19)+SUMIFS(Взаиморасчёты!$E$5:$E$504,Взаиморасчёты!$C$5:$C$504,"Зачёт аванса по договору",Взаиморасчёты!$F$5:$F$504,B19,Взаиморасчёты!$B$5:$B$504,"&lt;"&amp;E19))</f>
        <v/>
      </c>
      <c r="H19" s="5">
        <f>IF(OR(B19="",E19=""),"",IF(NOT(ISNUMBER(Взаиморасчёты!$M$10)),"ЗАБЛОКИРОВАН",F19-G19))</f>
        <v/>
      </c>
      <c r="I19" s="5">
        <f>IF(OR(B19="",E19=""),"",SUMIFS(Взаиморасчёты!$E$5:$E$504,Взаиморасчёты!$C$5:$C$504,"Оплата",Взаиморасчёты!$F$5:$F$504,B19,Взаиморасчёты!$B$5:$B$504,"&gt;="&amp;E19)+SUMIFS(Взаиморасчёты!$E$5:$E$504,Взаиморасчёты!$C$5:$C$504,"Зачёт аванса по договору",Взаиморасчёты!$F$5:$F$504,B19,Взаиморасчёты!$B$5:$B$504,"&gt;="&amp;E19))</f>
        <v/>
      </c>
      <c r="J19" s="5">
        <f>IF(OR(B19="",E19=""),"",IF(NOT(ISNUMBER(H19)),"ЗАБЛОКИРОВАН",H19-I19))</f>
        <v/>
      </c>
      <c r="K19" s="6">
        <f>IF(AND(B19="",C19="",D19=""),"",IF(B19="","БЛОК: нужен идентификатор акта — по нему распределяются оплаты",IF(COUNTIF($B$5:$B$34,B19)&gt;1,"БЛОК: идентификатор акта повторяется — оплату нельзя отнести однозначно",IF(NOT(ISNUMBER(D19)),"БЛОК: нужен последний день срока оплаты по этому акту",IF(COUNTIF(Взаиморасчёты!$F$5:$F$504,B19)=0,"БЛОК: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переносится",IF(N(H19)&lt;0,"БЛОК: до первого дня просрочки оплачено и зачтено больше, чем начислено по акту — проверьте распределение",IF(N(J19)&lt;0,"БЛОК: оплаты с первого дня просрочки больше долга на первый день просрочки — проверьте распределение","ок"))))))))</f>
        <v/>
      </c>
      <c r="L19" s="6">
        <f>IF(OR(B19="",K19&lt;&gt;"ок"),"",IF(N(H19)&gt;0,"да","нет: долга на первый день просрочки нет"))</f>
        <v/>
      </c>
    </row>
    <row r="20">
      <c r="A20" s="6" t="n">
        <v>16</v>
      </c>
      <c r="B20" s="8" t="n"/>
      <c r="C20" s="8" t="n"/>
      <c r="D20" s="7" t="n"/>
      <c r="E20" s="11">
        <f>IF(ISNUMBER(D20),D20+1,"")</f>
        <v/>
      </c>
      <c r="F20" s="5">
        <f>IF(B20="","",SUMIFS(Взаиморасчёты!$E$5:$E$504,Взаиморасчёты!$C$5:$C$504,"Начисление по акту",Взаиморасчёты!$F$5:$F$504,B20)+SUMIFS(Взаиморасчёты!$E$5:$E$504,Взаиморасчёты!$C$5:$C$504,"Корректировка (подписана обеими сторонами)",Взаиморасчёты!$F$5:$F$504,B20))</f>
        <v/>
      </c>
      <c r="G20" s="5">
        <f>IF(OR(B20="",E20=""),"",SUMIFS(Взаиморасчёты!$E$5:$E$504,Взаиморасчёты!$C$5:$C$504,"Оплата",Взаиморасчёты!$F$5:$F$504,B20,Взаиморасчёты!$B$5:$B$504,"&lt;"&amp;E20)+SUMIFS(Взаиморасчёты!$E$5:$E$504,Взаиморасчёты!$C$5:$C$504,"Зачёт аванса по договору",Взаиморасчёты!$F$5:$F$504,B20,Взаиморасчёты!$B$5:$B$504,"&lt;"&amp;E20))</f>
        <v/>
      </c>
      <c r="H20" s="5">
        <f>IF(OR(B20="",E20=""),"",IF(NOT(ISNUMBER(Взаиморасчёты!$M$10)),"ЗАБЛОКИРОВАН",F20-G20))</f>
        <v/>
      </c>
      <c r="I20" s="5">
        <f>IF(OR(B20="",E20=""),"",SUMIFS(Взаиморасчёты!$E$5:$E$504,Взаиморасчёты!$C$5:$C$504,"Оплата",Взаиморасчёты!$F$5:$F$504,B20,Взаиморасчёты!$B$5:$B$504,"&gt;="&amp;E20)+SUMIFS(Взаиморасчёты!$E$5:$E$504,Взаиморасчёты!$C$5:$C$504,"Зачёт аванса по договору",Взаиморасчёты!$F$5:$F$504,B20,Взаиморасчёты!$B$5:$B$504,"&gt;="&amp;E20))</f>
        <v/>
      </c>
      <c r="J20" s="5">
        <f>IF(OR(B20="",E20=""),"",IF(NOT(ISNUMBER(H20)),"ЗАБЛОКИРОВАН",H20-I20))</f>
        <v/>
      </c>
      <c r="K20" s="6">
        <f>IF(AND(B20="",C20="",D20=""),"",IF(B20="","БЛОК: нужен идентификатор акта — по нему распределяются оплаты",IF(COUNTIF($B$5:$B$34,B20)&gt;1,"БЛОК: идентификатор акта повторяется — оплату нельзя отнести однозначно",IF(NOT(ISNUMBER(D20)),"БЛОК: нужен последний день срока оплаты по этому акту",IF(COUNTIF(Взаиморасчёты!$F$5:$F$504,B20)=0,"БЛОК: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переносится",IF(N(H20)&lt;0,"БЛОК: до первого дня просрочки оплачено и зачтено больше, чем начислено по акту — проверьте распределение",IF(N(J20)&lt;0,"БЛОК: оплаты с первого дня просрочки больше долга на первый день просрочки — проверьте распределение","ок"))))))))</f>
        <v/>
      </c>
      <c r="L20" s="6">
        <f>IF(OR(B20="",K20&lt;&gt;"ок"),"",IF(N(H20)&gt;0,"да","нет: долга на первый день просрочки нет"))</f>
        <v/>
      </c>
    </row>
    <row r="21">
      <c r="A21" s="6" t="n">
        <v>17</v>
      </c>
      <c r="B21" s="8" t="n"/>
      <c r="C21" s="8" t="n"/>
      <c r="D21" s="7" t="n"/>
      <c r="E21" s="11">
        <f>IF(ISNUMBER(D21),D21+1,"")</f>
        <v/>
      </c>
      <c r="F21" s="5">
        <f>IF(B21="","",SUMIFS(Взаиморасчёты!$E$5:$E$504,Взаиморасчёты!$C$5:$C$504,"Начисление по акту",Взаиморасчёты!$F$5:$F$504,B21)+SUMIFS(Взаиморасчёты!$E$5:$E$504,Взаиморасчёты!$C$5:$C$504,"Корректировка (подписана обеими сторонами)",Взаиморасчёты!$F$5:$F$504,B21))</f>
        <v/>
      </c>
      <c r="G21" s="5">
        <f>IF(OR(B21="",E21=""),"",SUMIFS(Взаиморасчёты!$E$5:$E$504,Взаиморасчёты!$C$5:$C$504,"Оплата",Взаиморасчёты!$F$5:$F$504,B21,Взаиморасчёты!$B$5:$B$504,"&lt;"&amp;E21)+SUMIFS(Взаиморасчёты!$E$5:$E$504,Взаиморасчёты!$C$5:$C$504,"Зачёт аванса по договору",Взаиморасчёты!$F$5:$F$504,B21,Взаиморасчёты!$B$5:$B$504,"&lt;"&amp;E21))</f>
        <v/>
      </c>
      <c r="H21" s="5">
        <f>IF(OR(B21="",E21=""),"",IF(NOT(ISNUMBER(Взаиморасчёты!$M$10)),"ЗАБЛОКИРОВАН",F21-G21))</f>
        <v/>
      </c>
      <c r="I21" s="5">
        <f>IF(OR(B21="",E21=""),"",SUMIFS(Взаиморасчёты!$E$5:$E$504,Взаиморасчёты!$C$5:$C$504,"Оплата",Взаиморасчёты!$F$5:$F$504,B21,Взаиморасчёты!$B$5:$B$504,"&gt;="&amp;E21)+SUMIFS(Взаиморасчёты!$E$5:$E$504,Взаиморасчёты!$C$5:$C$504,"Зачёт аванса по договору",Взаиморасчёты!$F$5:$F$504,B21,Взаиморасчёты!$B$5:$B$504,"&gt;="&amp;E21))</f>
        <v/>
      </c>
      <c r="J21" s="5">
        <f>IF(OR(B21="",E21=""),"",IF(NOT(ISNUMBER(H21)),"ЗАБЛОКИРОВАН",H21-I21))</f>
        <v/>
      </c>
      <c r="K21" s="6">
        <f>IF(AND(B21="",C21="",D21=""),"",IF(B21="","БЛОК: нужен идентификатор акта — по нему распределяются оплаты",IF(COUNTIF($B$5:$B$34,B21)&gt;1,"БЛОК: идентификатор акта повторяется — оплату нельзя отнести однозначно",IF(NOT(ISNUMBER(D21)),"БЛОК: нужен последний день срока оплаты по этому акту",IF(COUNTIF(Взаиморасчёты!$F$5:$F$504,B21)=0,"БЛОК: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переносится",IF(N(H21)&lt;0,"БЛОК: до первого дня просрочки оплачено и зачтено больше, чем начислено по акту — проверьте распределение",IF(N(J21)&lt;0,"БЛОК: оплаты с первого дня просрочки больше долга на первый день просрочки — проверьте распределение","ок"))))))))</f>
        <v/>
      </c>
      <c r="L21" s="6">
        <f>IF(OR(B21="",K21&lt;&gt;"ок"),"",IF(N(H21)&gt;0,"да","нет: долга на первый день просрочки нет"))</f>
        <v/>
      </c>
    </row>
    <row r="22">
      <c r="A22" s="6" t="n">
        <v>18</v>
      </c>
      <c r="B22" s="8" t="n"/>
      <c r="C22" s="8" t="n"/>
      <c r="D22" s="7" t="n"/>
      <c r="E22" s="11">
        <f>IF(ISNUMBER(D22),D22+1,"")</f>
        <v/>
      </c>
      <c r="F22" s="5">
        <f>IF(B22="","",SUMIFS(Взаиморасчёты!$E$5:$E$504,Взаиморасчёты!$C$5:$C$504,"Начисление по акту",Взаиморасчёты!$F$5:$F$504,B22)+SUMIFS(Взаиморасчёты!$E$5:$E$504,Взаиморасчёты!$C$5:$C$504,"Корректировка (подписана обеими сторонами)",Взаиморасчёты!$F$5:$F$504,B22))</f>
        <v/>
      </c>
      <c r="G22" s="5">
        <f>IF(OR(B22="",E22=""),"",SUMIFS(Взаиморасчёты!$E$5:$E$504,Взаиморасчёты!$C$5:$C$504,"Оплата",Взаиморасчёты!$F$5:$F$504,B22,Взаиморасчёты!$B$5:$B$504,"&lt;"&amp;E22)+SUMIFS(Взаиморасчёты!$E$5:$E$504,Взаиморасчёты!$C$5:$C$504,"Зачёт аванса по договору",Взаиморасчёты!$F$5:$F$504,B22,Взаиморасчёты!$B$5:$B$504,"&lt;"&amp;E22))</f>
        <v/>
      </c>
      <c r="H22" s="5">
        <f>IF(OR(B22="",E22=""),"",IF(NOT(ISNUMBER(Взаиморасчёты!$M$10)),"ЗАБЛОКИРОВАН",F22-G22))</f>
        <v/>
      </c>
      <c r="I22" s="5">
        <f>IF(OR(B22="",E22=""),"",SUMIFS(Взаиморасчёты!$E$5:$E$504,Взаиморасчёты!$C$5:$C$504,"Оплата",Взаиморасчёты!$F$5:$F$504,B22,Взаиморасчёты!$B$5:$B$504,"&gt;="&amp;E22)+SUMIFS(Взаиморасчёты!$E$5:$E$504,Взаиморасчёты!$C$5:$C$504,"Зачёт аванса по договору",Взаиморасчёты!$F$5:$F$504,B22,Взаиморасчёты!$B$5:$B$504,"&gt;="&amp;E22))</f>
        <v/>
      </c>
      <c r="J22" s="5">
        <f>IF(OR(B22="",E22=""),"",IF(NOT(ISNUMBER(H22)),"ЗАБЛОКИРОВАН",H22-I22))</f>
        <v/>
      </c>
      <c r="K22" s="6">
        <f>IF(AND(B22="",C22="",D22=""),"",IF(B22="","БЛОК: нужен идентификатор акта — по нему распределяются оплаты",IF(COUNTIF($B$5:$B$34,B22)&gt;1,"БЛОК: идентификатор акта повторяется — оплату нельзя отнести однозначно",IF(NOT(ISNUMBER(D22)),"БЛОК: нужен последний день срока оплаты по этому акту",IF(COUNTIF(Взаиморасчёты!$F$5:$F$504,B22)=0,"БЛОК: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переносится",IF(N(H22)&lt;0,"БЛОК: до первого дня просрочки оплачено и зачтено больше, чем начислено по акту — проверьте распределение",IF(N(J22)&lt;0,"БЛОК: оплаты с первого дня просрочки больше долга на первый день просрочки — проверьте распределение","ок"))))))))</f>
        <v/>
      </c>
      <c r="L22" s="6">
        <f>IF(OR(B22="",K22&lt;&gt;"ок"),"",IF(N(H22)&gt;0,"да","нет: долга на первый день просрочки нет"))</f>
        <v/>
      </c>
    </row>
    <row r="23">
      <c r="A23" s="6" t="n">
        <v>19</v>
      </c>
      <c r="B23" s="8" t="n"/>
      <c r="C23" s="8" t="n"/>
      <c r="D23" s="7" t="n"/>
      <c r="E23" s="11">
        <f>IF(ISNUMBER(D23),D23+1,"")</f>
        <v/>
      </c>
      <c r="F23" s="5">
        <f>IF(B23="","",SUMIFS(Взаиморасчёты!$E$5:$E$504,Взаиморасчёты!$C$5:$C$504,"Начисление по акту",Взаиморасчёты!$F$5:$F$504,B23)+SUMIFS(Взаиморасчёты!$E$5:$E$504,Взаиморасчёты!$C$5:$C$504,"Корректировка (подписана обеими сторонами)",Взаиморасчёты!$F$5:$F$504,B23))</f>
        <v/>
      </c>
      <c r="G23" s="5">
        <f>IF(OR(B23="",E23=""),"",SUMIFS(Взаиморасчёты!$E$5:$E$504,Взаиморасчёты!$C$5:$C$504,"Оплата",Взаиморасчёты!$F$5:$F$504,B23,Взаиморасчёты!$B$5:$B$504,"&lt;"&amp;E23)+SUMIFS(Взаиморасчёты!$E$5:$E$504,Взаиморасчёты!$C$5:$C$504,"Зачёт аванса по договору",Взаиморасчёты!$F$5:$F$504,B23,Взаиморасчёты!$B$5:$B$504,"&lt;"&amp;E23))</f>
        <v/>
      </c>
      <c r="H23" s="5">
        <f>IF(OR(B23="",E23=""),"",IF(NOT(ISNUMBER(Взаиморасчёты!$M$10)),"ЗАБЛОКИРОВАН",F23-G23))</f>
        <v/>
      </c>
      <c r="I23" s="5">
        <f>IF(OR(B23="",E23=""),"",SUMIFS(Взаиморасчёты!$E$5:$E$504,Взаиморасчёты!$C$5:$C$504,"Оплата",Взаиморасчёты!$F$5:$F$504,B23,Взаиморасчёты!$B$5:$B$504,"&gt;="&amp;E23)+SUMIFS(Взаиморасчёты!$E$5:$E$504,Взаиморасчёты!$C$5:$C$504,"Зачёт аванса по договору",Взаиморасчёты!$F$5:$F$504,B23,Взаиморасчёты!$B$5:$B$504,"&gt;="&amp;E23))</f>
        <v/>
      </c>
      <c r="J23" s="5">
        <f>IF(OR(B23="",E23=""),"",IF(NOT(ISNUMBER(H23)),"ЗАБЛОКИРОВАН",H23-I23))</f>
        <v/>
      </c>
      <c r="K23" s="6">
        <f>IF(AND(B23="",C23="",D23=""),"",IF(B23="","БЛОК: нужен идентификатор акта — по нему распределяются оплаты",IF(COUNTIF($B$5:$B$34,B23)&gt;1,"БЛОК: идентификатор акта повторяется — оплату нельзя отнести однозначно",IF(NOT(ISNUMBER(D23)),"БЛОК: нужен последний день срока оплаты по этому акту",IF(COUNTIF(Взаиморасчёты!$F$5:$F$504,B23)=0,"БЛОК: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переносится",IF(N(H23)&lt;0,"БЛОК: до первого дня просрочки оплачено и зачтено больше, чем начислено по акту — проверьте распределение",IF(N(J23)&lt;0,"БЛОК: оплаты с первого дня просрочки больше долга на первый день просрочки — проверьте распределение","ок"))))))))</f>
        <v/>
      </c>
      <c r="L23" s="6">
        <f>IF(OR(B23="",K23&lt;&gt;"ок"),"",IF(N(H23)&gt;0,"да","нет: долга на первый день просрочки нет"))</f>
        <v/>
      </c>
    </row>
    <row r="24">
      <c r="A24" s="6" t="n">
        <v>20</v>
      </c>
      <c r="B24" s="8" t="n"/>
      <c r="C24" s="8" t="n"/>
      <c r="D24" s="7" t="n"/>
      <c r="E24" s="11">
        <f>IF(ISNUMBER(D24),D24+1,"")</f>
        <v/>
      </c>
      <c r="F24" s="5">
        <f>IF(B24="","",SUMIFS(Взаиморасчёты!$E$5:$E$504,Взаиморасчёты!$C$5:$C$504,"Начисление по акту",Взаиморасчёты!$F$5:$F$504,B24)+SUMIFS(Взаиморасчёты!$E$5:$E$504,Взаиморасчёты!$C$5:$C$504,"Корректировка (подписана обеими сторонами)",Взаиморасчёты!$F$5:$F$504,B24))</f>
        <v/>
      </c>
      <c r="G24" s="5">
        <f>IF(OR(B24="",E24=""),"",SUMIFS(Взаиморасчёты!$E$5:$E$504,Взаиморасчёты!$C$5:$C$504,"Оплата",Взаиморасчёты!$F$5:$F$504,B24,Взаиморасчёты!$B$5:$B$504,"&lt;"&amp;E24)+SUMIFS(Взаиморасчёты!$E$5:$E$504,Взаиморасчёты!$C$5:$C$504,"Зачёт аванса по договору",Взаиморасчёты!$F$5:$F$504,B24,Взаиморасчёты!$B$5:$B$504,"&lt;"&amp;E24))</f>
        <v/>
      </c>
      <c r="H24" s="5">
        <f>IF(OR(B24="",E24=""),"",IF(NOT(ISNUMBER(Взаиморасчёты!$M$10)),"ЗАБЛОКИРОВАН",F24-G24))</f>
        <v/>
      </c>
      <c r="I24" s="5">
        <f>IF(OR(B24="",E24=""),"",SUMIFS(Взаиморасчёты!$E$5:$E$504,Взаиморасчёты!$C$5:$C$504,"Оплата",Взаиморасчёты!$F$5:$F$504,B24,Взаиморасчёты!$B$5:$B$504,"&gt;="&amp;E24)+SUMIFS(Взаиморасчёты!$E$5:$E$504,Взаиморасчёты!$C$5:$C$504,"Зачёт аванса по договору",Взаиморасчёты!$F$5:$F$504,B24,Взаиморасчёты!$B$5:$B$504,"&gt;="&amp;E24))</f>
        <v/>
      </c>
      <c r="J24" s="5">
        <f>IF(OR(B24="",E24=""),"",IF(NOT(ISNUMBER(H24)),"ЗАБЛОКИРОВАН",H24-I24))</f>
        <v/>
      </c>
      <c r="K24" s="6">
        <f>IF(AND(B24="",C24="",D24=""),"",IF(B24="","БЛОК: нужен идентификатор акта — по нему распределяются оплаты",IF(COUNTIF($B$5:$B$34,B24)&gt;1,"БЛОК: идентификатор акта повторяется — оплату нельзя отнести однозначно",IF(NOT(ISNUMBER(D24)),"БЛОК: нужен последний день срока оплаты по этому акту",IF(COUNTIF(Взаиморасчёты!$F$5:$F$504,B24)=0,"БЛОК: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переносится",IF(N(H24)&lt;0,"БЛОК: до первого дня просрочки оплачено и зачтено больше, чем начислено по акту — проверьте распределение",IF(N(J24)&lt;0,"БЛОК: оплаты с первого дня просрочки больше долга на первый день просрочки — проверьте распределение","ок"))))))))</f>
        <v/>
      </c>
      <c r="L24" s="6">
        <f>IF(OR(B24="",K24&lt;&gt;"ок"),"",IF(N(H24)&gt;0,"да","нет: долга на первый день просрочки нет"))</f>
        <v/>
      </c>
    </row>
    <row r="25">
      <c r="A25" s="6" t="n">
        <v>21</v>
      </c>
      <c r="B25" s="8" t="n"/>
      <c r="C25" s="8" t="n"/>
      <c r="D25" s="7" t="n"/>
      <c r="E25" s="11">
        <f>IF(ISNUMBER(D25),D25+1,"")</f>
        <v/>
      </c>
      <c r="F25" s="5">
        <f>IF(B25="","",SUMIFS(Взаиморасчёты!$E$5:$E$504,Взаиморасчёты!$C$5:$C$504,"Начисление по акту",Взаиморасчёты!$F$5:$F$504,B25)+SUMIFS(Взаиморасчёты!$E$5:$E$504,Взаиморасчёты!$C$5:$C$504,"Корректировка (подписана обеими сторонами)",Взаиморасчёты!$F$5:$F$504,B25))</f>
        <v/>
      </c>
      <c r="G25" s="5">
        <f>IF(OR(B25="",E25=""),"",SUMIFS(Взаиморасчёты!$E$5:$E$504,Взаиморасчёты!$C$5:$C$504,"Оплата",Взаиморасчёты!$F$5:$F$504,B25,Взаиморасчёты!$B$5:$B$504,"&lt;"&amp;E25)+SUMIFS(Взаиморасчёты!$E$5:$E$504,Взаиморасчёты!$C$5:$C$504,"Зачёт аванса по договору",Взаиморасчёты!$F$5:$F$504,B25,Взаиморасчёты!$B$5:$B$504,"&lt;"&amp;E25))</f>
        <v/>
      </c>
      <c r="H25" s="5">
        <f>IF(OR(B25="",E25=""),"",IF(NOT(ISNUMBER(Взаиморасчёты!$M$10)),"ЗАБЛОКИРОВАН",F25-G25))</f>
        <v/>
      </c>
      <c r="I25" s="5">
        <f>IF(OR(B25="",E25=""),"",SUMIFS(Взаиморасчёты!$E$5:$E$504,Взаиморасчёты!$C$5:$C$504,"Оплата",Взаиморасчёты!$F$5:$F$504,B25,Взаиморасчёты!$B$5:$B$504,"&gt;="&amp;E25)+SUMIFS(Взаиморасчёты!$E$5:$E$504,Взаиморасчёты!$C$5:$C$504,"Зачёт аванса по договору",Взаиморасчёты!$F$5:$F$504,B25,Взаиморасчёты!$B$5:$B$504,"&gt;="&amp;E25))</f>
        <v/>
      </c>
      <c r="J25" s="5">
        <f>IF(OR(B25="",E25=""),"",IF(NOT(ISNUMBER(H25)),"ЗАБЛОКИРОВАН",H25-I25))</f>
        <v/>
      </c>
      <c r="K25" s="6">
        <f>IF(AND(B25="",C25="",D25=""),"",IF(B25="","БЛОК: нужен идентификатор акта — по нему распределяются оплаты",IF(COUNTIF($B$5:$B$34,B25)&gt;1,"БЛОК: идентификатор акта повторяется — оплату нельзя отнести однозначно",IF(NOT(ISNUMBER(D25)),"БЛОК: нужен последний день срока оплаты по этому акту",IF(COUNTIF(Взаиморасчёты!$F$5:$F$504,B25)=0,"БЛОК: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переносится",IF(N(H25)&lt;0,"БЛОК: до первого дня просрочки оплачено и зачтено больше, чем начислено по акту — проверьте распределение",IF(N(J25)&lt;0,"БЛОК: оплаты с первого дня просрочки больше долга на первый день просрочки — проверьте распределение","ок"))))))))</f>
        <v/>
      </c>
      <c r="L25" s="6">
        <f>IF(OR(B25="",K25&lt;&gt;"ок"),"",IF(N(H25)&gt;0,"да","нет: долга на первый день просрочки нет"))</f>
        <v/>
      </c>
    </row>
    <row r="26">
      <c r="A26" s="6" t="n">
        <v>22</v>
      </c>
      <c r="B26" s="8" t="n"/>
      <c r="C26" s="8" t="n"/>
      <c r="D26" s="7" t="n"/>
      <c r="E26" s="11">
        <f>IF(ISNUMBER(D26),D26+1,"")</f>
        <v/>
      </c>
      <c r="F26" s="5">
        <f>IF(B26="","",SUMIFS(Взаиморасчёты!$E$5:$E$504,Взаиморасчёты!$C$5:$C$504,"Начисление по акту",Взаиморасчёты!$F$5:$F$504,B26)+SUMIFS(Взаиморасчёты!$E$5:$E$504,Взаиморасчёты!$C$5:$C$504,"Корректировка (подписана обеими сторонами)",Взаиморасчёты!$F$5:$F$504,B26))</f>
        <v/>
      </c>
      <c r="G26" s="5">
        <f>IF(OR(B26="",E26=""),"",SUMIFS(Взаиморасчёты!$E$5:$E$504,Взаиморасчёты!$C$5:$C$504,"Оплата",Взаиморасчёты!$F$5:$F$504,B26,Взаиморасчёты!$B$5:$B$504,"&lt;"&amp;E26)+SUMIFS(Взаиморасчёты!$E$5:$E$504,Взаиморасчёты!$C$5:$C$504,"Зачёт аванса по договору",Взаиморасчёты!$F$5:$F$504,B26,Взаиморасчёты!$B$5:$B$504,"&lt;"&amp;E26))</f>
        <v/>
      </c>
      <c r="H26" s="5">
        <f>IF(OR(B26="",E26=""),"",IF(NOT(ISNUMBER(Взаиморасчёты!$M$10)),"ЗАБЛОКИРОВАН",F26-G26))</f>
        <v/>
      </c>
      <c r="I26" s="5">
        <f>IF(OR(B26="",E26=""),"",SUMIFS(Взаиморасчёты!$E$5:$E$504,Взаиморасчёты!$C$5:$C$504,"Оплата",Взаиморасчёты!$F$5:$F$504,B26,Взаиморасчёты!$B$5:$B$504,"&gt;="&amp;E26)+SUMIFS(Взаиморасчёты!$E$5:$E$504,Взаиморасчёты!$C$5:$C$504,"Зачёт аванса по договору",Взаиморасчёты!$F$5:$F$504,B26,Взаиморасчёты!$B$5:$B$504,"&gt;="&amp;E26))</f>
        <v/>
      </c>
      <c r="J26" s="5">
        <f>IF(OR(B26="",E26=""),"",IF(NOT(ISNUMBER(H26)),"ЗАБЛОКИРОВАН",H26-I26))</f>
        <v/>
      </c>
      <c r="K26" s="6">
        <f>IF(AND(B26="",C26="",D26=""),"",IF(B26="","БЛОК: нужен идентификатор акта — по нему распределяются оплаты",IF(COUNTIF($B$5:$B$34,B26)&gt;1,"БЛОК: идентификатор акта повторяется — оплату нельзя отнести однозначно",IF(NOT(ISNUMBER(D26)),"БЛОК: нужен последний день срока оплаты по этому акту",IF(COUNTIF(Взаиморасчёты!$F$5:$F$504,B26)=0,"БЛОК: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переносится",IF(N(H26)&lt;0,"БЛОК: до первого дня просрочки оплачено и зачтено больше, чем начислено по акту — проверьте распределение",IF(N(J26)&lt;0,"БЛОК: оплаты с первого дня просрочки больше долга на первый день просрочки — проверьте распределение","ок"))))))))</f>
        <v/>
      </c>
      <c r="L26" s="6">
        <f>IF(OR(B26="",K26&lt;&gt;"ок"),"",IF(N(H26)&gt;0,"да","нет: долга на первый день просрочки нет"))</f>
        <v/>
      </c>
    </row>
    <row r="27">
      <c r="A27" s="6" t="n">
        <v>23</v>
      </c>
      <c r="B27" s="8" t="n"/>
      <c r="C27" s="8" t="n"/>
      <c r="D27" s="7" t="n"/>
      <c r="E27" s="11">
        <f>IF(ISNUMBER(D27),D27+1,"")</f>
        <v/>
      </c>
      <c r="F27" s="5">
        <f>IF(B27="","",SUMIFS(Взаиморасчёты!$E$5:$E$504,Взаиморасчёты!$C$5:$C$504,"Начисление по акту",Взаиморасчёты!$F$5:$F$504,B27)+SUMIFS(Взаиморасчёты!$E$5:$E$504,Взаиморасчёты!$C$5:$C$504,"Корректировка (подписана обеими сторонами)",Взаиморасчёты!$F$5:$F$504,B27))</f>
        <v/>
      </c>
      <c r="G27" s="5">
        <f>IF(OR(B27="",E27=""),"",SUMIFS(Взаиморасчёты!$E$5:$E$504,Взаиморасчёты!$C$5:$C$504,"Оплата",Взаиморасчёты!$F$5:$F$504,B27,Взаиморасчёты!$B$5:$B$504,"&lt;"&amp;E27)+SUMIFS(Взаиморасчёты!$E$5:$E$504,Взаиморасчёты!$C$5:$C$504,"Зачёт аванса по договору",Взаиморасчёты!$F$5:$F$504,B27,Взаиморасчёты!$B$5:$B$504,"&lt;"&amp;E27))</f>
        <v/>
      </c>
      <c r="H27" s="5">
        <f>IF(OR(B27="",E27=""),"",IF(NOT(ISNUMBER(Взаиморасчёты!$M$10)),"ЗАБЛОКИРОВАН",F27-G27))</f>
        <v/>
      </c>
      <c r="I27" s="5">
        <f>IF(OR(B27="",E27=""),"",SUMIFS(Взаиморасчёты!$E$5:$E$504,Взаиморасчёты!$C$5:$C$504,"Оплата",Взаиморасчёты!$F$5:$F$504,B27,Взаиморасчёты!$B$5:$B$504,"&gt;="&amp;E27)+SUMIFS(Взаиморасчёты!$E$5:$E$504,Взаиморасчёты!$C$5:$C$504,"Зачёт аванса по договору",Взаиморасчёты!$F$5:$F$504,B27,Взаиморасчёты!$B$5:$B$504,"&gt;="&amp;E27))</f>
        <v/>
      </c>
      <c r="J27" s="5">
        <f>IF(OR(B27="",E27=""),"",IF(NOT(ISNUMBER(H27)),"ЗАБЛОКИРОВАН",H27-I27))</f>
        <v/>
      </c>
      <c r="K27" s="6">
        <f>IF(AND(B27="",C27="",D27=""),"",IF(B27="","БЛОК: нужен идентификатор акта — по нему распределяются оплаты",IF(COUNTIF($B$5:$B$34,B27)&gt;1,"БЛОК: идентификатор акта повторяется — оплату нельзя отнести однозначно",IF(NOT(ISNUMBER(D27)),"БЛОК: нужен последний день срока оплаты по этому акту",IF(COUNTIF(Взаиморасчёты!$F$5:$F$504,B27)=0,"БЛОК: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переносится",IF(N(H27)&lt;0,"БЛОК: до первого дня просрочки оплачено и зачтено больше, чем начислено по акту — проверьте распределение",IF(N(J27)&lt;0,"БЛОК: оплаты с первого дня просрочки больше долга на первый день просрочки — проверьте распределение","ок"))))))))</f>
        <v/>
      </c>
      <c r="L27" s="6">
        <f>IF(OR(B27="",K27&lt;&gt;"ок"),"",IF(N(H27)&gt;0,"да","нет: долга на первый день просрочки нет"))</f>
        <v/>
      </c>
    </row>
    <row r="28">
      <c r="A28" s="6" t="n">
        <v>24</v>
      </c>
      <c r="B28" s="8" t="n"/>
      <c r="C28" s="8" t="n"/>
      <c r="D28" s="7" t="n"/>
      <c r="E28" s="11">
        <f>IF(ISNUMBER(D28),D28+1,"")</f>
        <v/>
      </c>
      <c r="F28" s="5">
        <f>IF(B28="","",SUMIFS(Взаиморасчёты!$E$5:$E$504,Взаиморасчёты!$C$5:$C$504,"Начисление по акту",Взаиморасчёты!$F$5:$F$504,B28)+SUMIFS(Взаиморасчёты!$E$5:$E$504,Взаиморасчёты!$C$5:$C$504,"Корректировка (подписана обеими сторонами)",Взаиморасчёты!$F$5:$F$504,B28))</f>
        <v/>
      </c>
      <c r="G28" s="5">
        <f>IF(OR(B28="",E28=""),"",SUMIFS(Взаиморасчёты!$E$5:$E$504,Взаиморасчёты!$C$5:$C$504,"Оплата",Взаиморасчёты!$F$5:$F$504,B28,Взаиморасчёты!$B$5:$B$504,"&lt;"&amp;E28)+SUMIFS(Взаиморасчёты!$E$5:$E$504,Взаиморасчёты!$C$5:$C$504,"Зачёт аванса по договору",Взаиморасчёты!$F$5:$F$504,B28,Взаиморасчёты!$B$5:$B$504,"&lt;"&amp;E28))</f>
        <v/>
      </c>
      <c r="H28" s="5">
        <f>IF(OR(B28="",E28=""),"",IF(NOT(ISNUMBER(Взаиморасчёты!$M$10)),"ЗАБЛОКИРОВАН",F28-G28))</f>
        <v/>
      </c>
      <c r="I28" s="5">
        <f>IF(OR(B28="",E28=""),"",SUMIFS(Взаиморасчёты!$E$5:$E$504,Взаиморасчёты!$C$5:$C$504,"Оплата",Взаиморасчёты!$F$5:$F$504,B28,Взаиморасчёты!$B$5:$B$504,"&gt;="&amp;E28)+SUMIFS(Взаиморасчёты!$E$5:$E$504,Взаиморасчёты!$C$5:$C$504,"Зачёт аванса по договору",Взаиморасчёты!$F$5:$F$504,B28,Взаиморасчёты!$B$5:$B$504,"&gt;="&amp;E28))</f>
        <v/>
      </c>
      <c r="J28" s="5">
        <f>IF(OR(B28="",E28=""),"",IF(NOT(ISNUMBER(H28)),"ЗАБЛОКИРОВАН",H28-I28))</f>
        <v/>
      </c>
      <c r="K28" s="6">
        <f>IF(AND(B28="",C28="",D28=""),"",IF(B28="","БЛОК: нужен идентификатор акта — по нему распределяются оплаты",IF(COUNTIF($B$5:$B$34,B28)&gt;1,"БЛОК: идентификатор акта повторяется — оплату нельзя отнести однозначно",IF(NOT(ISNUMBER(D28)),"БЛОК: нужен последний день срока оплаты по этому акту",IF(COUNTIF(Взаиморасчёты!$F$5:$F$504,B28)=0,"БЛОК: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переносится",IF(N(H28)&lt;0,"БЛОК: до первого дня просрочки оплачено и зачтено больше, чем начислено по акту — проверьте распределение",IF(N(J28)&lt;0,"БЛОК: оплаты с первого дня просрочки больше долга на первый день просрочки — проверьте распределение","ок"))))))))</f>
        <v/>
      </c>
      <c r="L28" s="6">
        <f>IF(OR(B28="",K28&lt;&gt;"ок"),"",IF(N(H28)&gt;0,"да","нет: долга на первый день просрочки нет"))</f>
        <v/>
      </c>
    </row>
    <row r="29">
      <c r="A29" s="6" t="n">
        <v>25</v>
      </c>
      <c r="B29" s="8" t="n"/>
      <c r="C29" s="8" t="n"/>
      <c r="D29" s="7" t="n"/>
      <c r="E29" s="11">
        <f>IF(ISNUMBER(D29),D29+1,"")</f>
        <v/>
      </c>
      <c r="F29" s="5">
        <f>IF(B29="","",SUMIFS(Взаиморасчёты!$E$5:$E$504,Взаиморасчёты!$C$5:$C$504,"Начисление по акту",Взаиморасчёты!$F$5:$F$504,B29)+SUMIFS(Взаиморасчёты!$E$5:$E$504,Взаиморасчёты!$C$5:$C$504,"Корректировка (подписана обеими сторонами)",Взаиморасчёты!$F$5:$F$504,B29))</f>
        <v/>
      </c>
      <c r="G29" s="5">
        <f>IF(OR(B29="",E29=""),"",SUMIFS(Взаиморасчёты!$E$5:$E$504,Взаиморасчёты!$C$5:$C$504,"Оплата",Взаиморасчёты!$F$5:$F$504,B29,Взаиморасчёты!$B$5:$B$504,"&lt;"&amp;E29)+SUMIFS(Взаиморасчёты!$E$5:$E$504,Взаиморасчёты!$C$5:$C$504,"Зачёт аванса по договору",Взаиморасчёты!$F$5:$F$504,B29,Взаиморасчёты!$B$5:$B$504,"&lt;"&amp;E29))</f>
        <v/>
      </c>
      <c r="H29" s="5">
        <f>IF(OR(B29="",E29=""),"",IF(NOT(ISNUMBER(Взаиморасчёты!$M$10)),"ЗАБЛОКИРОВАН",F29-G29))</f>
        <v/>
      </c>
      <c r="I29" s="5">
        <f>IF(OR(B29="",E29=""),"",SUMIFS(Взаиморасчёты!$E$5:$E$504,Взаиморасчёты!$C$5:$C$504,"Оплата",Взаиморасчёты!$F$5:$F$504,B29,Взаиморасчёты!$B$5:$B$504,"&gt;="&amp;E29)+SUMIFS(Взаиморасчёты!$E$5:$E$504,Взаиморасчёты!$C$5:$C$504,"Зачёт аванса по договору",Взаиморасчёты!$F$5:$F$504,B29,Взаиморасчёты!$B$5:$B$504,"&gt;="&amp;E29))</f>
        <v/>
      </c>
      <c r="J29" s="5">
        <f>IF(OR(B29="",E29=""),"",IF(NOT(ISNUMBER(H29)),"ЗАБЛОКИРОВАН",H29-I29))</f>
        <v/>
      </c>
      <c r="K29" s="6">
        <f>IF(AND(B29="",C29="",D29=""),"",IF(B29="","БЛОК: нужен идентификатор акта — по нему распределяются оплаты",IF(COUNTIF($B$5:$B$34,B29)&gt;1,"БЛОК: идентификатор акта повторяется — оплату нельзя отнести однозначно",IF(NOT(ISNUMBER(D29)),"БЛОК: нужен последний день срока оплаты по этому акту",IF(COUNTIF(Взаиморасчёты!$F$5:$F$504,B29)=0,"БЛОК: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переносится",IF(N(H29)&lt;0,"БЛОК: до первого дня просрочки оплачено и зачтено больше, чем начислено по акту — проверьте распределение",IF(N(J29)&lt;0,"БЛОК: оплаты с первого дня просрочки больше долга на первый день просрочки — проверьте распределение","ок"))))))))</f>
        <v/>
      </c>
      <c r="L29" s="6">
        <f>IF(OR(B29="",K29&lt;&gt;"ок"),"",IF(N(H29)&gt;0,"да","нет: долга на первый день просрочки нет"))</f>
        <v/>
      </c>
    </row>
    <row r="30">
      <c r="A30" s="6" t="n">
        <v>26</v>
      </c>
      <c r="B30" s="8" t="n"/>
      <c r="C30" s="8" t="n"/>
      <c r="D30" s="7" t="n"/>
      <c r="E30" s="11">
        <f>IF(ISNUMBER(D30),D30+1,"")</f>
        <v/>
      </c>
      <c r="F30" s="5">
        <f>IF(B30="","",SUMIFS(Взаиморасчёты!$E$5:$E$504,Взаиморасчёты!$C$5:$C$504,"Начисление по акту",Взаиморасчёты!$F$5:$F$504,B30)+SUMIFS(Взаиморасчёты!$E$5:$E$504,Взаиморасчёты!$C$5:$C$504,"Корректировка (подписана обеими сторонами)",Взаиморасчёты!$F$5:$F$504,B30))</f>
        <v/>
      </c>
      <c r="G30" s="5">
        <f>IF(OR(B30="",E30=""),"",SUMIFS(Взаиморасчёты!$E$5:$E$504,Взаиморасчёты!$C$5:$C$504,"Оплата",Взаиморасчёты!$F$5:$F$504,B30,Взаиморасчёты!$B$5:$B$504,"&lt;"&amp;E30)+SUMIFS(Взаиморасчёты!$E$5:$E$504,Взаиморасчёты!$C$5:$C$504,"Зачёт аванса по договору",Взаиморасчёты!$F$5:$F$504,B30,Взаиморасчёты!$B$5:$B$504,"&lt;"&amp;E30))</f>
        <v/>
      </c>
      <c r="H30" s="5">
        <f>IF(OR(B30="",E30=""),"",IF(NOT(ISNUMBER(Взаиморасчёты!$M$10)),"ЗАБЛОКИРОВАН",F30-G30))</f>
        <v/>
      </c>
      <c r="I30" s="5">
        <f>IF(OR(B30="",E30=""),"",SUMIFS(Взаиморасчёты!$E$5:$E$504,Взаиморасчёты!$C$5:$C$504,"Оплата",Взаиморасчёты!$F$5:$F$504,B30,Взаиморасчёты!$B$5:$B$504,"&gt;="&amp;E30)+SUMIFS(Взаиморасчёты!$E$5:$E$504,Взаиморасчёты!$C$5:$C$504,"Зачёт аванса по договору",Взаиморасчёты!$F$5:$F$504,B30,Взаиморасчёты!$B$5:$B$504,"&gt;="&amp;E30))</f>
        <v/>
      </c>
      <c r="J30" s="5">
        <f>IF(OR(B30="",E30=""),"",IF(NOT(ISNUMBER(H30)),"ЗАБЛОКИРОВАН",H30-I30))</f>
        <v/>
      </c>
      <c r="K30" s="6">
        <f>IF(AND(B30="",C30="",D30=""),"",IF(B30="","БЛОК: нужен идентификатор акта — по нему распределяются оплаты",IF(COUNTIF($B$5:$B$34,B30)&gt;1,"БЛОК: идентификатор акта повторяется — оплату нельзя отнести однозначно",IF(NOT(ISNUMBER(D30)),"БЛОК: нужен последний день срока оплаты по этому акту",IF(COUNTIF(Взаиморасчёты!$F$5:$F$504,B30)=0,"БЛОК: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переносится",IF(N(H30)&lt;0,"БЛОК: до первого дня просрочки оплачено и зачтено больше, чем начислено по акту — проверьте распределение",IF(N(J30)&lt;0,"БЛОК: оплаты с первого дня просрочки больше долга на первый день просрочки — проверьте распределение","ок"))))))))</f>
        <v/>
      </c>
      <c r="L30" s="6">
        <f>IF(OR(B30="",K30&lt;&gt;"ок"),"",IF(N(H30)&gt;0,"да","нет: долга на первый день просрочки нет"))</f>
        <v/>
      </c>
    </row>
    <row r="31">
      <c r="A31" s="6" t="n">
        <v>27</v>
      </c>
      <c r="B31" s="8" t="n"/>
      <c r="C31" s="8" t="n"/>
      <c r="D31" s="7" t="n"/>
      <c r="E31" s="11">
        <f>IF(ISNUMBER(D31),D31+1,"")</f>
        <v/>
      </c>
      <c r="F31" s="5">
        <f>IF(B31="","",SUMIFS(Взаиморасчёты!$E$5:$E$504,Взаиморасчёты!$C$5:$C$504,"Начисление по акту",Взаиморасчёты!$F$5:$F$504,B31)+SUMIFS(Взаиморасчёты!$E$5:$E$504,Взаиморасчёты!$C$5:$C$504,"Корректировка (подписана обеими сторонами)",Взаиморасчёты!$F$5:$F$504,B31))</f>
        <v/>
      </c>
      <c r="G31" s="5">
        <f>IF(OR(B31="",E31=""),"",SUMIFS(Взаиморасчёты!$E$5:$E$504,Взаиморасчёты!$C$5:$C$504,"Оплата",Взаиморасчёты!$F$5:$F$504,B31,Взаиморасчёты!$B$5:$B$504,"&lt;"&amp;E31)+SUMIFS(Взаиморасчёты!$E$5:$E$504,Взаиморасчёты!$C$5:$C$504,"Зачёт аванса по договору",Взаиморасчёты!$F$5:$F$504,B31,Взаиморасчёты!$B$5:$B$504,"&lt;"&amp;E31))</f>
        <v/>
      </c>
      <c r="H31" s="5">
        <f>IF(OR(B31="",E31=""),"",IF(NOT(ISNUMBER(Взаиморасчёты!$M$10)),"ЗАБЛОКИРОВАН",F31-G31))</f>
        <v/>
      </c>
      <c r="I31" s="5">
        <f>IF(OR(B31="",E31=""),"",SUMIFS(Взаиморасчёты!$E$5:$E$504,Взаиморасчёты!$C$5:$C$504,"Оплата",Взаиморасчёты!$F$5:$F$504,B31,Взаиморасчёты!$B$5:$B$504,"&gt;="&amp;E31)+SUMIFS(Взаиморасчёты!$E$5:$E$504,Взаиморасчёты!$C$5:$C$504,"Зачёт аванса по договору",Взаиморасчёты!$F$5:$F$504,B31,Взаиморасчёты!$B$5:$B$504,"&gt;="&amp;E31))</f>
        <v/>
      </c>
      <c r="J31" s="5">
        <f>IF(OR(B31="",E31=""),"",IF(NOT(ISNUMBER(H31)),"ЗАБЛОКИРОВАН",H31-I31))</f>
        <v/>
      </c>
      <c r="K31" s="6">
        <f>IF(AND(B31="",C31="",D31=""),"",IF(B31="","БЛОК: нужен идентификатор акта — по нему распределяются оплаты",IF(COUNTIF($B$5:$B$34,B31)&gt;1,"БЛОК: идентификатор акта повторяется — оплату нельзя отнести однозначно",IF(NOT(ISNUMBER(D31)),"БЛОК: нужен последний день срока оплаты по этому акту",IF(COUNTIF(Взаиморасчёты!$F$5:$F$504,B31)=0,"БЛОК: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переносится",IF(N(H31)&lt;0,"БЛОК: до первого дня просрочки оплачено и зачтено больше, чем начислено по акту — проверьте распределение",IF(N(J31)&lt;0,"БЛОК: оплаты с первого дня просрочки больше долга на первый день просрочки — проверьте распределение","ок"))))))))</f>
        <v/>
      </c>
      <c r="L31" s="6">
        <f>IF(OR(B31="",K31&lt;&gt;"ок"),"",IF(N(H31)&gt;0,"да","нет: долга на первый день просрочки нет"))</f>
        <v/>
      </c>
    </row>
    <row r="32">
      <c r="A32" s="6" t="n">
        <v>28</v>
      </c>
      <c r="B32" s="8" t="n"/>
      <c r="C32" s="8" t="n"/>
      <c r="D32" s="7" t="n"/>
      <c r="E32" s="11">
        <f>IF(ISNUMBER(D32),D32+1,"")</f>
        <v/>
      </c>
      <c r="F32" s="5">
        <f>IF(B32="","",SUMIFS(Взаиморасчёты!$E$5:$E$504,Взаиморасчёты!$C$5:$C$504,"Начисление по акту",Взаиморасчёты!$F$5:$F$504,B32)+SUMIFS(Взаиморасчёты!$E$5:$E$504,Взаиморасчёты!$C$5:$C$504,"Корректировка (подписана обеими сторонами)",Взаиморасчёты!$F$5:$F$504,B32))</f>
        <v/>
      </c>
      <c r="G32" s="5">
        <f>IF(OR(B32="",E32=""),"",SUMIFS(Взаиморасчёты!$E$5:$E$504,Взаиморасчёты!$C$5:$C$504,"Оплата",Взаиморасчёты!$F$5:$F$504,B32,Взаиморасчёты!$B$5:$B$504,"&lt;"&amp;E32)+SUMIFS(Взаиморасчёты!$E$5:$E$504,Взаиморасчёты!$C$5:$C$504,"Зачёт аванса по договору",Взаиморасчёты!$F$5:$F$504,B32,Взаиморасчёты!$B$5:$B$504,"&lt;"&amp;E32))</f>
        <v/>
      </c>
      <c r="H32" s="5">
        <f>IF(OR(B32="",E32=""),"",IF(NOT(ISNUMBER(Взаиморасчёты!$M$10)),"ЗАБЛОКИРОВАН",F32-G32))</f>
        <v/>
      </c>
      <c r="I32" s="5">
        <f>IF(OR(B32="",E32=""),"",SUMIFS(Взаиморасчёты!$E$5:$E$504,Взаиморасчёты!$C$5:$C$504,"Оплата",Взаиморасчёты!$F$5:$F$504,B32,Взаиморасчёты!$B$5:$B$504,"&gt;="&amp;E32)+SUMIFS(Взаиморасчёты!$E$5:$E$504,Взаиморасчёты!$C$5:$C$504,"Зачёт аванса по договору",Взаиморасчёты!$F$5:$F$504,B32,Взаиморасчёты!$B$5:$B$504,"&gt;="&amp;E32))</f>
        <v/>
      </c>
      <c r="J32" s="5">
        <f>IF(OR(B32="",E32=""),"",IF(NOT(ISNUMBER(H32)),"ЗАБЛОКИРОВАН",H32-I32))</f>
        <v/>
      </c>
      <c r="K32" s="6">
        <f>IF(AND(B32="",C32="",D32=""),"",IF(B32="","БЛОК: нужен идентификатор акта — по нему распределяются оплаты",IF(COUNTIF($B$5:$B$34,B32)&gt;1,"БЛОК: идентификатор акта повторяется — оплату нельзя отнести однозначно",IF(NOT(ISNUMBER(D32)),"БЛОК: нужен последний день срока оплаты по этому акту",IF(COUNTIF(Взаиморасчёты!$F$5:$F$504,B32)=0,"БЛОК: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переносится",IF(N(H32)&lt;0,"БЛОК: до первого дня просрочки оплачено и зачтено больше, чем начислено по акту — проверьте распределение",IF(N(J32)&lt;0,"БЛОК: оплаты с первого дня просрочки больше долга на первый день просрочки — проверьте распределение","ок"))))))))</f>
        <v/>
      </c>
      <c r="L32" s="6">
        <f>IF(OR(B32="",K32&lt;&gt;"ок"),"",IF(N(H32)&gt;0,"да","нет: долга на первый день просрочки нет"))</f>
        <v/>
      </c>
    </row>
    <row r="33">
      <c r="A33" s="6" t="n">
        <v>29</v>
      </c>
      <c r="B33" s="8" t="n"/>
      <c r="C33" s="8" t="n"/>
      <c r="D33" s="7" t="n"/>
      <c r="E33" s="11">
        <f>IF(ISNUMBER(D33),D33+1,"")</f>
        <v/>
      </c>
      <c r="F33" s="5">
        <f>IF(B33="","",SUMIFS(Взаиморасчёты!$E$5:$E$504,Взаиморасчёты!$C$5:$C$504,"Начисление по акту",Взаиморасчёты!$F$5:$F$504,B33)+SUMIFS(Взаиморасчёты!$E$5:$E$504,Взаиморасчёты!$C$5:$C$504,"Корректировка (подписана обеими сторонами)",Взаиморасчёты!$F$5:$F$504,B33))</f>
        <v/>
      </c>
      <c r="G33" s="5">
        <f>IF(OR(B33="",E33=""),"",SUMIFS(Взаиморасчёты!$E$5:$E$504,Взаиморасчёты!$C$5:$C$504,"Оплата",Взаиморасчёты!$F$5:$F$504,B33,Взаиморасчёты!$B$5:$B$504,"&lt;"&amp;E33)+SUMIFS(Взаиморасчёты!$E$5:$E$504,Взаиморасчёты!$C$5:$C$504,"Зачёт аванса по договору",Взаиморасчёты!$F$5:$F$504,B33,Взаиморасчёты!$B$5:$B$504,"&lt;"&amp;E33))</f>
        <v/>
      </c>
      <c r="H33" s="5">
        <f>IF(OR(B33="",E33=""),"",IF(NOT(ISNUMBER(Взаиморасчёты!$M$10)),"ЗАБЛОКИРОВАН",F33-G33))</f>
        <v/>
      </c>
      <c r="I33" s="5">
        <f>IF(OR(B33="",E33=""),"",SUMIFS(Взаиморасчёты!$E$5:$E$504,Взаиморасчёты!$C$5:$C$504,"Оплата",Взаиморасчёты!$F$5:$F$504,B33,Взаиморасчёты!$B$5:$B$504,"&gt;="&amp;E33)+SUMIFS(Взаиморасчёты!$E$5:$E$504,Взаиморасчёты!$C$5:$C$504,"Зачёт аванса по договору",Взаиморасчёты!$F$5:$F$504,B33,Взаиморасчёты!$B$5:$B$504,"&gt;="&amp;E33))</f>
        <v/>
      </c>
      <c r="J33" s="5">
        <f>IF(OR(B33="",E33=""),"",IF(NOT(ISNUMBER(H33)),"ЗАБЛОКИРОВАН",H33-I33))</f>
        <v/>
      </c>
      <c r="K33" s="6">
        <f>IF(AND(B33="",C33="",D33=""),"",IF(B33="","БЛОК: нужен идентификатор акта — по нему распределяются оплаты",IF(COUNTIF($B$5:$B$34,B33)&gt;1,"БЛОК: идентификатор акта повторяется — оплату нельзя отнести однозначно",IF(NOT(ISNUMBER(D33)),"БЛОК: нужен последний день срока оплаты по этому акту",IF(COUNTIF(Взаиморасчёты!$F$5:$F$504,B33)=0,"БЛОК: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переносится",IF(N(H33)&lt;0,"БЛОК: до первого дня просрочки оплачено и зачтено больше, чем начислено по акту — проверьте распределение",IF(N(J33)&lt;0,"БЛОК: оплаты с первого дня просрочки больше долга на первый день просрочки — проверьте распределение","ок"))))))))</f>
        <v/>
      </c>
      <c r="L33" s="6">
        <f>IF(OR(B33="",K33&lt;&gt;"ок"),"",IF(N(H33)&gt;0,"да","нет: долга на первый день просрочки нет"))</f>
        <v/>
      </c>
    </row>
    <row r="34">
      <c r="A34" s="6" t="n">
        <v>30</v>
      </c>
      <c r="B34" s="8" t="n"/>
      <c r="C34" s="8" t="n"/>
      <c r="D34" s="7" t="n"/>
      <c r="E34" s="11">
        <f>IF(ISNUMBER(D34),D34+1,"")</f>
        <v/>
      </c>
      <c r="F34" s="5">
        <f>IF(B34="","",SUMIFS(Взаиморасчёты!$E$5:$E$504,Взаиморасчёты!$C$5:$C$504,"Начисление по акту",Взаиморасчёты!$F$5:$F$504,B34)+SUMIFS(Взаиморасчёты!$E$5:$E$504,Взаиморасчёты!$C$5:$C$504,"Корректировка (подписана обеими сторонами)",Взаиморасчёты!$F$5:$F$504,B34))</f>
        <v/>
      </c>
      <c r="G34" s="5">
        <f>IF(OR(B34="",E34=""),"",SUMIFS(Взаиморасчёты!$E$5:$E$504,Взаиморасчёты!$C$5:$C$504,"Оплата",Взаиморасчёты!$F$5:$F$504,B34,Взаиморасчёты!$B$5:$B$504,"&lt;"&amp;E34)+SUMIFS(Взаиморасчёты!$E$5:$E$504,Взаиморасчёты!$C$5:$C$504,"Зачёт аванса по договору",Взаиморасчёты!$F$5:$F$504,B34,Взаиморасчёты!$B$5:$B$504,"&lt;"&amp;E34))</f>
        <v/>
      </c>
      <c r="H34" s="5">
        <f>IF(OR(B34="",E34=""),"",IF(NOT(ISNUMBER(Взаиморасчёты!$M$10)),"ЗАБЛОКИРОВАН",F34-G34))</f>
        <v/>
      </c>
      <c r="I34" s="5">
        <f>IF(OR(B34="",E34=""),"",SUMIFS(Взаиморасчёты!$E$5:$E$504,Взаиморасчёты!$C$5:$C$504,"Оплата",Взаиморасчёты!$F$5:$F$504,B34,Взаиморасчёты!$B$5:$B$504,"&gt;="&amp;E34)+SUMIFS(Взаиморасчёты!$E$5:$E$504,Взаиморасчёты!$C$5:$C$504,"Зачёт аванса по договору",Взаиморасчёты!$F$5:$F$504,B34,Взаиморасчёты!$B$5:$B$504,"&gt;="&amp;E34))</f>
        <v/>
      </c>
      <c r="J34" s="5">
        <f>IF(OR(B34="",E34=""),"",IF(NOT(ISNUMBER(H34)),"ЗАБЛОКИРОВАН",H34-I34))</f>
        <v/>
      </c>
      <c r="K34" s="6">
        <f>IF(AND(B34="",C34="",D34=""),"",IF(B34="","БЛОК: нужен идентификатор акта — по нему распределяются оплаты",IF(COUNTIF($B$5:$B$34,B34)&gt;1,"БЛОК: идентификатор акта повторяется — оплату нельзя отнести однозначно",IF(NOT(ISNUMBER(D34)),"БЛОК: нужен последний день срока оплаты по этому акту",IF(COUNTIF(Взаиморасчёты!$F$5:$F$504,B34)=0,"БЛОК: во «Взаиморасчётах» нет ни одной операции по этому акту",IF(NOT(ISNUMBER(Взаиморасчёты!$M$10)),"БЛОК: реестр «Взаиморасчёты» заблокирован (например, двойной учёт аванса или платёж без акта) — исправьте строки с «БЛОК»: до этого долг по акту не посчитан и в файл 08 не переносится",IF(N(H34)&lt;0,"БЛОК: до первого дня просрочки оплачено и зачтено больше, чем начислено по акту — проверьте распределение",IF(N(J34)&lt;0,"БЛОК: оплаты с первого дня просрочки больше долга на первый день просрочки — проверьте распределение","ок"))))))))</f>
        <v/>
      </c>
      <c r="L34" s="6">
        <f>IF(OR(B34="",K34&lt;&gt;"ок"),"",IF(N(H34)&gt;0,"да","нет: долга на первый день просрочки нет"))</f>
        <v/>
      </c>
    </row>
  </sheetData>
  <mergeCells count="2">
    <mergeCell ref="A2:L2"/>
    <mergeCell ref="A1:L1"/>
  </mergeCell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306"/>
  <sheetViews>
    <sheetView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18" customWidth="1" min="3" max="3"/>
    <col width="8" customWidth="1" min="4" max="4"/>
    <col width="32" customWidth="1" min="5" max="5"/>
    <col width="30" customWidth="1" min="6" max="6"/>
    <col width="12" customWidth="1" min="7" max="7"/>
    <col width="24" customWidth="1" min="8" max="8"/>
    <col width="12" customWidth="1" min="9" max="9"/>
    <col width="30" customWidth="1" min="10" max="10"/>
    <col width="24" customWidth="1" min="11" max="11"/>
  </cols>
  <sheetData>
    <row r="1" ht="18" customHeight="1">
      <c r="A1" s="1" t="inlineStr">
        <is>
          <t>Реестр передачи документов и доказательств передачи</t>
        </is>
      </c>
    </row>
    <row r="2" ht="33" customHeight="1">
      <c r="A2" s="2" t="inlineStr">
        <is>
          <t>Одна строка — одно ваше отправление: уведомление, претензия, копия иска. Без доказательства направления документ для спора считается ненаправленным. Порядок — файл 07. Входящие документы заказчика (гарантийное письмо, ответ, возражения, акт сверки) сюда не вносятся: их отметка — в файле 02, «Контроль ответа», и строкой в «Реестре приложений».</t>
        </is>
      </c>
    </row>
    <row r="4">
      <c r="A4" s="3" t="inlineStr">
        <is>
          <t>№</t>
        </is>
      </c>
      <c r="B4" s="3" t="inlineStr">
        <is>
          <t>Документ</t>
        </is>
      </c>
      <c r="C4" s="3" t="inlineStr">
        <is>
          <t>№ и дата документа</t>
        </is>
      </c>
      <c r="D4" s="3" t="inlineStr">
        <is>
          <t>Листов</t>
        </is>
      </c>
      <c r="E4" s="3" t="inlineStr">
        <is>
          <t>Адресат и адрес (ЕГРЮЛ / договор)</t>
        </is>
      </c>
      <c r="F4" s="3" t="inlineStr">
        <is>
          <t>Способ</t>
        </is>
      </c>
      <c r="G4" s="3" t="inlineStr">
        <is>
          <t>Дата отправки</t>
        </is>
      </c>
      <c r="H4" s="3" t="inlineStr">
        <is>
          <t>Идентификатор (трек, № ЭДО, вх. №)</t>
        </is>
      </c>
      <c r="I4" s="3" t="inlineStr">
        <is>
          <t>Дата получения</t>
        </is>
      </c>
      <c r="J4" s="3" t="inlineStr">
        <is>
          <t>Доказательство (где хранится)</t>
        </is>
      </c>
      <c r="K4" s="3" t="inlineStr">
        <is>
          <t>Статус</t>
        </is>
      </c>
    </row>
    <row r="5">
      <c r="A5" s="6" t="n">
        <v>1</v>
      </c>
      <c r="B5" s="8" t="n"/>
      <c r="C5" s="8" t="n"/>
      <c r="D5" s="8" t="n"/>
      <c r="E5" s="8" t="n"/>
      <c r="F5" s="8" t="n"/>
      <c r="G5" s="7" t="n"/>
      <c r="H5" s="8" t="n"/>
      <c r="I5" s="7" t="n"/>
      <c r="J5" s="8" t="n"/>
      <c r="K5" s="6">
        <f>IF(B5="","",IF(OR(F5="",G5=""),"НЕ ОТПРАВЛЕНО",IF(J5="","НЕТ ДОКАЗАТЕЛЬСТВА",IF(I5="","ОТПРАВЛЕНО, ЖДЁМ ПОЛУЧЕНИЯ","ПЕРЕДАНО"))))</f>
        <v/>
      </c>
    </row>
    <row r="6">
      <c r="A6" s="6" t="n">
        <v>2</v>
      </c>
      <c r="B6" s="8" t="n"/>
      <c r="C6" s="8" t="n"/>
      <c r="D6" s="8" t="n"/>
      <c r="E6" s="8" t="n"/>
      <c r="F6" s="8" t="n"/>
      <c r="G6" s="7" t="n"/>
      <c r="H6" s="8" t="n"/>
      <c r="I6" s="7" t="n"/>
      <c r="J6" s="8" t="n"/>
      <c r="K6" s="6">
        <f>IF(B6="","",IF(OR(F6="",G6=""),"НЕ ОТПРАВЛЕНО",IF(J6="","НЕТ ДОКАЗАТЕЛЬСТВА",IF(I6="","ОТПРАВЛЕНО, ЖДЁМ ПОЛУЧЕНИЯ","ПЕРЕДАНО"))))</f>
        <v/>
      </c>
    </row>
    <row r="7">
      <c r="A7" s="6" t="n">
        <v>3</v>
      </c>
      <c r="B7" s="8" t="n"/>
      <c r="C7" s="8" t="n"/>
      <c r="D7" s="8" t="n"/>
      <c r="E7" s="8" t="n"/>
      <c r="F7" s="8" t="n"/>
      <c r="G7" s="7" t="n"/>
      <c r="H7" s="8" t="n"/>
      <c r="I7" s="7" t="n"/>
      <c r="J7" s="8" t="n"/>
      <c r="K7" s="6">
        <f>IF(B7="","",IF(OR(F7="",G7=""),"НЕ ОТПРАВЛЕНО",IF(J7="","НЕТ ДОКАЗАТЕЛЬСТВА",IF(I7="","ОТПРАВЛЕНО, ЖДЁМ ПОЛУЧЕНИЯ","ПЕРЕДАНО"))))</f>
        <v/>
      </c>
    </row>
    <row r="8">
      <c r="A8" s="6" t="n">
        <v>4</v>
      </c>
      <c r="B8" s="8" t="n"/>
      <c r="C8" s="8" t="n"/>
      <c r="D8" s="8" t="n"/>
      <c r="E8" s="8" t="n"/>
      <c r="F8" s="8" t="n"/>
      <c r="G8" s="7" t="n"/>
      <c r="H8" s="8" t="n"/>
      <c r="I8" s="7" t="n"/>
      <c r="J8" s="8" t="n"/>
      <c r="K8" s="6">
        <f>IF(B8="","",IF(OR(F8="",G8=""),"НЕ ОТПРАВЛЕНО",IF(J8="","НЕТ ДОКАЗАТЕЛЬСТВА",IF(I8="","ОТПРАВЛЕНО, ЖДЁМ ПОЛУЧЕНИЯ","ПЕРЕДАНО"))))</f>
        <v/>
      </c>
    </row>
    <row r="9">
      <c r="A9" s="6" t="n">
        <v>5</v>
      </c>
      <c r="B9" s="8" t="n"/>
      <c r="C9" s="8" t="n"/>
      <c r="D9" s="8" t="n"/>
      <c r="E9" s="8" t="n"/>
      <c r="F9" s="8" t="n"/>
      <c r="G9" s="7" t="n"/>
      <c r="H9" s="8" t="n"/>
      <c r="I9" s="7" t="n"/>
      <c r="J9" s="8" t="n"/>
      <c r="K9" s="6">
        <f>IF(B9="","",IF(OR(F9="",G9=""),"НЕ ОТПРАВЛЕНО",IF(J9="","НЕТ ДОКАЗАТЕЛЬСТВА",IF(I9="","ОТПРАВЛЕНО, ЖДЁМ ПОЛУЧЕНИЯ","ПЕРЕДАНО"))))</f>
        <v/>
      </c>
    </row>
    <row r="10">
      <c r="A10" s="6" t="n">
        <v>6</v>
      </c>
      <c r="B10" s="8" t="n"/>
      <c r="C10" s="8" t="n"/>
      <c r="D10" s="8" t="n"/>
      <c r="E10" s="8" t="n"/>
      <c r="F10" s="8" t="n"/>
      <c r="G10" s="7" t="n"/>
      <c r="H10" s="8" t="n"/>
      <c r="I10" s="7" t="n"/>
      <c r="J10" s="8" t="n"/>
      <c r="K10" s="6">
        <f>IF(B10="","",IF(OR(F10="",G10=""),"НЕ ОТПРАВЛЕНО",IF(J10="","НЕТ ДОКАЗАТЕЛЬСТВА",IF(I10="","ОТПРАВЛЕНО, ЖДЁМ ПОЛУЧЕНИЯ","ПЕРЕДАНО"))))</f>
        <v/>
      </c>
    </row>
    <row r="11">
      <c r="A11" s="6" t="n">
        <v>7</v>
      </c>
      <c r="B11" s="8" t="n"/>
      <c r="C11" s="8" t="n"/>
      <c r="D11" s="8" t="n"/>
      <c r="E11" s="8" t="n"/>
      <c r="F11" s="8" t="n"/>
      <c r="G11" s="7" t="n"/>
      <c r="H11" s="8" t="n"/>
      <c r="I11" s="7" t="n"/>
      <c r="J11" s="8" t="n"/>
      <c r="K11" s="6">
        <f>IF(B11="","",IF(OR(F11="",G11=""),"НЕ ОТПРАВЛЕНО",IF(J11="","НЕТ ДОКАЗАТЕЛЬСТВА",IF(I11="","ОТПРАВЛЕНО, ЖДЁМ ПОЛУЧЕНИЯ","ПЕРЕДАНО"))))</f>
        <v/>
      </c>
    </row>
    <row r="12">
      <c r="A12" s="6" t="n">
        <v>8</v>
      </c>
      <c r="B12" s="8" t="n"/>
      <c r="C12" s="8" t="n"/>
      <c r="D12" s="8" t="n"/>
      <c r="E12" s="8" t="n"/>
      <c r="F12" s="8" t="n"/>
      <c r="G12" s="7" t="n"/>
      <c r="H12" s="8" t="n"/>
      <c r="I12" s="7" t="n"/>
      <c r="J12" s="8" t="n"/>
      <c r="K12" s="6">
        <f>IF(B12="","",IF(OR(F12="",G12=""),"НЕ ОТПРАВЛЕНО",IF(J12="","НЕТ ДОКАЗАТЕЛЬСТВА",IF(I12="","ОТПРАВЛЕНО, ЖДЁМ ПОЛУЧЕНИЯ","ПЕРЕДАНО"))))</f>
        <v/>
      </c>
    </row>
    <row r="13">
      <c r="A13" s="6" t="n">
        <v>9</v>
      </c>
      <c r="B13" s="8" t="n"/>
      <c r="C13" s="8" t="n"/>
      <c r="D13" s="8" t="n"/>
      <c r="E13" s="8" t="n"/>
      <c r="F13" s="8" t="n"/>
      <c r="G13" s="7" t="n"/>
      <c r="H13" s="8" t="n"/>
      <c r="I13" s="7" t="n"/>
      <c r="J13" s="8" t="n"/>
      <c r="K13" s="6">
        <f>IF(B13="","",IF(OR(F13="",G13=""),"НЕ ОТПРАВЛЕНО",IF(J13="","НЕТ ДОКАЗАТЕЛЬСТВА",IF(I13="","ОТПРАВЛЕНО, ЖДЁМ ПОЛУЧЕНИЯ","ПЕРЕДАНО"))))</f>
        <v/>
      </c>
    </row>
    <row r="14">
      <c r="A14" s="6" t="n">
        <v>10</v>
      </c>
      <c r="B14" s="8" t="n"/>
      <c r="C14" s="8" t="n"/>
      <c r="D14" s="8" t="n"/>
      <c r="E14" s="8" t="n"/>
      <c r="F14" s="8" t="n"/>
      <c r="G14" s="7" t="n"/>
      <c r="H14" s="8" t="n"/>
      <c r="I14" s="7" t="n"/>
      <c r="J14" s="8" t="n"/>
      <c r="K14" s="6">
        <f>IF(B14="","",IF(OR(F14="",G14=""),"НЕ ОТПРАВЛЕНО",IF(J14="","НЕТ ДОКАЗАТЕЛЬСТВА",IF(I14="","ОТПРАВЛЕНО, ЖДЁМ ПОЛУЧЕНИЯ","ПЕРЕДАНО"))))</f>
        <v/>
      </c>
    </row>
    <row r="15">
      <c r="A15" s="6" t="n">
        <v>11</v>
      </c>
      <c r="B15" s="8" t="n"/>
      <c r="C15" s="8" t="n"/>
      <c r="D15" s="8" t="n"/>
      <c r="E15" s="8" t="n"/>
      <c r="F15" s="8" t="n"/>
      <c r="G15" s="7" t="n"/>
      <c r="H15" s="8" t="n"/>
      <c r="I15" s="7" t="n"/>
      <c r="J15" s="8" t="n"/>
      <c r="K15" s="6">
        <f>IF(B15="","",IF(OR(F15="",G15=""),"НЕ ОТПРАВЛЕНО",IF(J15="","НЕТ ДОКАЗАТЕЛЬСТВА",IF(I15="","ОТПРАВЛЕНО, ЖДЁМ ПОЛУЧЕНИЯ","ПЕРЕДАНО"))))</f>
        <v/>
      </c>
    </row>
    <row r="16">
      <c r="A16" s="6" t="n">
        <v>12</v>
      </c>
      <c r="B16" s="8" t="n"/>
      <c r="C16" s="8" t="n"/>
      <c r="D16" s="8" t="n"/>
      <c r="E16" s="8" t="n"/>
      <c r="F16" s="8" t="n"/>
      <c r="G16" s="7" t="n"/>
      <c r="H16" s="8" t="n"/>
      <c r="I16" s="7" t="n"/>
      <c r="J16" s="8" t="n"/>
      <c r="K16" s="6">
        <f>IF(B16="","",IF(OR(F16="",G16=""),"НЕ ОТПРАВЛЕНО",IF(J16="","НЕТ ДОКАЗАТЕЛЬСТВА",IF(I16="","ОТПРАВЛЕНО, ЖДЁМ ПОЛУЧЕНИЯ","ПЕРЕДАНО"))))</f>
        <v/>
      </c>
    </row>
    <row r="17">
      <c r="A17" s="6" t="n">
        <v>13</v>
      </c>
      <c r="B17" s="8" t="n"/>
      <c r="C17" s="8" t="n"/>
      <c r="D17" s="8" t="n"/>
      <c r="E17" s="8" t="n"/>
      <c r="F17" s="8" t="n"/>
      <c r="G17" s="7" t="n"/>
      <c r="H17" s="8" t="n"/>
      <c r="I17" s="7" t="n"/>
      <c r="J17" s="8" t="n"/>
      <c r="K17" s="6">
        <f>IF(B17="","",IF(OR(F17="",G17=""),"НЕ ОТПРАВЛЕНО",IF(J17="","НЕТ ДОКАЗАТЕЛЬСТВА",IF(I17="","ОТПРАВЛЕНО, ЖДЁМ ПОЛУЧЕНИЯ","ПЕРЕДАНО"))))</f>
        <v/>
      </c>
    </row>
    <row r="18">
      <c r="A18" s="6" t="n">
        <v>14</v>
      </c>
      <c r="B18" s="8" t="n"/>
      <c r="C18" s="8" t="n"/>
      <c r="D18" s="8" t="n"/>
      <c r="E18" s="8" t="n"/>
      <c r="F18" s="8" t="n"/>
      <c r="G18" s="7" t="n"/>
      <c r="H18" s="8" t="n"/>
      <c r="I18" s="7" t="n"/>
      <c r="J18" s="8" t="n"/>
      <c r="K18" s="6">
        <f>IF(B18="","",IF(OR(F18="",G18=""),"НЕ ОТПРАВЛЕНО",IF(J18="","НЕТ ДОКАЗАТЕЛЬСТВА",IF(I18="","ОТПРАВЛЕНО, ЖДЁМ ПОЛУЧЕНИЯ","ПЕРЕДАНО"))))</f>
        <v/>
      </c>
    </row>
    <row r="19">
      <c r="A19" s="6" t="n">
        <v>15</v>
      </c>
      <c r="B19" s="8" t="n"/>
      <c r="C19" s="8" t="n"/>
      <c r="D19" s="8" t="n"/>
      <c r="E19" s="8" t="n"/>
      <c r="F19" s="8" t="n"/>
      <c r="G19" s="7" t="n"/>
      <c r="H19" s="8" t="n"/>
      <c r="I19" s="7" t="n"/>
      <c r="J19" s="8" t="n"/>
      <c r="K19" s="6">
        <f>IF(B19="","",IF(OR(F19="",G19=""),"НЕ ОТПРАВЛЕНО",IF(J19="","НЕТ ДОКАЗАТЕЛЬСТВА",IF(I19="","ОТПРАВЛЕНО, ЖДЁМ ПОЛУЧЕНИЯ","ПЕРЕДАНО"))))</f>
        <v/>
      </c>
    </row>
    <row r="20">
      <c r="A20" s="6" t="n">
        <v>16</v>
      </c>
      <c r="B20" s="8" t="n"/>
      <c r="C20" s="8" t="n"/>
      <c r="D20" s="8" t="n"/>
      <c r="E20" s="8" t="n"/>
      <c r="F20" s="8" t="n"/>
      <c r="G20" s="7" t="n"/>
      <c r="H20" s="8" t="n"/>
      <c r="I20" s="7" t="n"/>
      <c r="J20" s="8" t="n"/>
      <c r="K20" s="6">
        <f>IF(B20="","",IF(OR(F20="",G20=""),"НЕ ОТПРАВЛЕНО",IF(J20="","НЕТ ДОКАЗАТЕЛЬСТВА",IF(I20="","ОТПРАВЛЕНО, ЖДЁМ ПОЛУЧЕНИЯ","ПЕРЕДАНО"))))</f>
        <v/>
      </c>
    </row>
    <row r="21">
      <c r="A21" s="6" t="n">
        <v>17</v>
      </c>
      <c r="B21" s="8" t="n"/>
      <c r="C21" s="8" t="n"/>
      <c r="D21" s="8" t="n"/>
      <c r="E21" s="8" t="n"/>
      <c r="F21" s="8" t="n"/>
      <c r="G21" s="7" t="n"/>
      <c r="H21" s="8" t="n"/>
      <c r="I21" s="7" t="n"/>
      <c r="J21" s="8" t="n"/>
      <c r="K21" s="6">
        <f>IF(B21="","",IF(OR(F21="",G21=""),"НЕ ОТПРАВЛЕНО",IF(J21="","НЕТ ДОКАЗАТЕЛЬСТВА",IF(I21="","ОТПРАВЛЕНО, ЖДЁМ ПОЛУЧЕНИЯ","ПЕРЕДАНО"))))</f>
        <v/>
      </c>
    </row>
    <row r="22">
      <c r="A22" s="6" t="n">
        <v>18</v>
      </c>
      <c r="B22" s="8" t="n"/>
      <c r="C22" s="8" t="n"/>
      <c r="D22" s="8" t="n"/>
      <c r="E22" s="8" t="n"/>
      <c r="F22" s="8" t="n"/>
      <c r="G22" s="7" t="n"/>
      <c r="H22" s="8" t="n"/>
      <c r="I22" s="7" t="n"/>
      <c r="J22" s="8" t="n"/>
      <c r="K22" s="6">
        <f>IF(B22="","",IF(OR(F22="",G22=""),"НЕ ОТПРАВЛЕНО",IF(J22="","НЕТ ДОКАЗАТЕЛЬСТВА",IF(I22="","ОТПРАВЛЕНО, ЖДЁМ ПОЛУЧЕНИЯ","ПЕРЕДАНО"))))</f>
        <v/>
      </c>
    </row>
    <row r="23">
      <c r="A23" s="6" t="n">
        <v>19</v>
      </c>
      <c r="B23" s="8" t="n"/>
      <c r="C23" s="8" t="n"/>
      <c r="D23" s="8" t="n"/>
      <c r="E23" s="8" t="n"/>
      <c r="F23" s="8" t="n"/>
      <c r="G23" s="7" t="n"/>
      <c r="H23" s="8" t="n"/>
      <c r="I23" s="7" t="n"/>
      <c r="J23" s="8" t="n"/>
      <c r="K23" s="6">
        <f>IF(B23="","",IF(OR(F23="",G23=""),"НЕ ОТПРАВЛЕНО",IF(J23="","НЕТ ДОКАЗАТЕЛЬСТВА",IF(I23="","ОТПРАВЛЕНО, ЖДЁМ ПОЛУЧЕНИЯ","ПЕРЕДАНО"))))</f>
        <v/>
      </c>
    </row>
    <row r="24">
      <c r="A24" s="6" t="n">
        <v>20</v>
      </c>
      <c r="B24" s="8" t="n"/>
      <c r="C24" s="8" t="n"/>
      <c r="D24" s="8" t="n"/>
      <c r="E24" s="8" t="n"/>
      <c r="F24" s="8" t="n"/>
      <c r="G24" s="7" t="n"/>
      <c r="H24" s="8" t="n"/>
      <c r="I24" s="7" t="n"/>
      <c r="J24" s="8" t="n"/>
      <c r="K24" s="6">
        <f>IF(B24="","",IF(OR(F24="",G24=""),"НЕ ОТПРАВЛЕНО",IF(J24="","НЕТ ДОКАЗАТЕЛЬСТВА",IF(I24="","ОТПРАВЛЕНО, ЖДЁМ ПОЛУЧЕНИЯ","ПЕРЕДАНО"))))</f>
        <v/>
      </c>
    </row>
    <row r="25">
      <c r="A25" s="6" t="n">
        <v>21</v>
      </c>
      <c r="B25" s="8" t="n"/>
      <c r="C25" s="8" t="n"/>
      <c r="D25" s="8" t="n"/>
      <c r="E25" s="8" t="n"/>
      <c r="F25" s="8" t="n"/>
      <c r="G25" s="7" t="n"/>
      <c r="H25" s="8" t="n"/>
      <c r="I25" s="7" t="n"/>
      <c r="J25" s="8" t="n"/>
      <c r="K25" s="6">
        <f>IF(B25="","",IF(OR(F25="",G25=""),"НЕ ОТПРАВЛЕНО",IF(J25="","НЕТ ДОКАЗАТЕЛЬСТВА",IF(I25="","ОТПРАВЛЕНО, ЖДЁМ ПОЛУЧЕНИЯ","ПЕРЕДАНО"))))</f>
        <v/>
      </c>
    </row>
    <row r="26">
      <c r="A26" s="6" t="n">
        <v>22</v>
      </c>
      <c r="B26" s="8" t="n"/>
      <c r="C26" s="8" t="n"/>
      <c r="D26" s="8" t="n"/>
      <c r="E26" s="8" t="n"/>
      <c r="F26" s="8" t="n"/>
      <c r="G26" s="7" t="n"/>
      <c r="H26" s="8" t="n"/>
      <c r="I26" s="7" t="n"/>
      <c r="J26" s="8" t="n"/>
      <c r="K26" s="6">
        <f>IF(B26="","",IF(OR(F26="",G26=""),"НЕ ОТПРАВЛЕНО",IF(J26="","НЕТ ДОКАЗАТЕЛЬСТВА",IF(I26="","ОТПРАВЛЕНО, ЖДЁМ ПОЛУЧЕНИЯ","ПЕРЕДАНО"))))</f>
        <v/>
      </c>
    </row>
    <row r="27">
      <c r="A27" s="6" t="n">
        <v>23</v>
      </c>
      <c r="B27" s="8" t="n"/>
      <c r="C27" s="8" t="n"/>
      <c r="D27" s="8" t="n"/>
      <c r="E27" s="8" t="n"/>
      <c r="F27" s="8" t="n"/>
      <c r="G27" s="7" t="n"/>
      <c r="H27" s="8" t="n"/>
      <c r="I27" s="7" t="n"/>
      <c r="J27" s="8" t="n"/>
      <c r="K27" s="6">
        <f>IF(B27="","",IF(OR(F27="",G27=""),"НЕ ОТПРАВЛЕНО",IF(J27="","НЕТ ДОКАЗАТЕЛЬСТВА",IF(I27="","ОТПРАВЛЕНО, ЖДЁМ ПОЛУЧЕНИЯ","ПЕРЕДАНО"))))</f>
        <v/>
      </c>
    </row>
    <row r="28">
      <c r="A28" s="6" t="n">
        <v>24</v>
      </c>
      <c r="B28" s="8" t="n"/>
      <c r="C28" s="8" t="n"/>
      <c r="D28" s="8" t="n"/>
      <c r="E28" s="8" t="n"/>
      <c r="F28" s="8" t="n"/>
      <c r="G28" s="7" t="n"/>
      <c r="H28" s="8" t="n"/>
      <c r="I28" s="7" t="n"/>
      <c r="J28" s="8" t="n"/>
      <c r="K28" s="6">
        <f>IF(B28="","",IF(OR(F28="",G28=""),"НЕ ОТПРАВЛЕНО",IF(J28="","НЕТ ДОКАЗАТЕЛЬСТВА",IF(I28="","ОТПРАВЛЕНО, ЖДЁМ ПОЛУЧЕНИЯ","ПЕРЕДАНО"))))</f>
        <v/>
      </c>
    </row>
    <row r="29">
      <c r="A29" s="6" t="n">
        <v>25</v>
      </c>
      <c r="B29" s="8" t="n"/>
      <c r="C29" s="8" t="n"/>
      <c r="D29" s="8" t="n"/>
      <c r="E29" s="8" t="n"/>
      <c r="F29" s="8" t="n"/>
      <c r="G29" s="7" t="n"/>
      <c r="H29" s="8" t="n"/>
      <c r="I29" s="7" t="n"/>
      <c r="J29" s="8" t="n"/>
      <c r="K29" s="6">
        <f>IF(B29="","",IF(OR(F29="",G29=""),"НЕ ОТПРАВЛЕНО",IF(J29="","НЕТ ДОКАЗАТЕЛЬСТВА",IF(I29="","ОТПРАВЛЕНО, ЖДЁМ ПОЛУЧЕНИЯ","ПЕРЕДАНО"))))</f>
        <v/>
      </c>
    </row>
    <row r="30">
      <c r="A30" s="6" t="n">
        <v>26</v>
      </c>
      <c r="B30" s="8" t="n"/>
      <c r="C30" s="8" t="n"/>
      <c r="D30" s="8" t="n"/>
      <c r="E30" s="8" t="n"/>
      <c r="F30" s="8" t="n"/>
      <c r="G30" s="7" t="n"/>
      <c r="H30" s="8" t="n"/>
      <c r="I30" s="7" t="n"/>
      <c r="J30" s="8" t="n"/>
      <c r="K30" s="6">
        <f>IF(B30="","",IF(OR(F30="",G30=""),"НЕ ОТПРАВЛЕНО",IF(J30="","НЕТ ДОКАЗАТЕЛЬСТВА",IF(I30="","ОТПРАВЛЕНО, ЖДЁМ ПОЛУЧЕНИЯ","ПЕРЕДАНО"))))</f>
        <v/>
      </c>
    </row>
    <row r="31">
      <c r="A31" s="6" t="n">
        <v>27</v>
      </c>
      <c r="B31" s="8" t="n"/>
      <c r="C31" s="8" t="n"/>
      <c r="D31" s="8" t="n"/>
      <c r="E31" s="8" t="n"/>
      <c r="F31" s="8" t="n"/>
      <c r="G31" s="7" t="n"/>
      <c r="H31" s="8" t="n"/>
      <c r="I31" s="7" t="n"/>
      <c r="J31" s="8" t="n"/>
      <c r="K31" s="6">
        <f>IF(B31="","",IF(OR(F31="",G31=""),"НЕ ОТПРАВЛЕНО",IF(J31="","НЕТ ДОКАЗАТЕЛЬСТВА",IF(I31="","ОТПРАВЛЕНО, ЖДЁМ ПОЛУЧЕНИЯ","ПЕРЕДАНО"))))</f>
        <v/>
      </c>
    </row>
    <row r="32">
      <c r="A32" s="6" t="n">
        <v>28</v>
      </c>
      <c r="B32" s="8" t="n"/>
      <c r="C32" s="8" t="n"/>
      <c r="D32" s="8" t="n"/>
      <c r="E32" s="8" t="n"/>
      <c r="F32" s="8" t="n"/>
      <c r="G32" s="7" t="n"/>
      <c r="H32" s="8" t="n"/>
      <c r="I32" s="7" t="n"/>
      <c r="J32" s="8" t="n"/>
      <c r="K32" s="6">
        <f>IF(B32="","",IF(OR(F32="",G32=""),"НЕ ОТПРАВЛЕНО",IF(J32="","НЕТ ДОКАЗАТЕЛЬСТВА",IF(I32="","ОТПРАВЛЕНО, ЖДЁМ ПОЛУЧЕНИЯ","ПЕРЕДАНО"))))</f>
        <v/>
      </c>
    </row>
    <row r="33">
      <c r="A33" s="6" t="n">
        <v>29</v>
      </c>
      <c r="B33" s="8" t="n"/>
      <c r="C33" s="8" t="n"/>
      <c r="D33" s="8" t="n"/>
      <c r="E33" s="8" t="n"/>
      <c r="F33" s="8" t="n"/>
      <c r="G33" s="7" t="n"/>
      <c r="H33" s="8" t="n"/>
      <c r="I33" s="7" t="n"/>
      <c r="J33" s="8" t="n"/>
      <c r="K33" s="6">
        <f>IF(B33="","",IF(OR(F33="",G33=""),"НЕ ОТПРАВЛЕНО",IF(J33="","НЕТ ДОКАЗАТЕЛЬСТВА",IF(I33="","ОТПРАВЛЕНО, ЖДЁМ ПОЛУЧЕНИЯ","ПЕРЕДАНО"))))</f>
        <v/>
      </c>
    </row>
    <row r="34">
      <c r="A34" s="6" t="n">
        <v>30</v>
      </c>
      <c r="B34" s="8" t="n"/>
      <c r="C34" s="8" t="n"/>
      <c r="D34" s="8" t="n"/>
      <c r="E34" s="8" t="n"/>
      <c r="F34" s="8" t="n"/>
      <c r="G34" s="7" t="n"/>
      <c r="H34" s="8" t="n"/>
      <c r="I34" s="7" t="n"/>
      <c r="J34" s="8" t="n"/>
      <c r="K34" s="6">
        <f>IF(B34="","",IF(OR(F34="",G34=""),"НЕ ОТПРАВЛЕНО",IF(J34="","НЕТ ДОКАЗАТЕЛЬСТВА",IF(I34="","ОТПРАВЛЕНО, ЖДЁМ ПОЛУЧЕНИЯ","ПЕРЕДАНО"))))</f>
        <v/>
      </c>
    </row>
    <row r="35">
      <c r="A35" s="6" t="n">
        <v>31</v>
      </c>
      <c r="B35" s="8" t="n"/>
      <c r="C35" s="8" t="n"/>
      <c r="D35" s="8" t="n"/>
      <c r="E35" s="8" t="n"/>
      <c r="F35" s="8" t="n"/>
      <c r="G35" s="7" t="n"/>
      <c r="H35" s="8" t="n"/>
      <c r="I35" s="7" t="n"/>
      <c r="J35" s="8" t="n"/>
      <c r="K35" s="6">
        <f>IF(B35="","",IF(OR(F35="",G35=""),"НЕ ОТПРАВЛЕНО",IF(J35="","НЕТ ДОКАЗАТЕЛЬСТВА",IF(I35="","ОТПРАВЛЕНО, ЖДЁМ ПОЛУЧЕНИЯ","ПЕРЕДАНО"))))</f>
        <v/>
      </c>
    </row>
    <row r="36">
      <c r="A36" s="6" t="n">
        <v>32</v>
      </c>
      <c r="B36" s="8" t="n"/>
      <c r="C36" s="8" t="n"/>
      <c r="D36" s="8" t="n"/>
      <c r="E36" s="8" t="n"/>
      <c r="F36" s="8" t="n"/>
      <c r="G36" s="7" t="n"/>
      <c r="H36" s="8" t="n"/>
      <c r="I36" s="7" t="n"/>
      <c r="J36" s="8" t="n"/>
      <c r="K36" s="6">
        <f>IF(B36="","",IF(OR(F36="",G36=""),"НЕ ОТПРАВЛЕНО",IF(J36="","НЕТ ДОКАЗАТЕЛЬСТВА",IF(I36="","ОТПРАВЛЕНО, ЖДЁМ ПОЛУЧЕНИЯ","ПЕРЕДАНО"))))</f>
        <v/>
      </c>
    </row>
    <row r="37">
      <c r="A37" s="6" t="n">
        <v>33</v>
      </c>
      <c r="B37" s="8" t="n"/>
      <c r="C37" s="8" t="n"/>
      <c r="D37" s="8" t="n"/>
      <c r="E37" s="8" t="n"/>
      <c r="F37" s="8" t="n"/>
      <c r="G37" s="7" t="n"/>
      <c r="H37" s="8" t="n"/>
      <c r="I37" s="7" t="n"/>
      <c r="J37" s="8" t="n"/>
      <c r="K37" s="6">
        <f>IF(B37="","",IF(OR(F37="",G37=""),"НЕ ОТПРАВЛЕНО",IF(J37="","НЕТ ДОКАЗАТЕЛЬСТВА",IF(I37="","ОТПРАВЛЕНО, ЖДЁМ ПОЛУЧЕНИЯ","ПЕРЕДАНО"))))</f>
        <v/>
      </c>
    </row>
    <row r="38">
      <c r="A38" s="6" t="n">
        <v>34</v>
      </c>
      <c r="B38" s="8" t="n"/>
      <c r="C38" s="8" t="n"/>
      <c r="D38" s="8" t="n"/>
      <c r="E38" s="8" t="n"/>
      <c r="F38" s="8" t="n"/>
      <c r="G38" s="7" t="n"/>
      <c r="H38" s="8" t="n"/>
      <c r="I38" s="7" t="n"/>
      <c r="J38" s="8" t="n"/>
      <c r="K38" s="6">
        <f>IF(B38="","",IF(OR(F38="",G38=""),"НЕ ОТПРАВЛЕНО",IF(J38="","НЕТ ДОКАЗАТЕЛЬСТВА",IF(I38="","ОТПРАВЛЕНО, ЖДЁМ ПОЛУЧЕНИЯ","ПЕРЕДАНО"))))</f>
        <v/>
      </c>
    </row>
    <row r="39">
      <c r="A39" s="6" t="n">
        <v>35</v>
      </c>
      <c r="B39" s="8" t="n"/>
      <c r="C39" s="8" t="n"/>
      <c r="D39" s="8" t="n"/>
      <c r="E39" s="8" t="n"/>
      <c r="F39" s="8" t="n"/>
      <c r="G39" s="7" t="n"/>
      <c r="H39" s="8" t="n"/>
      <c r="I39" s="7" t="n"/>
      <c r="J39" s="8" t="n"/>
      <c r="K39" s="6">
        <f>IF(B39="","",IF(OR(F39="",G39=""),"НЕ ОТПРАВЛЕНО",IF(J39="","НЕТ ДОКАЗАТЕЛЬСТВА",IF(I39="","ОТПРАВЛЕНО, ЖДЁМ ПОЛУЧЕНИЯ","ПЕРЕДАНО"))))</f>
        <v/>
      </c>
    </row>
    <row r="40">
      <c r="A40" s="6" t="n">
        <v>36</v>
      </c>
      <c r="B40" s="8" t="n"/>
      <c r="C40" s="8" t="n"/>
      <c r="D40" s="8" t="n"/>
      <c r="E40" s="8" t="n"/>
      <c r="F40" s="8" t="n"/>
      <c r="G40" s="7" t="n"/>
      <c r="H40" s="8" t="n"/>
      <c r="I40" s="7" t="n"/>
      <c r="J40" s="8" t="n"/>
      <c r="K40" s="6">
        <f>IF(B40="","",IF(OR(F40="",G40=""),"НЕ ОТПРАВЛЕНО",IF(J40="","НЕТ ДОКАЗАТЕЛЬСТВА",IF(I40="","ОТПРАВЛЕНО, ЖДЁМ ПОЛУЧЕНИЯ","ПЕРЕДАНО"))))</f>
        <v/>
      </c>
    </row>
    <row r="41">
      <c r="A41" s="6" t="n">
        <v>37</v>
      </c>
      <c r="B41" s="8" t="n"/>
      <c r="C41" s="8" t="n"/>
      <c r="D41" s="8" t="n"/>
      <c r="E41" s="8" t="n"/>
      <c r="F41" s="8" t="n"/>
      <c r="G41" s="7" t="n"/>
      <c r="H41" s="8" t="n"/>
      <c r="I41" s="7" t="n"/>
      <c r="J41" s="8" t="n"/>
      <c r="K41" s="6">
        <f>IF(B41="","",IF(OR(F41="",G41=""),"НЕ ОТПРАВЛЕНО",IF(J41="","НЕТ ДОКАЗАТЕЛЬСТВА",IF(I41="","ОТПРАВЛЕНО, ЖДЁМ ПОЛУЧЕНИЯ","ПЕРЕДАНО"))))</f>
        <v/>
      </c>
    </row>
    <row r="42">
      <c r="A42" s="6" t="n">
        <v>38</v>
      </c>
      <c r="B42" s="8" t="n"/>
      <c r="C42" s="8" t="n"/>
      <c r="D42" s="8" t="n"/>
      <c r="E42" s="8" t="n"/>
      <c r="F42" s="8" t="n"/>
      <c r="G42" s="7" t="n"/>
      <c r="H42" s="8" t="n"/>
      <c r="I42" s="7" t="n"/>
      <c r="J42" s="8" t="n"/>
      <c r="K42" s="6">
        <f>IF(B42="","",IF(OR(F42="",G42=""),"НЕ ОТПРАВЛЕНО",IF(J42="","НЕТ ДОКАЗАТЕЛЬСТВА",IF(I42="","ОТПРАВЛЕНО, ЖДЁМ ПОЛУЧЕНИЯ","ПЕРЕДАНО"))))</f>
        <v/>
      </c>
    </row>
    <row r="43">
      <c r="A43" s="6" t="n">
        <v>39</v>
      </c>
      <c r="B43" s="8" t="n"/>
      <c r="C43" s="8" t="n"/>
      <c r="D43" s="8" t="n"/>
      <c r="E43" s="8" t="n"/>
      <c r="F43" s="8" t="n"/>
      <c r="G43" s="7" t="n"/>
      <c r="H43" s="8" t="n"/>
      <c r="I43" s="7" t="n"/>
      <c r="J43" s="8" t="n"/>
      <c r="K43" s="6">
        <f>IF(B43="","",IF(OR(F43="",G43=""),"НЕ ОТПРАВЛЕНО",IF(J43="","НЕТ ДОКАЗАТЕЛЬСТВА",IF(I43="","ОТПРАВЛЕНО, ЖДЁМ ПОЛУЧЕНИЯ","ПЕРЕДАНО"))))</f>
        <v/>
      </c>
    </row>
    <row r="44">
      <c r="A44" s="6" t="n">
        <v>40</v>
      </c>
      <c r="B44" s="8" t="n"/>
      <c r="C44" s="8" t="n"/>
      <c r="D44" s="8" t="n"/>
      <c r="E44" s="8" t="n"/>
      <c r="F44" s="8" t="n"/>
      <c r="G44" s="7" t="n"/>
      <c r="H44" s="8" t="n"/>
      <c r="I44" s="7" t="n"/>
      <c r="J44" s="8" t="n"/>
      <c r="K44" s="6">
        <f>IF(B44="","",IF(OR(F44="",G44=""),"НЕ ОТПРАВЛЕНО",IF(J44="","НЕТ ДОКАЗАТЕЛЬСТВА",IF(I44="","ОТПРАВЛЕНО, ЖДЁМ ПОЛУЧЕНИЯ","ПЕРЕДАНО"))))</f>
        <v/>
      </c>
    </row>
    <row r="45">
      <c r="A45" s="6" t="n">
        <v>41</v>
      </c>
      <c r="B45" s="8" t="n"/>
      <c r="C45" s="8" t="n"/>
      <c r="D45" s="8" t="n"/>
      <c r="E45" s="8" t="n"/>
      <c r="F45" s="8" t="n"/>
      <c r="G45" s="7" t="n"/>
      <c r="H45" s="8" t="n"/>
      <c r="I45" s="7" t="n"/>
      <c r="J45" s="8" t="n"/>
      <c r="K45" s="6">
        <f>IF(B45="","",IF(OR(F45="",G45=""),"НЕ ОТПРАВЛЕНО",IF(J45="","НЕТ ДОКАЗАТЕЛЬСТВА",IF(I45="","ОТПРАВЛЕНО, ЖДЁМ ПОЛУЧЕНИЯ","ПЕРЕДАНО"))))</f>
        <v/>
      </c>
    </row>
    <row r="46">
      <c r="A46" s="6" t="n">
        <v>42</v>
      </c>
      <c r="B46" s="8" t="n"/>
      <c r="C46" s="8" t="n"/>
      <c r="D46" s="8" t="n"/>
      <c r="E46" s="8" t="n"/>
      <c r="F46" s="8" t="n"/>
      <c r="G46" s="7" t="n"/>
      <c r="H46" s="8" t="n"/>
      <c r="I46" s="7" t="n"/>
      <c r="J46" s="8" t="n"/>
      <c r="K46" s="6">
        <f>IF(B46="","",IF(OR(F46="",G46=""),"НЕ ОТПРАВЛЕНО",IF(J46="","НЕТ ДОКАЗАТЕЛЬСТВА",IF(I46="","ОТПРАВЛЕНО, ЖДЁМ ПОЛУЧЕНИЯ","ПЕРЕДАНО"))))</f>
        <v/>
      </c>
    </row>
    <row r="47">
      <c r="A47" s="6" t="n">
        <v>43</v>
      </c>
      <c r="B47" s="8" t="n"/>
      <c r="C47" s="8" t="n"/>
      <c r="D47" s="8" t="n"/>
      <c r="E47" s="8" t="n"/>
      <c r="F47" s="8" t="n"/>
      <c r="G47" s="7" t="n"/>
      <c r="H47" s="8" t="n"/>
      <c r="I47" s="7" t="n"/>
      <c r="J47" s="8" t="n"/>
      <c r="K47" s="6">
        <f>IF(B47="","",IF(OR(F47="",G47=""),"НЕ ОТПРАВЛЕНО",IF(J47="","НЕТ ДОКАЗАТЕЛЬСТВА",IF(I47="","ОТПРАВЛЕНО, ЖДЁМ ПОЛУЧЕНИЯ","ПЕРЕДАНО"))))</f>
        <v/>
      </c>
    </row>
    <row r="48">
      <c r="A48" s="6" t="n">
        <v>44</v>
      </c>
      <c r="B48" s="8" t="n"/>
      <c r="C48" s="8" t="n"/>
      <c r="D48" s="8" t="n"/>
      <c r="E48" s="8" t="n"/>
      <c r="F48" s="8" t="n"/>
      <c r="G48" s="7" t="n"/>
      <c r="H48" s="8" t="n"/>
      <c r="I48" s="7" t="n"/>
      <c r="J48" s="8" t="n"/>
      <c r="K48" s="6">
        <f>IF(B48="","",IF(OR(F48="",G48=""),"НЕ ОТПРАВЛЕНО",IF(J48="","НЕТ ДОКАЗАТЕЛЬСТВА",IF(I48="","ОТПРАВЛЕНО, ЖДЁМ ПОЛУЧЕНИЯ","ПЕРЕДАНО"))))</f>
        <v/>
      </c>
    </row>
    <row r="49">
      <c r="A49" s="6" t="n">
        <v>45</v>
      </c>
      <c r="B49" s="8" t="n"/>
      <c r="C49" s="8" t="n"/>
      <c r="D49" s="8" t="n"/>
      <c r="E49" s="8" t="n"/>
      <c r="F49" s="8" t="n"/>
      <c r="G49" s="7" t="n"/>
      <c r="H49" s="8" t="n"/>
      <c r="I49" s="7" t="n"/>
      <c r="J49" s="8" t="n"/>
      <c r="K49" s="6">
        <f>IF(B49="","",IF(OR(F49="",G49=""),"НЕ ОТПРАВЛЕНО",IF(J49="","НЕТ ДОКАЗАТЕЛЬСТВА",IF(I49="","ОТПРАВЛЕНО, ЖДЁМ ПОЛУЧЕНИЯ","ПЕРЕДАНО"))))</f>
        <v/>
      </c>
    </row>
    <row r="50">
      <c r="A50" s="6" t="n">
        <v>46</v>
      </c>
      <c r="B50" s="8" t="n"/>
      <c r="C50" s="8" t="n"/>
      <c r="D50" s="8" t="n"/>
      <c r="E50" s="8" t="n"/>
      <c r="F50" s="8" t="n"/>
      <c r="G50" s="7" t="n"/>
      <c r="H50" s="8" t="n"/>
      <c r="I50" s="7" t="n"/>
      <c r="J50" s="8" t="n"/>
      <c r="K50" s="6">
        <f>IF(B50="","",IF(OR(F50="",G50=""),"НЕ ОТПРАВЛЕНО",IF(J50="","НЕТ ДОКАЗАТЕЛЬСТВА",IF(I50="","ОТПРАВЛЕНО, ЖДЁМ ПОЛУЧЕНИЯ","ПЕРЕДАНО"))))</f>
        <v/>
      </c>
    </row>
    <row r="51">
      <c r="A51" s="6" t="n">
        <v>47</v>
      </c>
      <c r="B51" s="8" t="n"/>
      <c r="C51" s="8" t="n"/>
      <c r="D51" s="8" t="n"/>
      <c r="E51" s="8" t="n"/>
      <c r="F51" s="8" t="n"/>
      <c r="G51" s="7" t="n"/>
      <c r="H51" s="8" t="n"/>
      <c r="I51" s="7" t="n"/>
      <c r="J51" s="8" t="n"/>
      <c r="K51" s="6">
        <f>IF(B51="","",IF(OR(F51="",G51=""),"НЕ ОТПРАВЛЕНО",IF(J51="","НЕТ ДОКАЗАТЕЛЬСТВА",IF(I51="","ОТПРАВЛЕНО, ЖДЁМ ПОЛУЧЕНИЯ","ПЕРЕДАНО"))))</f>
        <v/>
      </c>
    </row>
    <row r="52">
      <c r="A52" s="6" t="n">
        <v>48</v>
      </c>
      <c r="B52" s="8" t="n"/>
      <c r="C52" s="8" t="n"/>
      <c r="D52" s="8" t="n"/>
      <c r="E52" s="8" t="n"/>
      <c r="F52" s="8" t="n"/>
      <c r="G52" s="7" t="n"/>
      <c r="H52" s="8" t="n"/>
      <c r="I52" s="7" t="n"/>
      <c r="J52" s="8" t="n"/>
      <c r="K52" s="6">
        <f>IF(B52="","",IF(OR(F52="",G52=""),"НЕ ОТПРАВЛЕНО",IF(J52="","НЕТ ДОКАЗАТЕЛЬСТВА",IF(I52="","ОТПРАВЛЕНО, ЖДЁМ ПОЛУЧЕНИЯ","ПЕРЕДАНО"))))</f>
        <v/>
      </c>
    </row>
    <row r="53">
      <c r="A53" s="6" t="n">
        <v>49</v>
      </c>
      <c r="B53" s="8" t="n"/>
      <c r="C53" s="8" t="n"/>
      <c r="D53" s="8" t="n"/>
      <c r="E53" s="8" t="n"/>
      <c r="F53" s="8" t="n"/>
      <c r="G53" s="7" t="n"/>
      <c r="H53" s="8" t="n"/>
      <c r="I53" s="7" t="n"/>
      <c r="J53" s="8" t="n"/>
      <c r="K53" s="6">
        <f>IF(B53="","",IF(OR(F53="",G53=""),"НЕ ОТПРАВЛЕНО",IF(J53="","НЕТ ДОКАЗАТЕЛЬСТВА",IF(I53="","ОТПРАВЛЕНО, ЖДЁМ ПОЛУЧЕНИЯ","ПЕРЕДАНО"))))</f>
        <v/>
      </c>
    </row>
    <row r="54">
      <c r="A54" s="6" t="n">
        <v>50</v>
      </c>
      <c r="B54" s="8" t="n"/>
      <c r="C54" s="8" t="n"/>
      <c r="D54" s="8" t="n"/>
      <c r="E54" s="8" t="n"/>
      <c r="F54" s="8" t="n"/>
      <c r="G54" s="7" t="n"/>
      <c r="H54" s="8" t="n"/>
      <c r="I54" s="7" t="n"/>
      <c r="J54" s="8" t="n"/>
      <c r="K54" s="6">
        <f>IF(B54="","",IF(OR(F54="",G54=""),"НЕ ОТПРАВЛЕНО",IF(J54="","НЕТ ДОКАЗАТЕЛЬСТВА",IF(I54="","ОТПРАВЛЕНО, ЖДЁМ ПОЛУЧЕНИЯ","ПЕРЕДАНО"))))</f>
        <v/>
      </c>
    </row>
    <row r="55">
      <c r="A55" s="6" t="n">
        <v>51</v>
      </c>
      <c r="B55" s="8" t="n"/>
      <c r="C55" s="8" t="n"/>
      <c r="D55" s="8" t="n"/>
      <c r="E55" s="8" t="n"/>
      <c r="F55" s="8" t="n"/>
      <c r="G55" s="7" t="n"/>
      <c r="H55" s="8" t="n"/>
      <c r="I55" s="7" t="n"/>
      <c r="J55" s="8" t="n"/>
      <c r="K55" s="6">
        <f>IF(B55="","",IF(OR(F55="",G55=""),"НЕ ОТПРАВЛЕНО",IF(J55="","НЕТ ДОКАЗАТЕЛЬСТВА",IF(I55="","ОТПРАВЛЕНО, ЖДЁМ ПОЛУЧЕНИЯ","ПЕРЕДАНО"))))</f>
        <v/>
      </c>
    </row>
    <row r="56">
      <c r="A56" s="6" t="n">
        <v>52</v>
      </c>
      <c r="B56" s="8" t="n"/>
      <c r="C56" s="8" t="n"/>
      <c r="D56" s="8" t="n"/>
      <c r="E56" s="8" t="n"/>
      <c r="F56" s="8" t="n"/>
      <c r="G56" s="7" t="n"/>
      <c r="H56" s="8" t="n"/>
      <c r="I56" s="7" t="n"/>
      <c r="J56" s="8" t="n"/>
      <c r="K56" s="6">
        <f>IF(B56="","",IF(OR(F56="",G56=""),"НЕ ОТПРАВЛЕНО",IF(J56="","НЕТ ДОКАЗАТЕЛЬСТВА",IF(I56="","ОТПРАВЛЕНО, ЖДЁМ ПОЛУЧЕНИЯ","ПЕРЕДАНО"))))</f>
        <v/>
      </c>
    </row>
    <row r="57">
      <c r="A57" s="6" t="n">
        <v>53</v>
      </c>
      <c r="B57" s="8" t="n"/>
      <c r="C57" s="8" t="n"/>
      <c r="D57" s="8" t="n"/>
      <c r="E57" s="8" t="n"/>
      <c r="F57" s="8" t="n"/>
      <c r="G57" s="7" t="n"/>
      <c r="H57" s="8" t="n"/>
      <c r="I57" s="7" t="n"/>
      <c r="J57" s="8" t="n"/>
      <c r="K57" s="6">
        <f>IF(B57="","",IF(OR(F57="",G57=""),"НЕ ОТПРАВЛЕНО",IF(J57="","НЕТ ДОКАЗАТЕЛЬСТВА",IF(I57="","ОТПРАВЛЕНО, ЖДЁМ ПОЛУЧЕНИЯ","ПЕРЕДАНО"))))</f>
        <v/>
      </c>
    </row>
    <row r="58">
      <c r="A58" s="6" t="n">
        <v>54</v>
      </c>
      <c r="B58" s="8" t="n"/>
      <c r="C58" s="8" t="n"/>
      <c r="D58" s="8" t="n"/>
      <c r="E58" s="8" t="n"/>
      <c r="F58" s="8" t="n"/>
      <c r="G58" s="7" t="n"/>
      <c r="H58" s="8" t="n"/>
      <c r="I58" s="7" t="n"/>
      <c r="J58" s="8" t="n"/>
      <c r="K58" s="6">
        <f>IF(B58="","",IF(OR(F58="",G58=""),"НЕ ОТПРАВЛЕНО",IF(J58="","НЕТ ДОКАЗАТЕЛЬСТВА",IF(I58="","ОТПРАВЛЕНО, ЖДЁМ ПОЛУЧЕНИЯ","ПЕРЕДАНО"))))</f>
        <v/>
      </c>
    </row>
    <row r="59">
      <c r="A59" s="6" t="n">
        <v>55</v>
      </c>
      <c r="B59" s="8" t="n"/>
      <c r="C59" s="8" t="n"/>
      <c r="D59" s="8" t="n"/>
      <c r="E59" s="8" t="n"/>
      <c r="F59" s="8" t="n"/>
      <c r="G59" s="7" t="n"/>
      <c r="H59" s="8" t="n"/>
      <c r="I59" s="7" t="n"/>
      <c r="J59" s="8" t="n"/>
      <c r="K59" s="6">
        <f>IF(B59="","",IF(OR(F59="",G59=""),"НЕ ОТПРАВЛЕНО",IF(J59="","НЕТ ДОКАЗАТЕЛЬСТВА",IF(I59="","ОТПРАВЛЕНО, ЖДЁМ ПОЛУЧЕНИЯ","ПЕРЕДАНО"))))</f>
        <v/>
      </c>
    </row>
    <row r="60">
      <c r="A60" s="6" t="n">
        <v>56</v>
      </c>
      <c r="B60" s="8" t="n"/>
      <c r="C60" s="8" t="n"/>
      <c r="D60" s="8" t="n"/>
      <c r="E60" s="8" t="n"/>
      <c r="F60" s="8" t="n"/>
      <c r="G60" s="7" t="n"/>
      <c r="H60" s="8" t="n"/>
      <c r="I60" s="7" t="n"/>
      <c r="J60" s="8" t="n"/>
      <c r="K60" s="6">
        <f>IF(B60="","",IF(OR(F60="",G60=""),"НЕ ОТПРАВЛЕНО",IF(J60="","НЕТ ДОКАЗАТЕЛЬСТВА",IF(I60="","ОТПРАВЛЕНО, ЖДЁМ ПОЛУЧЕНИЯ","ПЕРЕДАНО"))))</f>
        <v/>
      </c>
    </row>
    <row r="61">
      <c r="A61" s="6" t="n">
        <v>57</v>
      </c>
      <c r="B61" s="8" t="n"/>
      <c r="C61" s="8" t="n"/>
      <c r="D61" s="8" t="n"/>
      <c r="E61" s="8" t="n"/>
      <c r="F61" s="8" t="n"/>
      <c r="G61" s="7" t="n"/>
      <c r="H61" s="8" t="n"/>
      <c r="I61" s="7" t="n"/>
      <c r="J61" s="8" t="n"/>
      <c r="K61" s="6">
        <f>IF(B61="","",IF(OR(F61="",G61=""),"НЕ ОТПРАВЛЕНО",IF(J61="","НЕТ ДОКАЗАТЕЛЬСТВА",IF(I61="","ОТПРАВЛЕНО, ЖДЁМ ПОЛУЧЕНИЯ","ПЕРЕДАНО"))))</f>
        <v/>
      </c>
    </row>
    <row r="62">
      <c r="A62" s="6" t="n">
        <v>58</v>
      </c>
      <c r="B62" s="8" t="n"/>
      <c r="C62" s="8" t="n"/>
      <c r="D62" s="8" t="n"/>
      <c r="E62" s="8" t="n"/>
      <c r="F62" s="8" t="n"/>
      <c r="G62" s="7" t="n"/>
      <c r="H62" s="8" t="n"/>
      <c r="I62" s="7" t="n"/>
      <c r="J62" s="8" t="n"/>
      <c r="K62" s="6">
        <f>IF(B62="","",IF(OR(F62="",G62=""),"НЕ ОТПРАВЛЕНО",IF(J62="","НЕТ ДОКАЗАТЕЛЬСТВА",IF(I62="","ОТПРАВЛЕНО, ЖДЁМ ПОЛУЧЕНИЯ","ПЕРЕДАНО"))))</f>
        <v/>
      </c>
    </row>
    <row r="63">
      <c r="A63" s="6" t="n">
        <v>59</v>
      </c>
      <c r="B63" s="8" t="n"/>
      <c r="C63" s="8" t="n"/>
      <c r="D63" s="8" t="n"/>
      <c r="E63" s="8" t="n"/>
      <c r="F63" s="8" t="n"/>
      <c r="G63" s="7" t="n"/>
      <c r="H63" s="8" t="n"/>
      <c r="I63" s="7" t="n"/>
      <c r="J63" s="8" t="n"/>
      <c r="K63" s="6">
        <f>IF(B63="","",IF(OR(F63="",G63=""),"НЕ ОТПРАВЛЕНО",IF(J63="","НЕТ ДОКАЗАТЕЛЬСТВА",IF(I63="","ОТПРАВЛЕНО, ЖДЁМ ПОЛУЧЕНИЯ","ПЕРЕДАНО"))))</f>
        <v/>
      </c>
    </row>
    <row r="64">
      <c r="A64" s="6" t="n">
        <v>60</v>
      </c>
      <c r="B64" s="8" t="n"/>
      <c r="C64" s="8" t="n"/>
      <c r="D64" s="8" t="n"/>
      <c r="E64" s="8" t="n"/>
      <c r="F64" s="8" t="n"/>
      <c r="G64" s="7" t="n"/>
      <c r="H64" s="8" t="n"/>
      <c r="I64" s="7" t="n"/>
      <c r="J64" s="8" t="n"/>
      <c r="K64" s="6">
        <f>IF(B64="","",IF(OR(F64="",G64=""),"НЕ ОТПРАВЛЕНО",IF(J64="","НЕТ ДОКАЗАТЕЛЬСТВА",IF(I64="","ОТПРАВЛЕНО, ЖДЁМ ПОЛУЧЕНИЯ","ПЕРЕДАНО"))))</f>
        <v/>
      </c>
    </row>
    <row r="65">
      <c r="A65" s="6" t="n">
        <v>61</v>
      </c>
      <c r="B65" s="8" t="n"/>
      <c r="C65" s="8" t="n"/>
      <c r="D65" s="8" t="n"/>
      <c r="E65" s="8" t="n"/>
      <c r="F65" s="8" t="n"/>
      <c r="G65" s="7" t="n"/>
      <c r="H65" s="8" t="n"/>
      <c r="I65" s="7" t="n"/>
      <c r="J65" s="8" t="n"/>
      <c r="K65" s="6">
        <f>IF(B65="","",IF(OR(F65="",G65=""),"НЕ ОТПРАВЛЕНО",IF(J65="","НЕТ ДОКАЗАТЕЛЬСТВА",IF(I65="","ОТПРАВЛЕНО, ЖДЁМ ПОЛУЧЕНИЯ","ПЕРЕДАНО"))))</f>
        <v/>
      </c>
    </row>
    <row r="66">
      <c r="A66" s="6" t="n">
        <v>62</v>
      </c>
      <c r="B66" s="8" t="n"/>
      <c r="C66" s="8" t="n"/>
      <c r="D66" s="8" t="n"/>
      <c r="E66" s="8" t="n"/>
      <c r="F66" s="8" t="n"/>
      <c r="G66" s="7" t="n"/>
      <c r="H66" s="8" t="n"/>
      <c r="I66" s="7" t="n"/>
      <c r="J66" s="8" t="n"/>
      <c r="K66" s="6">
        <f>IF(B66="","",IF(OR(F66="",G66=""),"НЕ ОТПРАВЛЕНО",IF(J66="","НЕТ ДОКАЗАТЕЛЬСТВА",IF(I66="","ОТПРАВЛЕНО, ЖДЁМ ПОЛУЧЕНИЯ","ПЕРЕДАНО"))))</f>
        <v/>
      </c>
    </row>
    <row r="67">
      <c r="A67" s="6" t="n">
        <v>63</v>
      </c>
      <c r="B67" s="8" t="n"/>
      <c r="C67" s="8" t="n"/>
      <c r="D67" s="8" t="n"/>
      <c r="E67" s="8" t="n"/>
      <c r="F67" s="8" t="n"/>
      <c r="G67" s="7" t="n"/>
      <c r="H67" s="8" t="n"/>
      <c r="I67" s="7" t="n"/>
      <c r="J67" s="8" t="n"/>
      <c r="K67" s="6">
        <f>IF(B67="","",IF(OR(F67="",G67=""),"НЕ ОТПРАВЛЕНО",IF(J67="","НЕТ ДОКАЗАТЕЛЬСТВА",IF(I67="","ОТПРАВЛЕНО, ЖДЁМ ПОЛУЧЕНИЯ","ПЕРЕДАНО"))))</f>
        <v/>
      </c>
    </row>
    <row r="68">
      <c r="A68" s="6" t="n">
        <v>64</v>
      </c>
      <c r="B68" s="8" t="n"/>
      <c r="C68" s="8" t="n"/>
      <c r="D68" s="8" t="n"/>
      <c r="E68" s="8" t="n"/>
      <c r="F68" s="8" t="n"/>
      <c r="G68" s="7" t="n"/>
      <c r="H68" s="8" t="n"/>
      <c r="I68" s="7" t="n"/>
      <c r="J68" s="8" t="n"/>
      <c r="K68" s="6">
        <f>IF(B68="","",IF(OR(F68="",G68=""),"НЕ ОТПРАВЛЕНО",IF(J68="","НЕТ ДОКАЗАТЕЛЬСТВА",IF(I68="","ОТПРАВЛЕНО, ЖДЁМ ПОЛУЧЕНИЯ","ПЕРЕДАНО"))))</f>
        <v/>
      </c>
    </row>
    <row r="69">
      <c r="A69" s="6" t="n">
        <v>65</v>
      </c>
      <c r="B69" s="8" t="n"/>
      <c r="C69" s="8" t="n"/>
      <c r="D69" s="8" t="n"/>
      <c r="E69" s="8" t="n"/>
      <c r="F69" s="8" t="n"/>
      <c r="G69" s="7" t="n"/>
      <c r="H69" s="8" t="n"/>
      <c r="I69" s="7" t="n"/>
      <c r="J69" s="8" t="n"/>
      <c r="K69" s="6">
        <f>IF(B69="","",IF(OR(F69="",G69=""),"НЕ ОТПРАВЛЕНО",IF(J69="","НЕТ ДОКАЗАТЕЛЬСТВА",IF(I69="","ОТПРАВЛЕНО, ЖДЁМ ПОЛУЧЕНИЯ","ПЕРЕДАНО"))))</f>
        <v/>
      </c>
    </row>
    <row r="70">
      <c r="A70" s="6" t="n">
        <v>66</v>
      </c>
      <c r="B70" s="8" t="n"/>
      <c r="C70" s="8" t="n"/>
      <c r="D70" s="8" t="n"/>
      <c r="E70" s="8" t="n"/>
      <c r="F70" s="8" t="n"/>
      <c r="G70" s="7" t="n"/>
      <c r="H70" s="8" t="n"/>
      <c r="I70" s="7" t="n"/>
      <c r="J70" s="8" t="n"/>
      <c r="K70" s="6">
        <f>IF(B70="","",IF(OR(F70="",G70=""),"НЕ ОТПРАВЛЕНО",IF(J70="","НЕТ ДОКАЗАТЕЛЬСТВА",IF(I70="","ОТПРАВЛЕНО, ЖДЁМ ПОЛУЧЕНИЯ","ПЕРЕДАНО"))))</f>
        <v/>
      </c>
    </row>
    <row r="71">
      <c r="A71" s="6" t="n">
        <v>67</v>
      </c>
      <c r="B71" s="8" t="n"/>
      <c r="C71" s="8" t="n"/>
      <c r="D71" s="8" t="n"/>
      <c r="E71" s="8" t="n"/>
      <c r="F71" s="8" t="n"/>
      <c r="G71" s="7" t="n"/>
      <c r="H71" s="8" t="n"/>
      <c r="I71" s="7" t="n"/>
      <c r="J71" s="8" t="n"/>
      <c r="K71" s="6">
        <f>IF(B71="","",IF(OR(F71="",G71=""),"НЕ ОТПРАВЛЕНО",IF(J71="","НЕТ ДОКАЗАТЕЛЬСТВА",IF(I71="","ОТПРАВЛЕНО, ЖДЁМ ПОЛУЧЕНИЯ","ПЕРЕДАНО"))))</f>
        <v/>
      </c>
    </row>
    <row r="72">
      <c r="A72" s="6" t="n">
        <v>68</v>
      </c>
      <c r="B72" s="8" t="n"/>
      <c r="C72" s="8" t="n"/>
      <c r="D72" s="8" t="n"/>
      <c r="E72" s="8" t="n"/>
      <c r="F72" s="8" t="n"/>
      <c r="G72" s="7" t="n"/>
      <c r="H72" s="8" t="n"/>
      <c r="I72" s="7" t="n"/>
      <c r="J72" s="8" t="n"/>
      <c r="K72" s="6">
        <f>IF(B72="","",IF(OR(F72="",G72=""),"НЕ ОТПРАВЛЕНО",IF(J72="","НЕТ ДОКАЗАТЕЛЬСТВА",IF(I72="","ОТПРАВЛЕНО, ЖДЁМ ПОЛУЧЕНИЯ","ПЕРЕДАНО"))))</f>
        <v/>
      </c>
    </row>
    <row r="73">
      <c r="A73" s="6" t="n">
        <v>69</v>
      </c>
      <c r="B73" s="8" t="n"/>
      <c r="C73" s="8" t="n"/>
      <c r="D73" s="8" t="n"/>
      <c r="E73" s="8" t="n"/>
      <c r="F73" s="8" t="n"/>
      <c r="G73" s="7" t="n"/>
      <c r="H73" s="8" t="n"/>
      <c r="I73" s="7" t="n"/>
      <c r="J73" s="8" t="n"/>
      <c r="K73" s="6">
        <f>IF(B73="","",IF(OR(F73="",G73=""),"НЕ ОТПРАВЛЕНО",IF(J73="","НЕТ ДОКАЗАТЕЛЬСТВА",IF(I73="","ОТПРАВЛЕНО, ЖДЁМ ПОЛУЧЕНИЯ","ПЕРЕДАНО"))))</f>
        <v/>
      </c>
    </row>
    <row r="74">
      <c r="A74" s="6" t="n">
        <v>70</v>
      </c>
      <c r="B74" s="8" t="n"/>
      <c r="C74" s="8" t="n"/>
      <c r="D74" s="8" t="n"/>
      <c r="E74" s="8" t="n"/>
      <c r="F74" s="8" t="n"/>
      <c r="G74" s="7" t="n"/>
      <c r="H74" s="8" t="n"/>
      <c r="I74" s="7" t="n"/>
      <c r="J74" s="8" t="n"/>
      <c r="K74" s="6">
        <f>IF(B74="","",IF(OR(F74="",G74=""),"НЕ ОТПРАВЛЕНО",IF(J74="","НЕТ ДОКАЗАТЕЛЬСТВА",IF(I74="","ОТПРАВЛЕНО, ЖДЁМ ПОЛУЧЕНИЯ","ПЕРЕДАНО"))))</f>
        <v/>
      </c>
    </row>
    <row r="75">
      <c r="A75" s="6" t="n">
        <v>71</v>
      </c>
      <c r="B75" s="8" t="n"/>
      <c r="C75" s="8" t="n"/>
      <c r="D75" s="8" t="n"/>
      <c r="E75" s="8" t="n"/>
      <c r="F75" s="8" t="n"/>
      <c r="G75" s="7" t="n"/>
      <c r="H75" s="8" t="n"/>
      <c r="I75" s="7" t="n"/>
      <c r="J75" s="8" t="n"/>
      <c r="K75" s="6">
        <f>IF(B75="","",IF(OR(F75="",G75=""),"НЕ ОТПРАВЛЕНО",IF(J75="","НЕТ ДОКАЗАТЕЛЬСТВА",IF(I75="","ОТПРАВЛЕНО, ЖДЁМ ПОЛУЧЕНИЯ","ПЕРЕДАНО"))))</f>
        <v/>
      </c>
    </row>
    <row r="76">
      <c r="A76" s="6" t="n">
        <v>72</v>
      </c>
      <c r="B76" s="8" t="n"/>
      <c r="C76" s="8" t="n"/>
      <c r="D76" s="8" t="n"/>
      <c r="E76" s="8" t="n"/>
      <c r="F76" s="8" t="n"/>
      <c r="G76" s="7" t="n"/>
      <c r="H76" s="8" t="n"/>
      <c r="I76" s="7" t="n"/>
      <c r="J76" s="8" t="n"/>
      <c r="K76" s="6">
        <f>IF(B76="","",IF(OR(F76="",G76=""),"НЕ ОТПРАВЛЕНО",IF(J76="","НЕТ ДОКАЗАТЕЛЬСТВА",IF(I76="","ОТПРАВЛЕНО, ЖДЁМ ПОЛУЧЕНИЯ","ПЕРЕДАНО"))))</f>
        <v/>
      </c>
    </row>
    <row r="77">
      <c r="A77" s="6" t="n">
        <v>73</v>
      </c>
      <c r="B77" s="8" t="n"/>
      <c r="C77" s="8" t="n"/>
      <c r="D77" s="8" t="n"/>
      <c r="E77" s="8" t="n"/>
      <c r="F77" s="8" t="n"/>
      <c r="G77" s="7" t="n"/>
      <c r="H77" s="8" t="n"/>
      <c r="I77" s="7" t="n"/>
      <c r="J77" s="8" t="n"/>
      <c r="K77" s="6">
        <f>IF(B77="","",IF(OR(F77="",G77=""),"НЕ ОТПРАВЛЕНО",IF(J77="","НЕТ ДОКАЗАТЕЛЬСТВА",IF(I77="","ОТПРАВЛЕНО, ЖДЁМ ПОЛУЧЕНИЯ","ПЕРЕДАНО"))))</f>
        <v/>
      </c>
    </row>
    <row r="78">
      <c r="A78" s="6" t="n">
        <v>74</v>
      </c>
      <c r="B78" s="8" t="n"/>
      <c r="C78" s="8" t="n"/>
      <c r="D78" s="8" t="n"/>
      <c r="E78" s="8" t="n"/>
      <c r="F78" s="8" t="n"/>
      <c r="G78" s="7" t="n"/>
      <c r="H78" s="8" t="n"/>
      <c r="I78" s="7" t="n"/>
      <c r="J78" s="8" t="n"/>
      <c r="K78" s="6">
        <f>IF(B78="","",IF(OR(F78="",G78=""),"НЕ ОТПРАВЛЕНО",IF(J78="","НЕТ ДОКАЗАТЕЛЬСТВА",IF(I78="","ОТПРАВЛЕНО, ЖДЁМ ПОЛУЧЕНИЯ","ПЕРЕДАНО"))))</f>
        <v/>
      </c>
    </row>
    <row r="79">
      <c r="A79" s="6" t="n">
        <v>75</v>
      </c>
      <c r="B79" s="8" t="n"/>
      <c r="C79" s="8" t="n"/>
      <c r="D79" s="8" t="n"/>
      <c r="E79" s="8" t="n"/>
      <c r="F79" s="8" t="n"/>
      <c r="G79" s="7" t="n"/>
      <c r="H79" s="8" t="n"/>
      <c r="I79" s="7" t="n"/>
      <c r="J79" s="8" t="n"/>
      <c r="K79" s="6">
        <f>IF(B79="","",IF(OR(F79="",G79=""),"НЕ ОТПРАВЛЕНО",IF(J79="","НЕТ ДОКАЗАТЕЛЬСТВА",IF(I79="","ОТПРАВЛЕНО, ЖДЁМ ПОЛУЧЕНИЯ","ПЕРЕДАНО"))))</f>
        <v/>
      </c>
    </row>
    <row r="80">
      <c r="A80" s="6" t="n">
        <v>76</v>
      </c>
      <c r="B80" s="8" t="n"/>
      <c r="C80" s="8" t="n"/>
      <c r="D80" s="8" t="n"/>
      <c r="E80" s="8" t="n"/>
      <c r="F80" s="8" t="n"/>
      <c r="G80" s="7" t="n"/>
      <c r="H80" s="8" t="n"/>
      <c r="I80" s="7" t="n"/>
      <c r="J80" s="8" t="n"/>
      <c r="K80" s="6">
        <f>IF(B80="","",IF(OR(F80="",G80=""),"НЕ ОТПРАВЛЕНО",IF(J80="","НЕТ ДОКАЗАТЕЛЬСТВА",IF(I80="","ОТПРАВЛЕНО, ЖДЁМ ПОЛУЧЕНИЯ","ПЕРЕДАНО"))))</f>
        <v/>
      </c>
    </row>
    <row r="81">
      <c r="A81" s="6" t="n">
        <v>77</v>
      </c>
      <c r="B81" s="8" t="n"/>
      <c r="C81" s="8" t="n"/>
      <c r="D81" s="8" t="n"/>
      <c r="E81" s="8" t="n"/>
      <c r="F81" s="8" t="n"/>
      <c r="G81" s="7" t="n"/>
      <c r="H81" s="8" t="n"/>
      <c r="I81" s="7" t="n"/>
      <c r="J81" s="8" t="n"/>
      <c r="K81" s="6">
        <f>IF(B81="","",IF(OR(F81="",G81=""),"НЕ ОТПРАВЛЕНО",IF(J81="","НЕТ ДОКАЗАТЕЛЬСТВА",IF(I81="","ОТПРАВЛЕНО, ЖДЁМ ПОЛУЧЕНИЯ","ПЕРЕДАНО"))))</f>
        <v/>
      </c>
    </row>
    <row r="82">
      <c r="A82" s="6" t="n">
        <v>78</v>
      </c>
      <c r="B82" s="8" t="n"/>
      <c r="C82" s="8" t="n"/>
      <c r="D82" s="8" t="n"/>
      <c r="E82" s="8" t="n"/>
      <c r="F82" s="8" t="n"/>
      <c r="G82" s="7" t="n"/>
      <c r="H82" s="8" t="n"/>
      <c r="I82" s="7" t="n"/>
      <c r="J82" s="8" t="n"/>
      <c r="K82" s="6">
        <f>IF(B82="","",IF(OR(F82="",G82=""),"НЕ ОТПРАВЛЕНО",IF(J82="","НЕТ ДОКАЗАТЕЛЬСТВА",IF(I82="","ОТПРАВЛЕНО, ЖДЁМ ПОЛУЧЕНИЯ","ПЕРЕДАНО"))))</f>
        <v/>
      </c>
    </row>
    <row r="83">
      <c r="A83" s="6" t="n">
        <v>79</v>
      </c>
      <c r="B83" s="8" t="n"/>
      <c r="C83" s="8" t="n"/>
      <c r="D83" s="8" t="n"/>
      <c r="E83" s="8" t="n"/>
      <c r="F83" s="8" t="n"/>
      <c r="G83" s="7" t="n"/>
      <c r="H83" s="8" t="n"/>
      <c r="I83" s="7" t="n"/>
      <c r="J83" s="8" t="n"/>
      <c r="K83" s="6">
        <f>IF(B83="","",IF(OR(F83="",G83=""),"НЕ ОТПРАВЛЕНО",IF(J83="","НЕТ ДОКАЗАТЕЛЬСТВА",IF(I83="","ОТПРАВЛЕНО, ЖДЁМ ПОЛУЧЕНИЯ","ПЕРЕДАНО"))))</f>
        <v/>
      </c>
    </row>
    <row r="84">
      <c r="A84" s="6" t="n">
        <v>80</v>
      </c>
      <c r="B84" s="8" t="n"/>
      <c r="C84" s="8" t="n"/>
      <c r="D84" s="8" t="n"/>
      <c r="E84" s="8" t="n"/>
      <c r="F84" s="8" t="n"/>
      <c r="G84" s="7" t="n"/>
      <c r="H84" s="8" t="n"/>
      <c r="I84" s="7" t="n"/>
      <c r="J84" s="8" t="n"/>
      <c r="K84" s="6">
        <f>IF(B84="","",IF(OR(F84="",G84=""),"НЕ ОТПРАВЛЕНО",IF(J84="","НЕТ ДОКАЗАТЕЛЬСТВА",IF(I84="","ОТПРАВЛЕНО, ЖДЁМ ПОЛУЧЕНИЯ","ПЕРЕДАНО"))))</f>
        <v/>
      </c>
    </row>
    <row r="85">
      <c r="A85" s="6" t="n">
        <v>81</v>
      </c>
      <c r="B85" s="8" t="n"/>
      <c r="C85" s="8" t="n"/>
      <c r="D85" s="8" t="n"/>
      <c r="E85" s="8" t="n"/>
      <c r="F85" s="8" t="n"/>
      <c r="G85" s="7" t="n"/>
      <c r="H85" s="8" t="n"/>
      <c r="I85" s="7" t="n"/>
      <c r="J85" s="8" t="n"/>
      <c r="K85" s="6">
        <f>IF(B85="","",IF(OR(F85="",G85=""),"НЕ ОТПРАВЛЕНО",IF(J85="","НЕТ ДОКАЗАТЕЛЬСТВА",IF(I85="","ОТПРАВЛЕНО, ЖДЁМ ПОЛУЧЕНИЯ","ПЕРЕДАНО"))))</f>
        <v/>
      </c>
    </row>
    <row r="86">
      <c r="A86" s="6" t="n">
        <v>82</v>
      </c>
      <c r="B86" s="8" t="n"/>
      <c r="C86" s="8" t="n"/>
      <c r="D86" s="8" t="n"/>
      <c r="E86" s="8" t="n"/>
      <c r="F86" s="8" t="n"/>
      <c r="G86" s="7" t="n"/>
      <c r="H86" s="8" t="n"/>
      <c r="I86" s="7" t="n"/>
      <c r="J86" s="8" t="n"/>
      <c r="K86" s="6">
        <f>IF(B86="","",IF(OR(F86="",G86=""),"НЕ ОТПРАВЛЕНО",IF(J86="","НЕТ ДОКАЗАТЕЛЬСТВА",IF(I86="","ОТПРАВЛЕНО, ЖДЁМ ПОЛУЧЕНИЯ","ПЕРЕДАНО"))))</f>
        <v/>
      </c>
    </row>
    <row r="87">
      <c r="A87" s="6" t="n">
        <v>83</v>
      </c>
      <c r="B87" s="8" t="n"/>
      <c r="C87" s="8" t="n"/>
      <c r="D87" s="8" t="n"/>
      <c r="E87" s="8" t="n"/>
      <c r="F87" s="8" t="n"/>
      <c r="G87" s="7" t="n"/>
      <c r="H87" s="8" t="n"/>
      <c r="I87" s="7" t="n"/>
      <c r="J87" s="8" t="n"/>
      <c r="K87" s="6">
        <f>IF(B87="","",IF(OR(F87="",G87=""),"НЕ ОТПРАВЛЕНО",IF(J87="","НЕТ ДОКАЗАТЕЛЬСТВА",IF(I87="","ОТПРАВЛЕНО, ЖДЁМ ПОЛУЧЕНИЯ","ПЕРЕДАНО"))))</f>
        <v/>
      </c>
    </row>
    <row r="88">
      <c r="A88" s="6" t="n">
        <v>84</v>
      </c>
      <c r="B88" s="8" t="n"/>
      <c r="C88" s="8" t="n"/>
      <c r="D88" s="8" t="n"/>
      <c r="E88" s="8" t="n"/>
      <c r="F88" s="8" t="n"/>
      <c r="G88" s="7" t="n"/>
      <c r="H88" s="8" t="n"/>
      <c r="I88" s="7" t="n"/>
      <c r="J88" s="8" t="n"/>
      <c r="K88" s="6">
        <f>IF(B88="","",IF(OR(F88="",G88=""),"НЕ ОТПРАВЛЕНО",IF(J88="","НЕТ ДОКАЗАТЕЛЬСТВА",IF(I88="","ОТПРАВЛЕНО, ЖДЁМ ПОЛУЧЕНИЯ","ПЕРЕДАНО"))))</f>
        <v/>
      </c>
    </row>
    <row r="89">
      <c r="A89" s="6" t="n">
        <v>85</v>
      </c>
      <c r="B89" s="8" t="n"/>
      <c r="C89" s="8" t="n"/>
      <c r="D89" s="8" t="n"/>
      <c r="E89" s="8" t="n"/>
      <c r="F89" s="8" t="n"/>
      <c r="G89" s="7" t="n"/>
      <c r="H89" s="8" t="n"/>
      <c r="I89" s="7" t="n"/>
      <c r="J89" s="8" t="n"/>
      <c r="K89" s="6">
        <f>IF(B89="","",IF(OR(F89="",G89=""),"НЕ ОТПРАВЛЕНО",IF(J89="","НЕТ ДОКАЗАТЕЛЬСТВА",IF(I89="","ОТПРАВЛЕНО, ЖДЁМ ПОЛУЧЕНИЯ","ПЕРЕДАНО"))))</f>
        <v/>
      </c>
    </row>
    <row r="90">
      <c r="A90" s="6" t="n">
        <v>86</v>
      </c>
      <c r="B90" s="8" t="n"/>
      <c r="C90" s="8" t="n"/>
      <c r="D90" s="8" t="n"/>
      <c r="E90" s="8" t="n"/>
      <c r="F90" s="8" t="n"/>
      <c r="G90" s="7" t="n"/>
      <c r="H90" s="8" t="n"/>
      <c r="I90" s="7" t="n"/>
      <c r="J90" s="8" t="n"/>
      <c r="K90" s="6">
        <f>IF(B90="","",IF(OR(F90="",G90=""),"НЕ ОТПРАВЛЕНО",IF(J90="","НЕТ ДОКАЗАТЕЛЬСТВА",IF(I90="","ОТПРАВЛЕНО, ЖДЁМ ПОЛУЧЕНИЯ","ПЕРЕДАНО"))))</f>
        <v/>
      </c>
    </row>
    <row r="91">
      <c r="A91" s="6" t="n">
        <v>87</v>
      </c>
      <c r="B91" s="8" t="n"/>
      <c r="C91" s="8" t="n"/>
      <c r="D91" s="8" t="n"/>
      <c r="E91" s="8" t="n"/>
      <c r="F91" s="8" t="n"/>
      <c r="G91" s="7" t="n"/>
      <c r="H91" s="8" t="n"/>
      <c r="I91" s="7" t="n"/>
      <c r="J91" s="8" t="n"/>
      <c r="K91" s="6">
        <f>IF(B91="","",IF(OR(F91="",G91=""),"НЕ ОТПРАВЛЕНО",IF(J91="","НЕТ ДОКАЗАТЕЛЬСТВА",IF(I91="","ОТПРАВЛЕНО, ЖДЁМ ПОЛУЧЕНИЯ","ПЕРЕДАНО"))))</f>
        <v/>
      </c>
    </row>
    <row r="92">
      <c r="A92" s="6" t="n">
        <v>88</v>
      </c>
      <c r="B92" s="8" t="n"/>
      <c r="C92" s="8" t="n"/>
      <c r="D92" s="8" t="n"/>
      <c r="E92" s="8" t="n"/>
      <c r="F92" s="8" t="n"/>
      <c r="G92" s="7" t="n"/>
      <c r="H92" s="8" t="n"/>
      <c r="I92" s="7" t="n"/>
      <c r="J92" s="8" t="n"/>
      <c r="K92" s="6">
        <f>IF(B92="","",IF(OR(F92="",G92=""),"НЕ ОТПРАВЛЕНО",IF(J92="","НЕТ ДОКАЗАТЕЛЬСТВА",IF(I92="","ОТПРАВЛЕНО, ЖДЁМ ПОЛУЧЕНИЯ","ПЕРЕДАНО"))))</f>
        <v/>
      </c>
    </row>
    <row r="93">
      <c r="A93" s="6" t="n">
        <v>89</v>
      </c>
      <c r="B93" s="8" t="n"/>
      <c r="C93" s="8" t="n"/>
      <c r="D93" s="8" t="n"/>
      <c r="E93" s="8" t="n"/>
      <c r="F93" s="8" t="n"/>
      <c r="G93" s="7" t="n"/>
      <c r="H93" s="8" t="n"/>
      <c r="I93" s="7" t="n"/>
      <c r="J93" s="8" t="n"/>
      <c r="K93" s="6">
        <f>IF(B93="","",IF(OR(F93="",G93=""),"НЕ ОТПРАВЛЕНО",IF(J93="","НЕТ ДОКАЗАТЕЛЬСТВА",IF(I93="","ОТПРАВЛЕНО, ЖДЁМ ПОЛУЧЕНИЯ","ПЕРЕДАНО"))))</f>
        <v/>
      </c>
    </row>
    <row r="94">
      <c r="A94" s="6" t="n">
        <v>90</v>
      </c>
      <c r="B94" s="8" t="n"/>
      <c r="C94" s="8" t="n"/>
      <c r="D94" s="8" t="n"/>
      <c r="E94" s="8" t="n"/>
      <c r="F94" s="8" t="n"/>
      <c r="G94" s="7" t="n"/>
      <c r="H94" s="8" t="n"/>
      <c r="I94" s="7" t="n"/>
      <c r="J94" s="8" t="n"/>
      <c r="K94" s="6">
        <f>IF(B94="","",IF(OR(F94="",G94=""),"НЕ ОТПРАВЛЕНО",IF(J94="","НЕТ ДОКАЗАТЕЛЬСТВА",IF(I94="","ОТПРАВЛЕНО, ЖДЁМ ПОЛУЧЕНИЯ","ПЕРЕДАНО"))))</f>
        <v/>
      </c>
    </row>
    <row r="95">
      <c r="A95" s="6" t="n">
        <v>91</v>
      </c>
      <c r="B95" s="8" t="n"/>
      <c r="C95" s="8" t="n"/>
      <c r="D95" s="8" t="n"/>
      <c r="E95" s="8" t="n"/>
      <c r="F95" s="8" t="n"/>
      <c r="G95" s="7" t="n"/>
      <c r="H95" s="8" t="n"/>
      <c r="I95" s="7" t="n"/>
      <c r="J95" s="8" t="n"/>
      <c r="K95" s="6">
        <f>IF(B95="","",IF(OR(F95="",G95=""),"НЕ ОТПРАВЛЕНО",IF(J95="","НЕТ ДОКАЗАТЕЛЬСТВА",IF(I95="","ОТПРАВЛЕНО, ЖДЁМ ПОЛУЧЕНИЯ","ПЕРЕДАНО"))))</f>
        <v/>
      </c>
    </row>
    <row r="96">
      <c r="A96" s="6" t="n">
        <v>92</v>
      </c>
      <c r="B96" s="8" t="n"/>
      <c r="C96" s="8" t="n"/>
      <c r="D96" s="8" t="n"/>
      <c r="E96" s="8" t="n"/>
      <c r="F96" s="8" t="n"/>
      <c r="G96" s="7" t="n"/>
      <c r="H96" s="8" t="n"/>
      <c r="I96" s="7" t="n"/>
      <c r="J96" s="8" t="n"/>
      <c r="K96" s="6">
        <f>IF(B96="","",IF(OR(F96="",G96=""),"НЕ ОТПРАВЛЕНО",IF(J96="","НЕТ ДОКАЗАТЕЛЬСТВА",IF(I96="","ОТПРАВЛЕНО, ЖДЁМ ПОЛУЧЕНИЯ","ПЕРЕДАНО"))))</f>
        <v/>
      </c>
    </row>
    <row r="97">
      <c r="A97" s="6" t="n">
        <v>93</v>
      </c>
      <c r="B97" s="8" t="n"/>
      <c r="C97" s="8" t="n"/>
      <c r="D97" s="8" t="n"/>
      <c r="E97" s="8" t="n"/>
      <c r="F97" s="8" t="n"/>
      <c r="G97" s="7" t="n"/>
      <c r="H97" s="8" t="n"/>
      <c r="I97" s="7" t="n"/>
      <c r="J97" s="8" t="n"/>
      <c r="K97" s="6">
        <f>IF(B97="","",IF(OR(F97="",G97=""),"НЕ ОТПРАВЛЕНО",IF(J97="","НЕТ ДОКАЗАТЕЛЬСТВА",IF(I97="","ОТПРАВЛЕНО, ЖДЁМ ПОЛУЧЕНИЯ","ПЕРЕДАНО"))))</f>
        <v/>
      </c>
    </row>
    <row r="98">
      <c r="A98" s="6" t="n">
        <v>94</v>
      </c>
      <c r="B98" s="8" t="n"/>
      <c r="C98" s="8" t="n"/>
      <c r="D98" s="8" t="n"/>
      <c r="E98" s="8" t="n"/>
      <c r="F98" s="8" t="n"/>
      <c r="G98" s="7" t="n"/>
      <c r="H98" s="8" t="n"/>
      <c r="I98" s="7" t="n"/>
      <c r="J98" s="8" t="n"/>
      <c r="K98" s="6">
        <f>IF(B98="","",IF(OR(F98="",G98=""),"НЕ ОТПРАВЛЕНО",IF(J98="","НЕТ ДОКАЗАТЕЛЬСТВА",IF(I98="","ОТПРАВЛЕНО, ЖДЁМ ПОЛУЧЕНИЯ","ПЕРЕДАНО"))))</f>
        <v/>
      </c>
    </row>
    <row r="99">
      <c r="A99" s="6" t="n">
        <v>95</v>
      </c>
      <c r="B99" s="8" t="n"/>
      <c r="C99" s="8" t="n"/>
      <c r="D99" s="8" t="n"/>
      <c r="E99" s="8" t="n"/>
      <c r="F99" s="8" t="n"/>
      <c r="G99" s="7" t="n"/>
      <c r="H99" s="8" t="n"/>
      <c r="I99" s="7" t="n"/>
      <c r="J99" s="8" t="n"/>
      <c r="K99" s="6">
        <f>IF(B99="","",IF(OR(F99="",G99=""),"НЕ ОТПРАВЛЕНО",IF(J99="","НЕТ ДОКАЗАТЕЛЬСТВА",IF(I99="","ОТПРАВЛЕНО, ЖДЁМ ПОЛУЧЕНИЯ","ПЕРЕДАНО"))))</f>
        <v/>
      </c>
    </row>
    <row r="100">
      <c r="A100" s="6" t="n">
        <v>96</v>
      </c>
      <c r="B100" s="8" t="n"/>
      <c r="C100" s="8" t="n"/>
      <c r="D100" s="8" t="n"/>
      <c r="E100" s="8" t="n"/>
      <c r="F100" s="8" t="n"/>
      <c r="G100" s="7" t="n"/>
      <c r="H100" s="8" t="n"/>
      <c r="I100" s="7" t="n"/>
      <c r="J100" s="8" t="n"/>
      <c r="K100" s="6">
        <f>IF(B100="","",IF(OR(F100="",G100=""),"НЕ ОТПРАВЛЕНО",IF(J100="","НЕТ ДОКАЗАТЕЛЬСТВА",IF(I100="","ОТПРАВЛЕНО, ЖДЁМ ПОЛУЧЕНИЯ","ПЕРЕДАНО"))))</f>
        <v/>
      </c>
    </row>
    <row r="101">
      <c r="A101" s="6" t="n">
        <v>97</v>
      </c>
      <c r="B101" s="8" t="n"/>
      <c r="C101" s="8" t="n"/>
      <c r="D101" s="8" t="n"/>
      <c r="E101" s="8" t="n"/>
      <c r="F101" s="8" t="n"/>
      <c r="G101" s="7" t="n"/>
      <c r="H101" s="8" t="n"/>
      <c r="I101" s="7" t="n"/>
      <c r="J101" s="8" t="n"/>
      <c r="K101" s="6">
        <f>IF(B101="","",IF(OR(F101="",G101=""),"НЕ ОТПРАВЛЕНО",IF(J101="","НЕТ ДОКАЗАТЕЛЬСТВА",IF(I101="","ОТПРАВЛЕНО, ЖДЁМ ПОЛУЧЕНИЯ","ПЕРЕДАНО"))))</f>
        <v/>
      </c>
    </row>
    <row r="102">
      <c r="A102" s="6" t="n">
        <v>98</v>
      </c>
      <c r="B102" s="8" t="n"/>
      <c r="C102" s="8" t="n"/>
      <c r="D102" s="8" t="n"/>
      <c r="E102" s="8" t="n"/>
      <c r="F102" s="8" t="n"/>
      <c r="G102" s="7" t="n"/>
      <c r="H102" s="8" t="n"/>
      <c r="I102" s="7" t="n"/>
      <c r="J102" s="8" t="n"/>
      <c r="K102" s="6">
        <f>IF(B102="","",IF(OR(F102="",G102=""),"НЕ ОТПРАВЛЕНО",IF(J102="","НЕТ ДОКАЗАТЕЛЬСТВА",IF(I102="","ОТПРАВЛЕНО, ЖДЁМ ПОЛУЧЕНИЯ","ПЕРЕДАНО"))))</f>
        <v/>
      </c>
    </row>
    <row r="103">
      <c r="A103" s="6" t="n">
        <v>99</v>
      </c>
      <c r="B103" s="8" t="n"/>
      <c r="C103" s="8" t="n"/>
      <c r="D103" s="8" t="n"/>
      <c r="E103" s="8" t="n"/>
      <c r="F103" s="8" t="n"/>
      <c r="G103" s="7" t="n"/>
      <c r="H103" s="8" t="n"/>
      <c r="I103" s="7" t="n"/>
      <c r="J103" s="8" t="n"/>
      <c r="K103" s="6">
        <f>IF(B103="","",IF(OR(F103="",G103=""),"НЕ ОТПРАВЛЕНО",IF(J103="","НЕТ ДОКАЗАТЕЛЬСТВА",IF(I103="","ОТПРАВЛЕНО, ЖДЁМ ПОЛУЧЕНИЯ","ПЕРЕДАНО"))))</f>
        <v/>
      </c>
    </row>
    <row r="104">
      <c r="A104" s="6" t="n">
        <v>100</v>
      </c>
      <c r="B104" s="8" t="n"/>
      <c r="C104" s="8" t="n"/>
      <c r="D104" s="8" t="n"/>
      <c r="E104" s="8" t="n"/>
      <c r="F104" s="8" t="n"/>
      <c r="G104" s="7" t="n"/>
      <c r="H104" s="8" t="n"/>
      <c r="I104" s="7" t="n"/>
      <c r="J104" s="8" t="n"/>
      <c r="K104" s="6">
        <f>IF(B104="","",IF(OR(F104="",G104=""),"НЕ ОТПРАВЛЕНО",IF(J104="","НЕТ ДОКАЗАТЕЛЬСТВА",IF(I104="","ОТПРАВЛЕНО, ЖДЁМ ПОЛУЧЕНИЯ","ПЕРЕДАНО"))))</f>
        <v/>
      </c>
    </row>
    <row r="105">
      <c r="A105" s="6" t="n">
        <v>101</v>
      </c>
      <c r="B105" s="8" t="n"/>
      <c r="C105" s="8" t="n"/>
      <c r="D105" s="8" t="n"/>
      <c r="E105" s="8" t="n"/>
      <c r="F105" s="8" t="n"/>
      <c r="G105" s="7" t="n"/>
      <c r="H105" s="8" t="n"/>
      <c r="I105" s="7" t="n"/>
      <c r="J105" s="8" t="n"/>
      <c r="K105" s="6">
        <f>IF(B105="","",IF(OR(F105="",G105=""),"НЕ ОТПРАВЛЕНО",IF(J105="","НЕТ ДОКАЗАТЕЛЬСТВА",IF(I105="","ОТПРАВЛЕНО, ЖДЁМ ПОЛУЧЕНИЯ","ПЕРЕДАНО"))))</f>
        <v/>
      </c>
    </row>
    <row r="106">
      <c r="A106" s="6" t="n">
        <v>102</v>
      </c>
      <c r="B106" s="8" t="n"/>
      <c r="C106" s="8" t="n"/>
      <c r="D106" s="8" t="n"/>
      <c r="E106" s="8" t="n"/>
      <c r="F106" s="8" t="n"/>
      <c r="G106" s="7" t="n"/>
      <c r="H106" s="8" t="n"/>
      <c r="I106" s="7" t="n"/>
      <c r="J106" s="8" t="n"/>
      <c r="K106" s="6">
        <f>IF(B106="","",IF(OR(F106="",G106=""),"НЕ ОТПРАВЛЕНО",IF(J106="","НЕТ ДОКАЗАТЕЛЬСТВА",IF(I106="","ОТПРАВЛЕНО, ЖДЁМ ПОЛУЧЕНИЯ","ПЕРЕДАНО"))))</f>
        <v/>
      </c>
    </row>
    <row r="107">
      <c r="A107" s="6" t="n">
        <v>103</v>
      </c>
      <c r="B107" s="8" t="n"/>
      <c r="C107" s="8" t="n"/>
      <c r="D107" s="8" t="n"/>
      <c r="E107" s="8" t="n"/>
      <c r="F107" s="8" t="n"/>
      <c r="G107" s="7" t="n"/>
      <c r="H107" s="8" t="n"/>
      <c r="I107" s="7" t="n"/>
      <c r="J107" s="8" t="n"/>
      <c r="K107" s="6">
        <f>IF(B107="","",IF(OR(F107="",G107=""),"НЕ ОТПРАВЛЕНО",IF(J107="","НЕТ ДОКАЗАТЕЛЬСТВА",IF(I107="","ОТПРАВЛЕНО, ЖДЁМ ПОЛУЧЕНИЯ","ПЕРЕДАНО"))))</f>
        <v/>
      </c>
    </row>
    <row r="108">
      <c r="A108" s="6" t="n">
        <v>104</v>
      </c>
      <c r="B108" s="8" t="n"/>
      <c r="C108" s="8" t="n"/>
      <c r="D108" s="8" t="n"/>
      <c r="E108" s="8" t="n"/>
      <c r="F108" s="8" t="n"/>
      <c r="G108" s="7" t="n"/>
      <c r="H108" s="8" t="n"/>
      <c r="I108" s="7" t="n"/>
      <c r="J108" s="8" t="n"/>
      <c r="K108" s="6">
        <f>IF(B108="","",IF(OR(F108="",G108=""),"НЕ ОТПРАВЛЕНО",IF(J108="","НЕТ ДОКАЗАТЕЛЬСТВА",IF(I108="","ОТПРАВЛЕНО, ЖДЁМ ПОЛУЧЕНИЯ","ПЕРЕДАНО"))))</f>
        <v/>
      </c>
    </row>
    <row r="109">
      <c r="A109" s="6" t="n">
        <v>105</v>
      </c>
      <c r="B109" s="8" t="n"/>
      <c r="C109" s="8" t="n"/>
      <c r="D109" s="8" t="n"/>
      <c r="E109" s="8" t="n"/>
      <c r="F109" s="8" t="n"/>
      <c r="G109" s="7" t="n"/>
      <c r="H109" s="8" t="n"/>
      <c r="I109" s="7" t="n"/>
      <c r="J109" s="8" t="n"/>
      <c r="K109" s="6">
        <f>IF(B109="","",IF(OR(F109="",G109=""),"НЕ ОТПРАВЛЕНО",IF(J109="","НЕТ ДОКАЗАТЕЛЬСТВА",IF(I109="","ОТПРАВЛЕНО, ЖДЁМ ПОЛУЧЕНИЯ","ПЕРЕДАНО"))))</f>
        <v/>
      </c>
    </row>
    <row r="110">
      <c r="A110" s="6" t="n">
        <v>106</v>
      </c>
      <c r="B110" s="8" t="n"/>
      <c r="C110" s="8" t="n"/>
      <c r="D110" s="8" t="n"/>
      <c r="E110" s="8" t="n"/>
      <c r="F110" s="8" t="n"/>
      <c r="G110" s="7" t="n"/>
      <c r="H110" s="8" t="n"/>
      <c r="I110" s="7" t="n"/>
      <c r="J110" s="8" t="n"/>
      <c r="K110" s="6">
        <f>IF(B110="","",IF(OR(F110="",G110=""),"НЕ ОТПРАВЛЕНО",IF(J110="","НЕТ ДОКАЗАТЕЛЬСТВА",IF(I110="","ОТПРАВЛЕНО, ЖДЁМ ПОЛУЧЕНИЯ","ПЕРЕДАНО"))))</f>
        <v/>
      </c>
    </row>
    <row r="111">
      <c r="A111" s="6" t="n">
        <v>107</v>
      </c>
      <c r="B111" s="8" t="n"/>
      <c r="C111" s="8" t="n"/>
      <c r="D111" s="8" t="n"/>
      <c r="E111" s="8" t="n"/>
      <c r="F111" s="8" t="n"/>
      <c r="G111" s="7" t="n"/>
      <c r="H111" s="8" t="n"/>
      <c r="I111" s="7" t="n"/>
      <c r="J111" s="8" t="n"/>
      <c r="K111" s="6">
        <f>IF(B111="","",IF(OR(F111="",G111=""),"НЕ ОТПРАВЛЕНО",IF(J111="","НЕТ ДОКАЗАТЕЛЬСТВА",IF(I111="","ОТПРАВЛЕНО, ЖДЁМ ПОЛУЧЕНИЯ","ПЕРЕДАНО"))))</f>
        <v/>
      </c>
    </row>
    <row r="112">
      <c r="A112" s="6" t="n">
        <v>108</v>
      </c>
      <c r="B112" s="8" t="n"/>
      <c r="C112" s="8" t="n"/>
      <c r="D112" s="8" t="n"/>
      <c r="E112" s="8" t="n"/>
      <c r="F112" s="8" t="n"/>
      <c r="G112" s="7" t="n"/>
      <c r="H112" s="8" t="n"/>
      <c r="I112" s="7" t="n"/>
      <c r="J112" s="8" t="n"/>
      <c r="K112" s="6">
        <f>IF(B112="","",IF(OR(F112="",G112=""),"НЕ ОТПРАВЛЕНО",IF(J112="","НЕТ ДОКАЗАТЕЛЬСТВА",IF(I112="","ОТПРАВЛЕНО, ЖДЁМ ПОЛУЧЕНИЯ","ПЕРЕДАНО"))))</f>
        <v/>
      </c>
    </row>
    <row r="113">
      <c r="A113" s="6" t="n">
        <v>109</v>
      </c>
      <c r="B113" s="8" t="n"/>
      <c r="C113" s="8" t="n"/>
      <c r="D113" s="8" t="n"/>
      <c r="E113" s="8" t="n"/>
      <c r="F113" s="8" t="n"/>
      <c r="G113" s="7" t="n"/>
      <c r="H113" s="8" t="n"/>
      <c r="I113" s="7" t="n"/>
      <c r="J113" s="8" t="n"/>
      <c r="K113" s="6">
        <f>IF(B113="","",IF(OR(F113="",G113=""),"НЕ ОТПРАВЛЕНО",IF(J113="","НЕТ ДОКАЗАТЕЛЬСТВА",IF(I113="","ОТПРАВЛЕНО, ЖДЁМ ПОЛУЧЕНИЯ","ПЕРЕДАНО"))))</f>
        <v/>
      </c>
    </row>
    <row r="114">
      <c r="A114" s="6" t="n">
        <v>110</v>
      </c>
      <c r="B114" s="8" t="n"/>
      <c r="C114" s="8" t="n"/>
      <c r="D114" s="8" t="n"/>
      <c r="E114" s="8" t="n"/>
      <c r="F114" s="8" t="n"/>
      <c r="G114" s="7" t="n"/>
      <c r="H114" s="8" t="n"/>
      <c r="I114" s="7" t="n"/>
      <c r="J114" s="8" t="n"/>
      <c r="K114" s="6">
        <f>IF(B114="","",IF(OR(F114="",G114=""),"НЕ ОТПРАВЛЕНО",IF(J114="","НЕТ ДОКАЗАТЕЛЬСТВА",IF(I114="","ОТПРАВЛЕНО, ЖДЁМ ПОЛУЧЕНИЯ","ПЕРЕДАНО"))))</f>
        <v/>
      </c>
    </row>
    <row r="115">
      <c r="A115" s="6" t="n">
        <v>111</v>
      </c>
      <c r="B115" s="8" t="n"/>
      <c r="C115" s="8" t="n"/>
      <c r="D115" s="8" t="n"/>
      <c r="E115" s="8" t="n"/>
      <c r="F115" s="8" t="n"/>
      <c r="G115" s="7" t="n"/>
      <c r="H115" s="8" t="n"/>
      <c r="I115" s="7" t="n"/>
      <c r="J115" s="8" t="n"/>
      <c r="K115" s="6">
        <f>IF(B115="","",IF(OR(F115="",G115=""),"НЕ ОТПРАВЛЕНО",IF(J115="","НЕТ ДОКАЗАТЕЛЬСТВА",IF(I115="","ОТПРАВЛЕНО, ЖДЁМ ПОЛУЧЕНИЯ","ПЕРЕДАНО"))))</f>
        <v/>
      </c>
    </row>
    <row r="116">
      <c r="A116" s="6" t="n">
        <v>112</v>
      </c>
      <c r="B116" s="8" t="n"/>
      <c r="C116" s="8" t="n"/>
      <c r="D116" s="8" t="n"/>
      <c r="E116" s="8" t="n"/>
      <c r="F116" s="8" t="n"/>
      <c r="G116" s="7" t="n"/>
      <c r="H116" s="8" t="n"/>
      <c r="I116" s="7" t="n"/>
      <c r="J116" s="8" t="n"/>
      <c r="K116" s="6">
        <f>IF(B116="","",IF(OR(F116="",G116=""),"НЕ ОТПРАВЛЕНО",IF(J116="","НЕТ ДОКАЗАТЕЛЬСТВА",IF(I116="","ОТПРАВЛЕНО, ЖДЁМ ПОЛУЧЕНИЯ","ПЕРЕДАНО"))))</f>
        <v/>
      </c>
    </row>
    <row r="117">
      <c r="A117" s="6" t="n">
        <v>113</v>
      </c>
      <c r="B117" s="8" t="n"/>
      <c r="C117" s="8" t="n"/>
      <c r="D117" s="8" t="n"/>
      <c r="E117" s="8" t="n"/>
      <c r="F117" s="8" t="n"/>
      <c r="G117" s="7" t="n"/>
      <c r="H117" s="8" t="n"/>
      <c r="I117" s="7" t="n"/>
      <c r="J117" s="8" t="n"/>
      <c r="K117" s="6">
        <f>IF(B117="","",IF(OR(F117="",G117=""),"НЕ ОТПРАВЛЕНО",IF(J117="","НЕТ ДОКАЗАТЕЛЬСТВА",IF(I117="","ОТПРАВЛЕНО, ЖДЁМ ПОЛУЧЕНИЯ","ПЕРЕДАНО"))))</f>
        <v/>
      </c>
    </row>
    <row r="118">
      <c r="A118" s="6" t="n">
        <v>114</v>
      </c>
      <c r="B118" s="8" t="n"/>
      <c r="C118" s="8" t="n"/>
      <c r="D118" s="8" t="n"/>
      <c r="E118" s="8" t="n"/>
      <c r="F118" s="8" t="n"/>
      <c r="G118" s="7" t="n"/>
      <c r="H118" s="8" t="n"/>
      <c r="I118" s="7" t="n"/>
      <c r="J118" s="8" t="n"/>
      <c r="K118" s="6">
        <f>IF(B118="","",IF(OR(F118="",G118=""),"НЕ ОТПРАВЛЕНО",IF(J118="","НЕТ ДОКАЗАТЕЛЬСТВА",IF(I118="","ОТПРАВЛЕНО, ЖДЁМ ПОЛУЧЕНИЯ","ПЕРЕДАНО"))))</f>
        <v/>
      </c>
    </row>
    <row r="119">
      <c r="A119" s="6" t="n">
        <v>115</v>
      </c>
      <c r="B119" s="8" t="n"/>
      <c r="C119" s="8" t="n"/>
      <c r="D119" s="8" t="n"/>
      <c r="E119" s="8" t="n"/>
      <c r="F119" s="8" t="n"/>
      <c r="G119" s="7" t="n"/>
      <c r="H119" s="8" t="n"/>
      <c r="I119" s="7" t="n"/>
      <c r="J119" s="8" t="n"/>
      <c r="K119" s="6">
        <f>IF(B119="","",IF(OR(F119="",G119=""),"НЕ ОТПРАВЛЕНО",IF(J119="","НЕТ ДОКАЗАТЕЛЬСТВА",IF(I119="","ОТПРАВЛЕНО, ЖДЁМ ПОЛУЧЕНИЯ","ПЕРЕДАНО"))))</f>
        <v/>
      </c>
    </row>
    <row r="120">
      <c r="A120" s="6" t="n">
        <v>116</v>
      </c>
      <c r="B120" s="8" t="n"/>
      <c r="C120" s="8" t="n"/>
      <c r="D120" s="8" t="n"/>
      <c r="E120" s="8" t="n"/>
      <c r="F120" s="8" t="n"/>
      <c r="G120" s="7" t="n"/>
      <c r="H120" s="8" t="n"/>
      <c r="I120" s="7" t="n"/>
      <c r="J120" s="8" t="n"/>
      <c r="K120" s="6">
        <f>IF(B120="","",IF(OR(F120="",G120=""),"НЕ ОТПРАВЛЕНО",IF(J120="","НЕТ ДОКАЗАТЕЛЬСТВА",IF(I120="","ОТПРАВЛЕНО, ЖДЁМ ПОЛУЧЕНИЯ","ПЕРЕДАНО"))))</f>
        <v/>
      </c>
    </row>
    <row r="121">
      <c r="A121" s="6" t="n">
        <v>117</v>
      </c>
      <c r="B121" s="8" t="n"/>
      <c r="C121" s="8" t="n"/>
      <c r="D121" s="8" t="n"/>
      <c r="E121" s="8" t="n"/>
      <c r="F121" s="8" t="n"/>
      <c r="G121" s="7" t="n"/>
      <c r="H121" s="8" t="n"/>
      <c r="I121" s="7" t="n"/>
      <c r="J121" s="8" t="n"/>
      <c r="K121" s="6">
        <f>IF(B121="","",IF(OR(F121="",G121=""),"НЕ ОТПРАВЛЕНО",IF(J121="","НЕТ ДОКАЗАТЕЛЬСТВА",IF(I121="","ОТПРАВЛЕНО, ЖДЁМ ПОЛУЧЕНИЯ","ПЕРЕДАНО"))))</f>
        <v/>
      </c>
    </row>
    <row r="122">
      <c r="A122" s="6" t="n">
        <v>118</v>
      </c>
      <c r="B122" s="8" t="n"/>
      <c r="C122" s="8" t="n"/>
      <c r="D122" s="8" t="n"/>
      <c r="E122" s="8" t="n"/>
      <c r="F122" s="8" t="n"/>
      <c r="G122" s="7" t="n"/>
      <c r="H122" s="8" t="n"/>
      <c r="I122" s="7" t="n"/>
      <c r="J122" s="8" t="n"/>
      <c r="K122" s="6">
        <f>IF(B122="","",IF(OR(F122="",G122=""),"НЕ ОТПРАВЛЕНО",IF(J122="","НЕТ ДОКАЗАТЕЛЬСТВА",IF(I122="","ОТПРАВЛЕНО, ЖДЁМ ПОЛУЧЕНИЯ","ПЕРЕДАНО"))))</f>
        <v/>
      </c>
    </row>
    <row r="123">
      <c r="A123" s="6" t="n">
        <v>119</v>
      </c>
      <c r="B123" s="8" t="n"/>
      <c r="C123" s="8" t="n"/>
      <c r="D123" s="8" t="n"/>
      <c r="E123" s="8" t="n"/>
      <c r="F123" s="8" t="n"/>
      <c r="G123" s="7" t="n"/>
      <c r="H123" s="8" t="n"/>
      <c r="I123" s="7" t="n"/>
      <c r="J123" s="8" t="n"/>
      <c r="K123" s="6">
        <f>IF(B123="","",IF(OR(F123="",G123=""),"НЕ ОТПРАВЛЕНО",IF(J123="","НЕТ ДОКАЗАТЕЛЬСТВА",IF(I123="","ОТПРАВЛЕНО, ЖДЁМ ПОЛУЧЕНИЯ","ПЕРЕДАНО"))))</f>
        <v/>
      </c>
    </row>
    <row r="124">
      <c r="A124" s="6" t="n">
        <v>120</v>
      </c>
      <c r="B124" s="8" t="n"/>
      <c r="C124" s="8" t="n"/>
      <c r="D124" s="8" t="n"/>
      <c r="E124" s="8" t="n"/>
      <c r="F124" s="8" t="n"/>
      <c r="G124" s="7" t="n"/>
      <c r="H124" s="8" t="n"/>
      <c r="I124" s="7" t="n"/>
      <c r="J124" s="8" t="n"/>
      <c r="K124" s="6">
        <f>IF(B124="","",IF(OR(F124="",G124=""),"НЕ ОТПРАВЛЕНО",IF(J124="","НЕТ ДОКАЗАТЕЛЬСТВА",IF(I124="","ОТПРАВЛЕНО, ЖДЁМ ПОЛУЧЕНИЯ","ПЕРЕДАНО"))))</f>
        <v/>
      </c>
    </row>
    <row r="125">
      <c r="A125" s="6" t="n">
        <v>121</v>
      </c>
      <c r="B125" s="8" t="n"/>
      <c r="C125" s="8" t="n"/>
      <c r="D125" s="8" t="n"/>
      <c r="E125" s="8" t="n"/>
      <c r="F125" s="8" t="n"/>
      <c r="G125" s="7" t="n"/>
      <c r="H125" s="8" t="n"/>
      <c r="I125" s="7" t="n"/>
      <c r="J125" s="8" t="n"/>
      <c r="K125" s="6">
        <f>IF(B125="","",IF(OR(F125="",G125=""),"НЕ ОТПРАВЛЕНО",IF(J125="","НЕТ ДОКАЗАТЕЛЬСТВА",IF(I125="","ОТПРАВЛЕНО, ЖДЁМ ПОЛУЧЕНИЯ","ПЕРЕДАНО"))))</f>
        <v/>
      </c>
    </row>
    <row r="126">
      <c r="A126" s="6" t="n">
        <v>122</v>
      </c>
      <c r="B126" s="8" t="n"/>
      <c r="C126" s="8" t="n"/>
      <c r="D126" s="8" t="n"/>
      <c r="E126" s="8" t="n"/>
      <c r="F126" s="8" t="n"/>
      <c r="G126" s="7" t="n"/>
      <c r="H126" s="8" t="n"/>
      <c r="I126" s="7" t="n"/>
      <c r="J126" s="8" t="n"/>
      <c r="K126" s="6">
        <f>IF(B126="","",IF(OR(F126="",G126=""),"НЕ ОТПРАВЛЕНО",IF(J126="","НЕТ ДОКАЗАТЕЛЬСТВА",IF(I126="","ОТПРАВЛЕНО, ЖДЁМ ПОЛУЧЕНИЯ","ПЕРЕДАНО"))))</f>
        <v/>
      </c>
    </row>
    <row r="127">
      <c r="A127" s="6" t="n">
        <v>123</v>
      </c>
      <c r="B127" s="8" t="n"/>
      <c r="C127" s="8" t="n"/>
      <c r="D127" s="8" t="n"/>
      <c r="E127" s="8" t="n"/>
      <c r="F127" s="8" t="n"/>
      <c r="G127" s="7" t="n"/>
      <c r="H127" s="8" t="n"/>
      <c r="I127" s="7" t="n"/>
      <c r="J127" s="8" t="n"/>
      <c r="K127" s="6">
        <f>IF(B127="","",IF(OR(F127="",G127=""),"НЕ ОТПРАВЛЕНО",IF(J127="","НЕТ ДОКАЗАТЕЛЬСТВА",IF(I127="","ОТПРАВЛЕНО, ЖДЁМ ПОЛУЧЕНИЯ","ПЕРЕДАНО"))))</f>
        <v/>
      </c>
    </row>
    <row r="128">
      <c r="A128" s="6" t="n">
        <v>124</v>
      </c>
      <c r="B128" s="8" t="n"/>
      <c r="C128" s="8" t="n"/>
      <c r="D128" s="8" t="n"/>
      <c r="E128" s="8" t="n"/>
      <c r="F128" s="8" t="n"/>
      <c r="G128" s="7" t="n"/>
      <c r="H128" s="8" t="n"/>
      <c r="I128" s="7" t="n"/>
      <c r="J128" s="8" t="n"/>
      <c r="K128" s="6">
        <f>IF(B128="","",IF(OR(F128="",G128=""),"НЕ ОТПРАВЛЕНО",IF(J128="","НЕТ ДОКАЗАТЕЛЬСТВА",IF(I128="","ОТПРАВЛЕНО, ЖДЁМ ПОЛУЧЕНИЯ","ПЕРЕДАНО"))))</f>
        <v/>
      </c>
    </row>
    <row r="129">
      <c r="A129" s="6" t="n">
        <v>125</v>
      </c>
      <c r="B129" s="8" t="n"/>
      <c r="C129" s="8" t="n"/>
      <c r="D129" s="8" t="n"/>
      <c r="E129" s="8" t="n"/>
      <c r="F129" s="8" t="n"/>
      <c r="G129" s="7" t="n"/>
      <c r="H129" s="8" t="n"/>
      <c r="I129" s="7" t="n"/>
      <c r="J129" s="8" t="n"/>
      <c r="K129" s="6">
        <f>IF(B129="","",IF(OR(F129="",G129=""),"НЕ ОТПРАВЛЕНО",IF(J129="","НЕТ ДОКАЗАТЕЛЬСТВА",IF(I129="","ОТПРАВЛЕНО, ЖДЁМ ПОЛУЧЕНИЯ","ПЕРЕДАНО"))))</f>
        <v/>
      </c>
    </row>
    <row r="130">
      <c r="A130" s="6" t="n">
        <v>126</v>
      </c>
      <c r="B130" s="8" t="n"/>
      <c r="C130" s="8" t="n"/>
      <c r="D130" s="8" t="n"/>
      <c r="E130" s="8" t="n"/>
      <c r="F130" s="8" t="n"/>
      <c r="G130" s="7" t="n"/>
      <c r="H130" s="8" t="n"/>
      <c r="I130" s="7" t="n"/>
      <c r="J130" s="8" t="n"/>
      <c r="K130" s="6">
        <f>IF(B130="","",IF(OR(F130="",G130=""),"НЕ ОТПРАВЛЕНО",IF(J130="","НЕТ ДОКАЗАТЕЛЬСТВА",IF(I130="","ОТПРАВЛЕНО, ЖДЁМ ПОЛУЧЕНИЯ","ПЕРЕДАНО"))))</f>
        <v/>
      </c>
    </row>
    <row r="131">
      <c r="A131" s="6" t="n">
        <v>127</v>
      </c>
      <c r="B131" s="8" t="n"/>
      <c r="C131" s="8" t="n"/>
      <c r="D131" s="8" t="n"/>
      <c r="E131" s="8" t="n"/>
      <c r="F131" s="8" t="n"/>
      <c r="G131" s="7" t="n"/>
      <c r="H131" s="8" t="n"/>
      <c r="I131" s="7" t="n"/>
      <c r="J131" s="8" t="n"/>
      <c r="K131" s="6">
        <f>IF(B131="","",IF(OR(F131="",G131=""),"НЕ ОТПРАВЛЕНО",IF(J131="","НЕТ ДОКАЗАТЕЛЬСТВА",IF(I131="","ОТПРАВЛЕНО, ЖДЁМ ПОЛУЧЕНИЯ","ПЕРЕДАНО"))))</f>
        <v/>
      </c>
    </row>
    <row r="132">
      <c r="A132" s="6" t="n">
        <v>128</v>
      </c>
      <c r="B132" s="8" t="n"/>
      <c r="C132" s="8" t="n"/>
      <c r="D132" s="8" t="n"/>
      <c r="E132" s="8" t="n"/>
      <c r="F132" s="8" t="n"/>
      <c r="G132" s="7" t="n"/>
      <c r="H132" s="8" t="n"/>
      <c r="I132" s="7" t="n"/>
      <c r="J132" s="8" t="n"/>
      <c r="K132" s="6">
        <f>IF(B132="","",IF(OR(F132="",G132=""),"НЕ ОТПРАВЛЕНО",IF(J132="","НЕТ ДОКАЗАТЕЛЬСТВА",IF(I132="","ОТПРАВЛЕНО, ЖДЁМ ПОЛУЧЕНИЯ","ПЕРЕДАНО"))))</f>
        <v/>
      </c>
    </row>
    <row r="133">
      <c r="A133" s="6" t="n">
        <v>129</v>
      </c>
      <c r="B133" s="8" t="n"/>
      <c r="C133" s="8" t="n"/>
      <c r="D133" s="8" t="n"/>
      <c r="E133" s="8" t="n"/>
      <c r="F133" s="8" t="n"/>
      <c r="G133" s="7" t="n"/>
      <c r="H133" s="8" t="n"/>
      <c r="I133" s="7" t="n"/>
      <c r="J133" s="8" t="n"/>
      <c r="K133" s="6">
        <f>IF(B133="","",IF(OR(F133="",G133=""),"НЕ ОТПРАВЛЕНО",IF(J133="","НЕТ ДОКАЗАТЕЛЬСТВА",IF(I133="","ОТПРАВЛЕНО, ЖДЁМ ПОЛУЧЕНИЯ","ПЕРЕДАНО"))))</f>
        <v/>
      </c>
    </row>
    <row r="134">
      <c r="A134" s="6" t="n">
        <v>130</v>
      </c>
      <c r="B134" s="8" t="n"/>
      <c r="C134" s="8" t="n"/>
      <c r="D134" s="8" t="n"/>
      <c r="E134" s="8" t="n"/>
      <c r="F134" s="8" t="n"/>
      <c r="G134" s="7" t="n"/>
      <c r="H134" s="8" t="n"/>
      <c r="I134" s="7" t="n"/>
      <c r="J134" s="8" t="n"/>
      <c r="K134" s="6">
        <f>IF(B134="","",IF(OR(F134="",G134=""),"НЕ ОТПРАВЛЕНО",IF(J134="","НЕТ ДОКАЗАТЕЛЬСТВА",IF(I134="","ОТПРАВЛЕНО, ЖДЁМ ПОЛУЧЕНИЯ","ПЕРЕДАНО"))))</f>
        <v/>
      </c>
    </row>
    <row r="135">
      <c r="A135" s="6" t="n">
        <v>131</v>
      </c>
      <c r="B135" s="8" t="n"/>
      <c r="C135" s="8" t="n"/>
      <c r="D135" s="8" t="n"/>
      <c r="E135" s="8" t="n"/>
      <c r="F135" s="8" t="n"/>
      <c r="G135" s="7" t="n"/>
      <c r="H135" s="8" t="n"/>
      <c r="I135" s="7" t="n"/>
      <c r="J135" s="8" t="n"/>
      <c r="K135" s="6">
        <f>IF(B135="","",IF(OR(F135="",G135=""),"НЕ ОТПРАВЛЕНО",IF(J135="","НЕТ ДОКАЗАТЕЛЬСТВА",IF(I135="","ОТПРАВЛЕНО, ЖДЁМ ПОЛУЧЕНИЯ","ПЕРЕДАНО"))))</f>
        <v/>
      </c>
    </row>
    <row r="136">
      <c r="A136" s="6" t="n">
        <v>132</v>
      </c>
      <c r="B136" s="8" t="n"/>
      <c r="C136" s="8" t="n"/>
      <c r="D136" s="8" t="n"/>
      <c r="E136" s="8" t="n"/>
      <c r="F136" s="8" t="n"/>
      <c r="G136" s="7" t="n"/>
      <c r="H136" s="8" t="n"/>
      <c r="I136" s="7" t="n"/>
      <c r="J136" s="8" t="n"/>
      <c r="K136" s="6">
        <f>IF(B136="","",IF(OR(F136="",G136=""),"НЕ ОТПРАВЛЕНО",IF(J136="","НЕТ ДОКАЗАТЕЛЬСТВА",IF(I136="","ОТПРАВЛЕНО, ЖДЁМ ПОЛУЧЕНИЯ","ПЕРЕДАНО"))))</f>
        <v/>
      </c>
    </row>
    <row r="137">
      <c r="A137" s="6" t="n">
        <v>133</v>
      </c>
      <c r="B137" s="8" t="n"/>
      <c r="C137" s="8" t="n"/>
      <c r="D137" s="8" t="n"/>
      <c r="E137" s="8" t="n"/>
      <c r="F137" s="8" t="n"/>
      <c r="G137" s="7" t="n"/>
      <c r="H137" s="8" t="n"/>
      <c r="I137" s="7" t="n"/>
      <c r="J137" s="8" t="n"/>
      <c r="K137" s="6">
        <f>IF(B137="","",IF(OR(F137="",G137=""),"НЕ ОТПРАВЛЕНО",IF(J137="","НЕТ ДОКАЗАТЕЛЬСТВА",IF(I137="","ОТПРАВЛЕНО, ЖДЁМ ПОЛУЧЕНИЯ","ПЕРЕДАНО"))))</f>
        <v/>
      </c>
    </row>
    <row r="138">
      <c r="A138" s="6" t="n">
        <v>134</v>
      </c>
      <c r="B138" s="8" t="n"/>
      <c r="C138" s="8" t="n"/>
      <c r="D138" s="8" t="n"/>
      <c r="E138" s="8" t="n"/>
      <c r="F138" s="8" t="n"/>
      <c r="G138" s="7" t="n"/>
      <c r="H138" s="8" t="n"/>
      <c r="I138" s="7" t="n"/>
      <c r="J138" s="8" t="n"/>
      <c r="K138" s="6">
        <f>IF(B138="","",IF(OR(F138="",G138=""),"НЕ ОТПРАВЛЕНО",IF(J138="","НЕТ ДОКАЗАТЕЛЬСТВА",IF(I138="","ОТПРАВЛЕНО, ЖДЁМ ПОЛУЧЕНИЯ","ПЕРЕДАНО"))))</f>
        <v/>
      </c>
    </row>
    <row r="139">
      <c r="A139" s="6" t="n">
        <v>135</v>
      </c>
      <c r="B139" s="8" t="n"/>
      <c r="C139" s="8" t="n"/>
      <c r="D139" s="8" t="n"/>
      <c r="E139" s="8" t="n"/>
      <c r="F139" s="8" t="n"/>
      <c r="G139" s="7" t="n"/>
      <c r="H139" s="8" t="n"/>
      <c r="I139" s="7" t="n"/>
      <c r="J139" s="8" t="n"/>
      <c r="K139" s="6">
        <f>IF(B139="","",IF(OR(F139="",G139=""),"НЕ ОТПРАВЛЕНО",IF(J139="","НЕТ ДОКАЗАТЕЛЬСТВА",IF(I139="","ОТПРАВЛЕНО, ЖДЁМ ПОЛУЧЕНИЯ","ПЕРЕДАНО"))))</f>
        <v/>
      </c>
    </row>
    <row r="140">
      <c r="A140" s="6" t="n">
        <v>136</v>
      </c>
      <c r="B140" s="8" t="n"/>
      <c r="C140" s="8" t="n"/>
      <c r="D140" s="8" t="n"/>
      <c r="E140" s="8" t="n"/>
      <c r="F140" s="8" t="n"/>
      <c r="G140" s="7" t="n"/>
      <c r="H140" s="8" t="n"/>
      <c r="I140" s="7" t="n"/>
      <c r="J140" s="8" t="n"/>
      <c r="K140" s="6">
        <f>IF(B140="","",IF(OR(F140="",G140=""),"НЕ ОТПРАВЛЕНО",IF(J140="","НЕТ ДОКАЗАТЕЛЬСТВА",IF(I140="","ОТПРАВЛЕНО, ЖДЁМ ПОЛУЧЕНИЯ","ПЕРЕДАНО"))))</f>
        <v/>
      </c>
    </row>
    <row r="141">
      <c r="A141" s="6" t="n">
        <v>137</v>
      </c>
      <c r="B141" s="8" t="n"/>
      <c r="C141" s="8" t="n"/>
      <c r="D141" s="8" t="n"/>
      <c r="E141" s="8" t="n"/>
      <c r="F141" s="8" t="n"/>
      <c r="G141" s="7" t="n"/>
      <c r="H141" s="8" t="n"/>
      <c r="I141" s="7" t="n"/>
      <c r="J141" s="8" t="n"/>
      <c r="K141" s="6">
        <f>IF(B141="","",IF(OR(F141="",G141=""),"НЕ ОТПРАВЛЕНО",IF(J141="","НЕТ ДОКАЗАТЕЛЬСТВА",IF(I141="","ОТПРАВЛЕНО, ЖДЁМ ПОЛУЧЕНИЯ","ПЕРЕДАНО"))))</f>
        <v/>
      </c>
    </row>
    <row r="142">
      <c r="A142" s="6" t="n">
        <v>138</v>
      </c>
      <c r="B142" s="8" t="n"/>
      <c r="C142" s="8" t="n"/>
      <c r="D142" s="8" t="n"/>
      <c r="E142" s="8" t="n"/>
      <c r="F142" s="8" t="n"/>
      <c r="G142" s="7" t="n"/>
      <c r="H142" s="8" t="n"/>
      <c r="I142" s="7" t="n"/>
      <c r="J142" s="8" t="n"/>
      <c r="K142" s="6">
        <f>IF(B142="","",IF(OR(F142="",G142=""),"НЕ ОТПРАВЛЕНО",IF(J142="","НЕТ ДОКАЗАТЕЛЬСТВА",IF(I142="","ОТПРАВЛЕНО, ЖДЁМ ПОЛУЧЕНИЯ","ПЕРЕДАНО"))))</f>
        <v/>
      </c>
    </row>
    <row r="143">
      <c r="A143" s="6" t="n">
        <v>139</v>
      </c>
      <c r="B143" s="8" t="n"/>
      <c r="C143" s="8" t="n"/>
      <c r="D143" s="8" t="n"/>
      <c r="E143" s="8" t="n"/>
      <c r="F143" s="8" t="n"/>
      <c r="G143" s="7" t="n"/>
      <c r="H143" s="8" t="n"/>
      <c r="I143" s="7" t="n"/>
      <c r="J143" s="8" t="n"/>
      <c r="K143" s="6">
        <f>IF(B143="","",IF(OR(F143="",G143=""),"НЕ ОТПРАВЛЕНО",IF(J143="","НЕТ ДОКАЗАТЕЛЬСТВА",IF(I143="","ОТПРАВЛЕНО, ЖДЁМ ПОЛУЧЕНИЯ","ПЕРЕДАНО"))))</f>
        <v/>
      </c>
    </row>
    <row r="144">
      <c r="A144" s="6" t="n">
        <v>140</v>
      </c>
      <c r="B144" s="8" t="n"/>
      <c r="C144" s="8" t="n"/>
      <c r="D144" s="8" t="n"/>
      <c r="E144" s="8" t="n"/>
      <c r="F144" s="8" t="n"/>
      <c r="G144" s="7" t="n"/>
      <c r="H144" s="8" t="n"/>
      <c r="I144" s="7" t="n"/>
      <c r="J144" s="8" t="n"/>
      <c r="K144" s="6">
        <f>IF(B144="","",IF(OR(F144="",G144=""),"НЕ ОТПРАВЛЕНО",IF(J144="","НЕТ ДОКАЗАТЕЛЬСТВА",IF(I144="","ОТПРАВЛЕНО, ЖДЁМ ПОЛУЧЕНИЯ","ПЕРЕДАНО"))))</f>
        <v/>
      </c>
    </row>
    <row r="145">
      <c r="A145" s="6" t="n">
        <v>141</v>
      </c>
      <c r="B145" s="8" t="n"/>
      <c r="C145" s="8" t="n"/>
      <c r="D145" s="8" t="n"/>
      <c r="E145" s="8" t="n"/>
      <c r="F145" s="8" t="n"/>
      <c r="G145" s="7" t="n"/>
      <c r="H145" s="8" t="n"/>
      <c r="I145" s="7" t="n"/>
      <c r="J145" s="8" t="n"/>
      <c r="K145" s="6">
        <f>IF(B145="","",IF(OR(F145="",G145=""),"НЕ ОТПРАВЛЕНО",IF(J145="","НЕТ ДОКАЗАТЕЛЬСТВА",IF(I145="","ОТПРАВЛЕНО, ЖДЁМ ПОЛУЧЕНИЯ","ПЕРЕДАНО"))))</f>
        <v/>
      </c>
    </row>
    <row r="146">
      <c r="A146" s="6" t="n">
        <v>142</v>
      </c>
      <c r="B146" s="8" t="n"/>
      <c r="C146" s="8" t="n"/>
      <c r="D146" s="8" t="n"/>
      <c r="E146" s="8" t="n"/>
      <c r="F146" s="8" t="n"/>
      <c r="G146" s="7" t="n"/>
      <c r="H146" s="8" t="n"/>
      <c r="I146" s="7" t="n"/>
      <c r="J146" s="8" t="n"/>
      <c r="K146" s="6">
        <f>IF(B146="","",IF(OR(F146="",G146=""),"НЕ ОТПРАВЛЕНО",IF(J146="","НЕТ ДОКАЗАТЕЛЬСТВА",IF(I146="","ОТПРАВЛЕНО, ЖДЁМ ПОЛУЧЕНИЯ","ПЕРЕДАНО"))))</f>
        <v/>
      </c>
    </row>
    <row r="147">
      <c r="A147" s="6" t="n">
        <v>143</v>
      </c>
      <c r="B147" s="8" t="n"/>
      <c r="C147" s="8" t="n"/>
      <c r="D147" s="8" t="n"/>
      <c r="E147" s="8" t="n"/>
      <c r="F147" s="8" t="n"/>
      <c r="G147" s="7" t="n"/>
      <c r="H147" s="8" t="n"/>
      <c r="I147" s="7" t="n"/>
      <c r="J147" s="8" t="n"/>
      <c r="K147" s="6">
        <f>IF(B147="","",IF(OR(F147="",G147=""),"НЕ ОТПРАВЛЕНО",IF(J147="","НЕТ ДОКАЗАТЕЛЬСТВА",IF(I147="","ОТПРАВЛЕНО, ЖДЁМ ПОЛУЧЕНИЯ","ПЕРЕДАНО"))))</f>
        <v/>
      </c>
    </row>
    <row r="148">
      <c r="A148" s="6" t="n">
        <v>144</v>
      </c>
      <c r="B148" s="8" t="n"/>
      <c r="C148" s="8" t="n"/>
      <c r="D148" s="8" t="n"/>
      <c r="E148" s="8" t="n"/>
      <c r="F148" s="8" t="n"/>
      <c r="G148" s="7" t="n"/>
      <c r="H148" s="8" t="n"/>
      <c r="I148" s="7" t="n"/>
      <c r="J148" s="8" t="n"/>
      <c r="K148" s="6">
        <f>IF(B148="","",IF(OR(F148="",G148=""),"НЕ ОТПРАВЛЕНО",IF(J148="","НЕТ ДОКАЗАТЕЛЬСТВА",IF(I148="","ОТПРАВЛЕНО, ЖДЁМ ПОЛУЧЕНИЯ","ПЕРЕДАНО"))))</f>
        <v/>
      </c>
    </row>
    <row r="149">
      <c r="A149" s="6" t="n">
        <v>145</v>
      </c>
      <c r="B149" s="8" t="n"/>
      <c r="C149" s="8" t="n"/>
      <c r="D149" s="8" t="n"/>
      <c r="E149" s="8" t="n"/>
      <c r="F149" s="8" t="n"/>
      <c r="G149" s="7" t="n"/>
      <c r="H149" s="8" t="n"/>
      <c r="I149" s="7" t="n"/>
      <c r="J149" s="8" t="n"/>
      <c r="K149" s="6">
        <f>IF(B149="","",IF(OR(F149="",G149=""),"НЕ ОТПРАВЛЕНО",IF(J149="","НЕТ ДОКАЗАТЕЛЬСТВА",IF(I149="","ОТПРАВЛЕНО, ЖДЁМ ПОЛУЧЕНИЯ","ПЕРЕДАНО"))))</f>
        <v/>
      </c>
    </row>
    <row r="150">
      <c r="A150" s="6" t="n">
        <v>146</v>
      </c>
      <c r="B150" s="8" t="n"/>
      <c r="C150" s="8" t="n"/>
      <c r="D150" s="8" t="n"/>
      <c r="E150" s="8" t="n"/>
      <c r="F150" s="8" t="n"/>
      <c r="G150" s="7" t="n"/>
      <c r="H150" s="8" t="n"/>
      <c r="I150" s="7" t="n"/>
      <c r="J150" s="8" t="n"/>
      <c r="K150" s="6">
        <f>IF(B150="","",IF(OR(F150="",G150=""),"НЕ ОТПРАВЛЕНО",IF(J150="","НЕТ ДОКАЗАТЕЛЬСТВА",IF(I150="","ОТПРАВЛЕНО, ЖДЁМ ПОЛУЧЕНИЯ","ПЕРЕДАНО"))))</f>
        <v/>
      </c>
    </row>
    <row r="151">
      <c r="A151" s="6" t="n">
        <v>147</v>
      </c>
      <c r="B151" s="8" t="n"/>
      <c r="C151" s="8" t="n"/>
      <c r="D151" s="8" t="n"/>
      <c r="E151" s="8" t="n"/>
      <c r="F151" s="8" t="n"/>
      <c r="G151" s="7" t="n"/>
      <c r="H151" s="8" t="n"/>
      <c r="I151" s="7" t="n"/>
      <c r="J151" s="8" t="n"/>
      <c r="K151" s="6">
        <f>IF(B151="","",IF(OR(F151="",G151=""),"НЕ ОТПРАВЛЕНО",IF(J151="","НЕТ ДОКАЗАТЕЛЬСТВА",IF(I151="","ОТПРАВЛЕНО, ЖДЁМ ПОЛУЧЕНИЯ","ПЕРЕДАНО"))))</f>
        <v/>
      </c>
    </row>
    <row r="152">
      <c r="A152" s="6" t="n">
        <v>148</v>
      </c>
      <c r="B152" s="8" t="n"/>
      <c r="C152" s="8" t="n"/>
      <c r="D152" s="8" t="n"/>
      <c r="E152" s="8" t="n"/>
      <c r="F152" s="8" t="n"/>
      <c r="G152" s="7" t="n"/>
      <c r="H152" s="8" t="n"/>
      <c r="I152" s="7" t="n"/>
      <c r="J152" s="8" t="n"/>
      <c r="K152" s="6">
        <f>IF(B152="","",IF(OR(F152="",G152=""),"НЕ ОТПРАВЛЕНО",IF(J152="","НЕТ ДОКАЗАТЕЛЬСТВА",IF(I152="","ОТПРАВЛЕНО, ЖДЁМ ПОЛУЧЕНИЯ","ПЕРЕДАНО"))))</f>
        <v/>
      </c>
    </row>
    <row r="153">
      <c r="A153" s="6" t="n">
        <v>149</v>
      </c>
      <c r="B153" s="8" t="n"/>
      <c r="C153" s="8" t="n"/>
      <c r="D153" s="8" t="n"/>
      <c r="E153" s="8" t="n"/>
      <c r="F153" s="8" t="n"/>
      <c r="G153" s="7" t="n"/>
      <c r="H153" s="8" t="n"/>
      <c r="I153" s="7" t="n"/>
      <c r="J153" s="8" t="n"/>
      <c r="K153" s="6">
        <f>IF(B153="","",IF(OR(F153="",G153=""),"НЕ ОТПРАВЛЕНО",IF(J153="","НЕТ ДОКАЗАТЕЛЬСТВА",IF(I153="","ОТПРАВЛЕНО, ЖДЁМ ПОЛУЧЕНИЯ","ПЕРЕДАНО"))))</f>
        <v/>
      </c>
    </row>
    <row r="154">
      <c r="A154" s="6" t="n">
        <v>150</v>
      </c>
      <c r="B154" s="8" t="n"/>
      <c r="C154" s="8" t="n"/>
      <c r="D154" s="8" t="n"/>
      <c r="E154" s="8" t="n"/>
      <c r="F154" s="8" t="n"/>
      <c r="G154" s="7" t="n"/>
      <c r="H154" s="8" t="n"/>
      <c r="I154" s="7" t="n"/>
      <c r="J154" s="8" t="n"/>
      <c r="K154" s="6">
        <f>IF(B154="","",IF(OR(F154="",G154=""),"НЕ ОТПРАВЛЕНО",IF(J154="","НЕТ ДОКАЗАТЕЛЬСТВА",IF(I154="","ОТПРАВЛЕНО, ЖДЁМ ПОЛУЧЕНИЯ","ПЕРЕДАНО"))))</f>
        <v/>
      </c>
    </row>
    <row r="155">
      <c r="A155" s="6" t="n">
        <v>151</v>
      </c>
      <c r="B155" s="8" t="n"/>
      <c r="C155" s="8" t="n"/>
      <c r="D155" s="8" t="n"/>
      <c r="E155" s="8" t="n"/>
      <c r="F155" s="8" t="n"/>
      <c r="G155" s="7" t="n"/>
      <c r="H155" s="8" t="n"/>
      <c r="I155" s="7" t="n"/>
      <c r="J155" s="8" t="n"/>
      <c r="K155" s="6">
        <f>IF(B155="","",IF(OR(F155="",G155=""),"НЕ ОТПРАВЛЕНО",IF(J155="","НЕТ ДОКАЗАТЕЛЬСТВА",IF(I155="","ОТПРАВЛЕНО, ЖДЁМ ПОЛУЧЕНИЯ","ПЕРЕДАНО"))))</f>
        <v/>
      </c>
    </row>
    <row r="156">
      <c r="A156" s="6" t="n">
        <v>152</v>
      </c>
      <c r="B156" s="8" t="n"/>
      <c r="C156" s="8" t="n"/>
      <c r="D156" s="8" t="n"/>
      <c r="E156" s="8" t="n"/>
      <c r="F156" s="8" t="n"/>
      <c r="G156" s="7" t="n"/>
      <c r="H156" s="8" t="n"/>
      <c r="I156" s="7" t="n"/>
      <c r="J156" s="8" t="n"/>
      <c r="K156" s="6">
        <f>IF(B156="","",IF(OR(F156="",G156=""),"НЕ ОТПРАВЛЕНО",IF(J156="","НЕТ ДОКАЗАТЕЛЬСТВА",IF(I156="","ОТПРАВЛЕНО, ЖДЁМ ПОЛУЧЕНИЯ","ПЕРЕДАНО"))))</f>
        <v/>
      </c>
    </row>
    <row r="157">
      <c r="A157" s="6" t="n">
        <v>153</v>
      </c>
      <c r="B157" s="8" t="n"/>
      <c r="C157" s="8" t="n"/>
      <c r="D157" s="8" t="n"/>
      <c r="E157" s="8" t="n"/>
      <c r="F157" s="8" t="n"/>
      <c r="G157" s="7" t="n"/>
      <c r="H157" s="8" t="n"/>
      <c r="I157" s="7" t="n"/>
      <c r="J157" s="8" t="n"/>
      <c r="K157" s="6">
        <f>IF(B157="","",IF(OR(F157="",G157=""),"НЕ ОТПРАВЛЕНО",IF(J157="","НЕТ ДОКАЗАТЕЛЬСТВА",IF(I157="","ОТПРАВЛЕНО, ЖДЁМ ПОЛУЧЕНИЯ","ПЕРЕДАНО"))))</f>
        <v/>
      </c>
    </row>
    <row r="158">
      <c r="A158" s="6" t="n">
        <v>154</v>
      </c>
      <c r="B158" s="8" t="n"/>
      <c r="C158" s="8" t="n"/>
      <c r="D158" s="8" t="n"/>
      <c r="E158" s="8" t="n"/>
      <c r="F158" s="8" t="n"/>
      <c r="G158" s="7" t="n"/>
      <c r="H158" s="8" t="n"/>
      <c r="I158" s="7" t="n"/>
      <c r="J158" s="8" t="n"/>
      <c r="K158" s="6">
        <f>IF(B158="","",IF(OR(F158="",G158=""),"НЕ ОТПРАВЛЕНО",IF(J158="","НЕТ ДОКАЗАТЕЛЬСТВА",IF(I158="","ОТПРАВЛЕНО, ЖДЁМ ПОЛУЧЕНИЯ","ПЕРЕДАНО"))))</f>
        <v/>
      </c>
    </row>
    <row r="159">
      <c r="A159" s="6" t="n">
        <v>155</v>
      </c>
      <c r="B159" s="8" t="n"/>
      <c r="C159" s="8" t="n"/>
      <c r="D159" s="8" t="n"/>
      <c r="E159" s="8" t="n"/>
      <c r="F159" s="8" t="n"/>
      <c r="G159" s="7" t="n"/>
      <c r="H159" s="8" t="n"/>
      <c r="I159" s="7" t="n"/>
      <c r="J159" s="8" t="n"/>
      <c r="K159" s="6">
        <f>IF(B159="","",IF(OR(F159="",G159=""),"НЕ ОТПРАВЛЕНО",IF(J159="","НЕТ ДОКАЗАТЕЛЬСТВА",IF(I159="","ОТПРАВЛЕНО, ЖДЁМ ПОЛУЧЕНИЯ","ПЕРЕДАНО"))))</f>
        <v/>
      </c>
    </row>
    <row r="160">
      <c r="A160" s="6" t="n">
        <v>156</v>
      </c>
      <c r="B160" s="8" t="n"/>
      <c r="C160" s="8" t="n"/>
      <c r="D160" s="8" t="n"/>
      <c r="E160" s="8" t="n"/>
      <c r="F160" s="8" t="n"/>
      <c r="G160" s="7" t="n"/>
      <c r="H160" s="8" t="n"/>
      <c r="I160" s="7" t="n"/>
      <c r="J160" s="8" t="n"/>
      <c r="K160" s="6">
        <f>IF(B160="","",IF(OR(F160="",G160=""),"НЕ ОТПРАВЛЕНО",IF(J160="","НЕТ ДОКАЗАТЕЛЬСТВА",IF(I160="","ОТПРАВЛЕНО, ЖДЁМ ПОЛУЧЕНИЯ","ПЕРЕДАНО"))))</f>
        <v/>
      </c>
    </row>
    <row r="161">
      <c r="A161" s="6" t="n">
        <v>157</v>
      </c>
      <c r="B161" s="8" t="n"/>
      <c r="C161" s="8" t="n"/>
      <c r="D161" s="8" t="n"/>
      <c r="E161" s="8" t="n"/>
      <c r="F161" s="8" t="n"/>
      <c r="G161" s="7" t="n"/>
      <c r="H161" s="8" t="n"/>
      <c r="I161" s="7" t="n"/>
      <c r="J161" s="8" t="n"/>
      <c r="K161" s="6">
        <f>IF(B161="","",IF(OR(F161="",G161=""),"НЕ ОТПРАВЛЕНО",IF(J161="","НЕТ ДОКАЗАТЕЛЬСТВА",IF(I161="","ОТПРАВЛЕНО, ЖДЁМ ПОЛУЧЕНИЯ","ПЕРЕДАНО"))))</f>
        <v/>
      </c>
    </row>
    <row r="162">
      <c r="A162" s="6" t="n">
        <v>158</v>
      </c>
      <c r="B162" s="8" t="n"/>
      <c r="C162" s="8" t="n"/>
      <c r="D162" s="8" t="n"/>
      <c r="E162" s="8" t="n"/>
      <c r="F162" s="8" t="n"/>
      <c r="G162" s="7" t="n"/>
      <c r="H162" s="8" t="n"/>
      <c r="I162" s="7" t="n"/>
      <c r="J162" s="8" t="n"/>
      <c r="K162" s="6">
        <f>IF(B162="","",IF(OR(F162="",G162=""),"НЕ ОТПРАВЛЕНО",IF(J162="","НЕТ ДОКАЗАТЕЛЬСТВА",IF(I162="","ОТПРАВЛЕНО, ЖДЁМ ПОЛУЧЕНИЯ","ПЕРЕДАНО"))))</f>
        <v/>
      </c>
    </row>
    <row r="163">
      <c r="A163" s="6" t="n">
        <v>159</v>
      </c>
      <c r="B163" s="8" t="n"/>
      <c r="C163" s="8" t="n"/>
      <c r="D163" s="8" t="n"/>
      <c r="E163" s="8" t="n"/>
      <c r="F163" s="8" t="n"/>
      <c r="G163" s="7" t="n"/>
      <c r="H163" s="8" t="n"/>
      <c r="I163" s="7" t="n"/>
      <c r="J163" s="8" t="n"/>
      <c r="K163" s="6">
        <f>IF(B163="","",IF(OR(F163="",G163=""),"НЕ ОТПРАВЛЕНО",IF(J163="","НЕТ ДОКАЗАТЕЛЬСТВА",IF(I163="","ОТПРАВЛЕНО, ЖДЁМ ПОЛУЧЕНИЯ","ПЕРЕДАНО"))))</f>
        <v/>
      </c>
    </row>
    <row r="164">
      <c r="A164" s="6" t="n">
        <v>160</v>
      </c>
      <c r="B164" s="8" t="n"/>
      <c r="C164" s="8" t="n"/>
      <c r="D164" s="8" t="n"/>
      <c r="E164" s="8" t="n"/>
      <c r="F164" s="8" t="n"/>
      <c r="G164" s="7" t="n"/>
      <c r="H164" s="8" t="n"/>
      <c r="I164" s="7" t="n"/>
      <c r="J164" s="8" t="n"/>
      <c r="K164" s="6">
        <f>IF(B164="","",IF(OR(F164="",G164=""),"НЕ ОТПРАВЛЕНО",IF(J164="","НЕТ ДОКАЗАТЕЛЬСТВА",IF(I164="","ОТПРАВЛЕНО, ЖДЁМ ПОЛУЧЕНИЯ","ПЕРЕДАНО"))))</f>
        <v/>
      </c>
    </row>
    <row r="165">
      <c r="A165" s="6" t="n">
        <v>161</v>
      </c>
      <c r="B165" s="8" t="n"/>
      <c r="C165" s="8" t="n"/>
      <c r="D165" s="8" t="n"/>
      <c r="E165" s="8" t="n"/>
      <c r="F165" s="8" t="n"/>
      <c r="G165" s="7" t="n"/>
      <c r="H165" s="8" t="n"/>
      <c r="I165" s="7" t="n"/>
      <c r="J165" s="8" t="n"/>
      <c r="K165" s="6">
        <f>IF(B165="","",IF(OR(F165="",G165=""),"НЕ ОТПРАВЛЕНО",IF(J165="","НЕТ ДОКАЗАТЕЛЬСТВА",IF(I165="","ОТПРАВЛЕНО, ЖДЁМ ПОЛУЧЕНИЯ","ПЕРЕДАНО"))))</f>
        <v/>
      </c>
    </row>
    <row r="166">
      <c r="A166" s="6" t="n">
        <v>162</v>
      </c>
      <c r="B166" s="8" t="n"/>
      <c r="C166" s="8" t="n"/>
      <c r="D166" s="8" t="n"/>
      <c r="E166" s="8" t="n"/>
      <c r="F166" s="8" t="n"/>
      <c r="G166" s="7" t="n"/>
      <c r="H166" s="8" t="n"/>
      <c r="I166" s="7" t="n"/>
      <c r="J166" s="8" t="n"/>
      <c r="K166" s="6">
        <f>IF(B166="","",IF(OR(F166="",G166=""),"НЕ ОТПРАВЛЕНО",IF(J166="","НЕТ ДОКАЗАТЕЛЬСТВА",IF(I166="","ОТПРАВЛЕНО, ЖДЁМ ПОЛУЧЕНИЯ","ПЕРЕДАНО"))))</f>
        <v/>
      </c>
    </row>
    <row r="167">
      <c r="A167" s="6" t="n">
        <v>163</v>
      </c>
      <c r="B167" s="8" t="n"/>
      <c r="C167" s="8" t="n"/>
      <c r="D167" s="8" t="n"/>
      <c r="E167" s="8" t="n"/>
      <c r="F167" s="8" t="n"/>
      <c r="G167" s="7" t="n"/>
      <c r="H167" s="8" t="n"/>
      <c r="I167" s="7" t="n"/>
      <c r="J167" s="8" t="n"/>
      <c r="K167" s="6">
        <f>IF(B167="","",IF(OR(F167="",G167=""),"НЕ ОТПРАВЛЕНО",IF(J167="","НЕТ ДОКАЗАТЕЛЬСТВА",IF(I167="","ОТПРАВЛЕНО, ЖДЁМ ПОЛУЧЕНИЯ","ПЕРЕДАНО"))))</f>
        <v/>
      </c>
    </row>
    <row r="168">
      <c r="A168" s="6" t="n">
        <v>164</v>
      </c>
      <c r="B168" s="8" t="n"/>
      <c r="C168" s="8" t="n"/>
      <c r="D168" s="8" t="n"/>
      <c r="E168" s="8" t="n"/>
      <c r="F168" s="8" t="n"/>
      <c r="G168" s="7" t="n"/>
      <c r="H168" s="8" t="n"/>
      <c r="I168" s="7" t="n"/>
      <c r="J168" s="8" t="n"/>
      <c r="K168" s="6">
        <f>IF(B168="","",IF(OR(F168="",G168=""),"НЕ ОТПРАВЛЕНО",IF(J168="","НЕТ ДОКАЗАТЕЛЬСТВА",IF(I168="","ОТПРАВЛЕНО, ЖДЁМ ПОЛУЧЕНИЯ","ПЕРЕДАНО"))))</f>
        <v/>
      </c>
    </row>
    <row r="169">
      <c r="A169" s="6" t="n">
        <v>165</v>
      </c>
      <c r="B169" s="8" t="n"/>
      <c r="C169" s="8" t="n"/>
      <c r="D169" s="8" t="n"/>
      <c r="E169" s="8" t="n"/>
      <c r="F169" s="8" t="n"/>
      <c r="G169" s="7" t="n"/>
      <c r="H169" s="8" t="n"/>
      <c r="I169" s="7" t="n"/>
      <c r="J169" s="8" t="n"/>
      <c r="K169" s="6">
        <f>IF(B169="","",IF(OR(F169="",G169=""),"НЕ ОТПРАВЛЕНО",IF(J169="","НЕТ ДОКАЗАТЕЛЬСТВА",IF(I169="","ОТПРАВЛЕНО, ЖДЁМ ПОЛУЧЕНИЯ","ПЕРЕДАНО"))))</f>
        <v/>
      </c>
    </row>
    <row r="170">
      <c r="A170" s="6" t="n">
        <v>166</v>
      </c>
      <c r="B170" s="8" t="n"/>
      <c r="C170" s="8" t="n"/>
      <c r="D170" s="8" t="n"/>
      <c r="E170" s="8" t="n"/>
      <c r="F170" s="8" t="n"/>
      <c r="G170" s="7" t="n"/>
      <c r="H170" s="8" t="n"/>
      <c r="I170" s="7" t="n"/>
      <c r="J170" s="8" t="n"/>
      <c r="K170" s="6">
        <f>IF(B170="","",IF(OR(F170="",G170=""),"НЕ ОТПРАВЛЕНО",IF(J170="","НЕТ ДОКАЗАТЕЛЬСТВА",IF(I170="","ОТПРАВЛЕНО, ЖДЁМ ПОЛУЧЕНИЯ","ПЕРЕДАНО"))))</f>
        <v/>
      </c>
    </row>
    <row r="171">
      <c r="A171" s="6" t="n">
        <v>167</v>
      </c>
      <c r="B171" s="8" t="n"/>
      <c r="C171" s="8" t="n"/>
      <c r="D171" s="8" t="n"/>
      <c r="E171" s="8" t="n"/>
      <c r="F171" s="8" t="n"/>
      <c r="G171" s="7" t="n"/>
      <c r="H171" s="8" t="n"/>
      <c r="I171" s="7" t="n"/>
      <c r="J171" s="8" t="n"/>
      <c r="K171" s="6">
        <f>IF(B171="","",IF(OR(F171="",G171=""),"НЕ ОТПРАВЛЕНО",IF(J171="","НЕТ ДОКАЗАТЕЛЬСТВА",IF(I171="","ОТПРАВЛЕНО, ЖДЁМ ПОЛУЧЕНИЯ","ПЕРЕДАНО"))))</f>
        <v/>
      </c>
    </row>
    <row r="172">
      <c r="A172" s="6" t="n">
        <v>168</v>
      </c>
      <c r="B172" s="8" t="n"/>
      <c r="C172" s="8" t="n"/>
      <c r="D172" s="8" t="n"/>
      <c r="E172" s="8" t="n"/>
      <c r="F172" s="8" t="n"/>
      <c r="G172" s="7" t="n"/>
      <c r="H172" s="8" t="n"/>
      <c r="I172" s="7" t="n"/>
      <c r="J172" s="8" t="n"/>
      <c r="K172" s="6">
        <f>IF(B172="","",IF(OR(F172="",G172=""),"НЕ ОТПРАВЛЕНО",IF(J172="","НЕТ ДОКАЗАТЕЛЬСТВА",IF(I172="","ОТПРАВЛЕНО, ЖДЁМ ПОЛУЧЕНИЯ","ПЕРЕДАНО"))))</f>
        <v/>
      </c>
    </row>
    <row r="173">
      <c r="A173" s="6" t="n">
        <v>169</v>
      </c>
      <c r="B173" s="8" t="n"/>
      <c r="C173" s="8" t="n"/>
      <c r="D173" s="8" t="n"/>
      <c r="E173" s="8" t="n"/>
      <c r="F173" s="8" t="n"/>
      <c r="G173" s="7" t="n"/>
      <c r="H173" s="8" t="n"/>
      <c r="I173" s="7" t="n"/>
      <c r="J173" s="8" t="n"/>
      <c r="K173" s="6">
        <f>IF(B173="","",IF(OR(F173="",G173=""),"НЕ ОТПРАВЛЕНО",IF(J173="","НЕТ ДОКАЗАТЕЛЬСТВА",IF(I173="","ОТПРАВЛЕНО, ЖДЁМ ПОЛУЧЕНИЯ","ПЕРЕДАНО"))))</f>
        <v/>
      </c>
    </row>
    <row r="174">
      <c r="A174" s="6" t="n">
        <v>170</v>
      </c>
      <c r="B174" s="8" t="n"/>
      <c r="C174" s="8" t="n"/>
      <c r="D174" s="8" t="n"/>
      <c r="E174" s="8" t="n"/>
      <c r="F174" s="8" t="n"/>
      <c r="G174" s="7" t="n"/>
      <c r="H174" s="8" t="n"/>
      <c r="I174" s="7" t="n"/>
      <c r="J174" s="8" t="n"/>
      <c r="K174" s="6">
        <f>IF(B174="","",IF(OR(F174="",G174=""),"НЕ ОТПРАВЛЕНО",IF(J174="","НЕТ ДОКАЗАТЕЛЬСТВА",IF(I174="","ОТПРАВЛЕНО, ЖДЁМ ПОЛУЧЕНИЯ","ПЕРЕДАНО"))))</f>
        <v/>
      </c>
    </row>
    <row r="175">
      <c r="A175" s="6" t="n">
        <v>171</v>
      </c>
      <c r="B175" s="8" t="n"/>
      <c r="C175" s="8" t="n"/>
      <c r="D175" s="8" t="n"/>
      <c r="E175" s="8" t="n"/>
      <c r="F175" s="8" t="n"/>
      <c r="G175" s="7" t="n"/>
      <c r="H175" s="8" t="n"/>
      <c r="I175" s="7" t="n"/>
      <c r="J175" s="8" t="n"/>
      <c r="K175" s="6">
        <f>IF(B175="","",IF(OR(F175="",G175=""),"НЕ ОТПРАВЛЕНО",IF(J175="","НЕТ ДОКАЗАТЕЛЬСТВА",IF(I175="","ОТПРАВЛЕНО, ЖДЁМ ПОЛУЧЕНИЯ","ПЕРЕДАНО"))))</f>
        <v/>
      </c>
    </row>
    <row r="176">
      <c r="A176" s="6" t="n">
        <v>172</v>
      </c>
      <c r="B176" s="8" t="n"/>
      <c r="C176" s="8" t="n"/>
      <c r="D176" s="8" t="n"/>
      <c r="E176" s="8" t="n"/>
      <c r="F176" s="8" t="n"/>
      <c r="G176" s="7" t="n"/>
      <c r="H176" s="8" t="n"/>
      <c r="I176" s="7" t="n"/>
      <c r="J176" s="8" t="n"/>
      <c r="K176" s="6">
        <f>IF(B176="","",IF(OR(F176="",G176=""),"НЕ ОТПРАВЛЕНО",IF(J176="","НЕТ ДОКАЗАТЕЛЬСТВА",IF(I176="","ОТПРАВЛЕНО, ЖДЁМ ПОЛУЧЕНИЯ","ПЕРЕДАНО"))))</f>
        <v/>
      </c>
    </row>
    <row r="177">
      <c r="A177" s="6" t="n">
        <v>173</v>
      </c>
      <c r="B177" s="8" t="n"/>
      <c r="C177" s="8" t="n"/>
      <c r="D177" s="8" t="n"/>
      <c r="E177" s="8" t="n"/>
      <c r="F177" s="8" t="n"/>
      <c r="G177" s="7" t="n"/>
      <c r="H177" s="8" t="n"/>
      <c r="I177" s="7" t="n"/>
      <c r="J177" s="8" t="n"/>
      <c r="K177" s="6">
        <f>IF(B177="","",IF(OR(F177="",G177=""),"НЕ ОТПРАВЛЕНО",IF(J177="","НЕТ ДОКАЗАТЕЛЬСТВА",IF(I177="","ОТПРАВЛЕНО, ЖДЁМ ПОЛУЧЕНИЯ","ПЕРЕДАНО"))))</f>
        <v/>
      </c>
    </row>
    <row r="178">
      <c r="A178" s="6" t="n">
        <v>174</v>
      </c>
      <c r="B178" s="8" t="n"/>
      <c r="C178" s="8" t="n"/>
      <c r="D178" s="8" t="n"/>
      <c r="E178" s="8" t="n"/>
      <c r="F178" s="8" t="n"/>
      <c r="G178" s="7" t="n"/>
      <c r="H178" s="8" t="n"/>
      <c r="I178" s="7" t="n"/>
      <c r="J178" s="8" t="n"/>
      <c r="K178" s="6">
        <f>IF(B178="","",IF(OR(F178="",G178=""),"НЕ ОТПРАВЛЕНО",IF(J178="","НЕТ ДОКАЗАТЕЛЬСТВА",IF(I178="","ОТПРАВЛЕНО, ЖДЁМ ПОЛУЧЕНИЯ","ПЕРЕДАНО"))))</f>
        <v/>
      </c>
    </row>
    <row r="179">
      <c r="A179" s="6" t="n">
        <v>175</v>
      </c>
      <c r="B179" s="8" t="n"/>
      <c r="C179" s="8" t="n"/>
      <c r="D179" s="8" t="n"/>
      <c r="E179" s="8" t="n"/>
      <c r="F179" s="8" t="n"/>
      <c r="G179" s="7" t="n"/>
      <c r="H179" s="8" t="n"/>
      <c r="I179" s="7" t="n"/>
      <c r="J179" s="8" t="n"/>
      <c r="K179" s="6">
        <f>IF(B179="","",IF(OR(F179="",G179=""),"НЕ ОТПРАВЛЕНО",IF(J179="","НЕТ ДОКАЗАТЕЛЬСТВА",IF(I179="","ОТПРАВЛЕНО, ЖДЁМ ПОЛУЧЕНИЯ","ПЕРЕДАНО"))))</f>
        <v/>
      </c>
    </row>
    <row r="180">
      <c r="A180" s="6" t="n">
        <v>176</v>
      </c>
      <c r="B180" s="8" t="n"/>
      <c r="C180" s="8" t="n"/>
      <c r="D180" s="8" t="n"/>
      <c r="E180" s="8" t="n"/>
      <c r="F180" s="8" t="n"/>
      <c r="G180" s="7" t="n"/>
      <c r="H180" s="8" t="n"/>
      <c r="I180" s="7" t="n"/>
      <c r="J180" s="8" t="n"/>
      <c r="K180" s="6">
        <f>IF(B180="","",IF(OR(F180="",G180=""),"НЕ ОТПРАВЛЕНО",IF(J180="","НЕТ ДОКАЗАТЕЛЬСТВА",IF(I180="","ОТПРАВЛЕНО, ЖДЁМ ПОЛУЧЕНИЯ","ПЕРЕДАНО"))))</f>
        <v/>
      </c>
    </row>
    <row r="181">
      <c r="A181" s="6" t="n">
        <v>177</v>
      </c>
      <c r="B181" s="8" t="n"/>
      <c r="C181" s="8" t="n"/>
      <c r="D181" s="8" t="n"/>
      <c r="E181" s="8" t="n"/>
      <c r="F181" s="8" t="n"/>
      <c r="G181" s="7" t="n"/>
      <c r="H181" s="8" t="n"/>
      <c r="I181" s="7" t="n"/>
      <c r="J181" s="8" t="n"/>
      <c r="K181" s="6">
        <f>IF(B181="","",IF(OR(F181="",G181=""),"НЕ ОТПРАВЛЕНО",IF(J181="","НЕТ ДОКАЗАТЕЛЬСТВА",IF(I181="","ОТПРАВЛЕНО, ЖДЁМ ПОЛУЧЕНИЯ","ПЕРЕДАНО"))))</f>
        <v/>
      </c>
    </row>
    <row r="182">
      <c r="A182" s="6" t="n">
        <v>178</v>
      </c>
      <c r="B182" s="8" t="n"/>
      <c r="C182" s="8" t="n"/>
      <c r="D182" s="8" t="n"/>
      <c r="E182" s="8" t="n"/>
      <c r="F182" s="8" t="n"/>
      <c r="G182" s="7" t="n"/>
      <c r="H182" s="8" t="n"/>
      <c r="I182" s="7" t="n"/>
      <c r="J182" s="8" t="n"/>
      <c r="K182" s="6">
        <f>IF(B182="","",IF(OR(F182="",G182=""),"НЕ ОТПРАВЛЕНО",IF(J182="","НЕТ ДОКАЗАТЕЛЬСТВА",IF(I182="","ОТПРАВЛЕНО, ЖДЁМ ПОЛУЧЕНИЯ","ПЕРЕДАНО"))))</f>
        <v/>
      </c>
    </row>
    <row r="183">
      <c r="A183" s="6" t="n">
        <v>179</v>
      </c>
      <c r="B183" s="8" t="n"/>
      <c r="C183" s="8" t="n"/>
      <c r="D183" s="8" t="n"/>
      <c r="E183" s="8" t="n"/>
      <c r="F183" s="8" t="n"/>
      <c r="G183" s="7" t="n"/>
      <c r="H183" s="8" t="n"/>
      <c r="I183" s="7" t="n"/>
      <c r="J183" s="8" t="n"/>
      <c r="K183" s="6">
        <f>IF(B183="","",IF(OR(F183="",G183=""),"НЕ ОТПРАВЛЕНО",IF(J183="","НЕТ ДОКАЗАТЕЛЬСТВА",IF(I183="","ОТПРАВЛЕНО, ЖДЁМ ПОЛУЧЕНИЯ","ПЕРЕДАНО"))))</f>
        <v/>
      </c>
    </row>
    <row r="184">
      <c r="A184" s="6" t="n">
        <v>180</v>
      </c>
      <c r="B184" s="8" t="n"/>
      <c r="C184" s="8" t="n"/>
      <c r="D184" s="8" t="n"/>
      <c r="E184" s="8" t="n"/>
      <c r="F184" s="8" t="n"/>
      <c r="G184" s="7" t="n"/>
      <c r="H184" s="8" t="n"/>
      <c r="I184" s="7" t="n"/>
      <c r="J184" s="8" t="n"/>
      <c r="K184" s="6">
        <f>IF(B184="","",IF(OR(F184="",G184=""),"НЕ ОТПРАВЛЕНО",IF(J184="","НЕТ ДОКАЗАТЕЛЬСТВА",IF(I184="","ОТПРАВЛЕНО, ЖДЁМ ПОЛУЧЕНИЯ","ПЕРЕДАНО"))))</f>
        <v/>
      </c>
    </row>
    <row r="185">
      <c r="A185" s="6" t="n">
        <v>181</v>
      </c>
      <c r="B185" s="8" t="n"/>
      <c r="C185" s="8" t="n"/>
      <c r="D185" s="8" t="n"/>
      <c r="E185" s="8" t="n"/>
      <c r="F185" s="8" t="n"/>
      <c r="G185" s="7" t="n"/>
      <c r="H185" s="8" t="n"/>
      <c r="I185" s="7" t="n"/>
      <c r="J185" s="8" t="n"/>
      <c r="K185" s="6">
        <f>IF(B185="","",IF(OR(F185="",G185=""),"НЕ ОТПРАВЛЕНО",IF(J185="","НЕТ ДОКАЗАТЕЛЬСТВА",IF(I185="","ОТПРАВЛЕНО, ЖДЁМ ПОЛУЧЕНИЯ","ПЕРЕДАНО"))))</f>
        <v/>
      </c>
    </row>
    <row r="186">
      <c r="A186" s="6" t="n">
        <v>182</v>
      </c>
      <c r="B186" s="8" t="n"/>
      <c r="C186" s="8" t="n"/>
      <c r="D186" s="8" t="n"/>
      <c r="E186" s="8" t="n"/>
      <c r="F186" s="8" t="n"/>
      <c r="G186" s="7" t="n"/>
      <c r="H186" s="8" t="n"/>
      <c r="I186" s="7" t="n"/>
      <c r="J186" s="8" t="n"/>
      <c r="K186" s="6">
        <f>IF(B186="","",IF(OR(F186="",G186=""),"НЕ ОТПРАВЛЕНО",IF(J186="","НЕТ ДОКАЗАТЕЛЬСТВА",IF(I186="","ОТПРАВЛЕНО, ЖДЁМ ПОЛУЧЕНИЯ","ПЕРЕДАНО"))))</f>
        <v/>
      </c>
    </row>
    <row r="187">
      <c r="A187" s="6" t="n">
        <v>183</v>
      </c>
      <c r="B187" s="8" t="n"/>
      <c r="C187" s="8" t="n"/>
      <c r="D187" s="8" t="n"/>
      <c r="E187" s="8" t="n"/>
      <c r="F187" s="8" t="n"/>
      <c r="G187" s="7" t="n"/>
      <c r="H187" s="8" t="n"/>
      <c r="I187" s="7" t="n"/>
      <c r="J187" s="8" t="n"/>
      <c r="K187" s="6">
        <f>IF(B187="","",IF(OR(F187="",G187=""),"НЕ ОТПРАВЛЕНО",IF(J187="","НЕТ ДОКАЗАТЕЛЬСТВА",IF(I187="","ОТПРАВЛЕНО, ЖДЁМ ПОЛУЧЕНИЯ","ПЕРЕДАНО"))))</f>
        <v/>
      </c>
    </row>
    <row r="188">
      <c r="A188" s="6" t="n">
        <v>184</v>
      </c>
      <c r="B188" s="8" t="n"/>
      <c r="C188" s="8" t="n"/>
      <c r="D188" s="8" t="n"/>
      <c r="E188" s="8" t="n"/>
      <c r="F188" s="8" t="n"/>
      <c r="G188" s="7" t="n"/>
      <c r="H188" s="8" t="n"/>
      <c r="I188" s="7" t="n"/>
      <c r="J188" s="8" t="n"/>
      <c r="K188" s="6">
        <f>IF(B188="","",IF(OR(F188="",G188=""),"НЕ ОТПРАВЛЕНО",IF(J188="","НЕТ ДОКАЗАТЕЛЬСТВА",IF(I188="","ОТПРАВЛЕНО, ЖДЁМ ПОЛУЧЕНИЯ","ПЕРЕДАНО"))))</f>
        <v/>
      </c>
    </row>
    <row r="189">
      <c r="A189" s="6" t="n">
        <v>185</v>
      </c>
      <c r="B189" s="8" t="n"/>
      <c r="C189" s="8" t="n"/>
      <c r="D189" s="8" t="n"/>
      <c r="E189" s="8" t="n"/>
      <c r="F189" s="8" t="n"/>
      <c r="G189" s="7" t="n"/>
      <c r="H189" s="8" t="n"/>
      <c r="I189" s="7" t="n"/>
      <c r="J189" s="8" t="n"/>
      <c r="K189" s="6">
        <f>IF(B189="","",IF(OR(F189="",G189=""),"НЕ ОТПРАВЛЕНО",IF(J189="","НЕТ ДОКАЗАТЕЛЬСТВА",IF(I189="","ОТПРАВЛЕНО, ЖДЁМ ПОЛУЧЕНИЯ","ПЕРЕДАНО"))))</f>
        <v/>
      </c>
    </row>
    <row r="190">
      <c r="A190" s="6" t="n">
        <v>186</v>
      </c>
      <c r="B190" s="8" t="n"/>
      <c r="C190" s="8" t="n"/>
      <c r="D190" s="8" t="n"/>
      <c r="E190" s="8" t="n"/>
      <c r="F190" s="8" t="n"/>
      <c r="G190" s="7" t="n"/>
      <c r="H190" s="8" t="n"/>
      <c r="I190" s="7" t="n"/>
      <c r="J190" s="8" t="n"/>
      <c r="K190" s="6">
        <f>IF(B190="","",IF(OR(F190="",G190=""),"НЕ ОТПРАВЛЕНО",IF(J190="","НЕТ ДОКАЗАТЕЛЬСТВА",IF(I190="","ОТПРАВЛЕНО, ЖДЁМ ПОЛУЧЕНИЯ","ПЕРЕДАНО"))))</f>
        <v/>
      </c>
    </row>
    <row r="191">
      <c r="A191" s="6" t="n">
        <v>187</v>
      </c>
      <c r="B191" s="8" t="n"/>
      <c r="C191" s="8" t="n"/>
      <c r="D191" s="8" t="n"/>
      <c r="E191" s="8" t="n"/>
      <c r="F191" s="8" t="n"/>
      <c r="G191" s="7" t="n"/>
      <c r="H191" s="8" t="n"/>
      <c r="I191" s="7" t="n"/>
      <c r="J191" s="8" t="n"/>
      <c r="K191" s="6">
        <f>IF(B191="","",IF(OR(F191="",G191=""),"НЕ ОТПРАВЛЕНО",IF(J191="","НЕТ ДОКАЗАТЕЛЬСТВА",IF(I191="","ОТПРАВЛЕНО, ЖДЁМ ПОЛУЧЕНИЯ","ПЕРЕДАНО"))))</f>
        <v/>
      </c>
    </row>
    <row r="192">
      <c r="A192" s="6" t="n">
        <v>188</v>
      </c>
      <c r="B192" s="8" t="n"/>
      <c r="C192" s="8" t="n"/>
      <c r="D192" s="8" t="n"/>
      <c r="E192" s="8" t="n"/>
      <c r="F192" s="8" t="n"/>
      <c r="G192" s="7" t="n"/>
      <c r="H192" s="8" t="n"/>
      <c r="I192" s="7" t="n"/>
      <c r="J192" s="8" t="n"/>
      <c r="K192" s="6">
        <f>IF(B192="","",IF(OR(F192="",G192=""),"НЕ ОТПРАВЛЕНО",IF(J192="","НЕТ ДОКАЗАТЕЛЬСТВА",IF(I192="","ОТПРАВЛЕНО, ЖДЁМ ПОЛУЧЕНИЯ","ПЕРЕДАНО"))))</f>
        <v/>
      </c>
    </row>
    <row r="193">
      <c r="A193" s="6" t="n">
        <v>189</v>
      </c>
      <c r="B193" s="8" t="n"/>
      <c r="C193" s="8" t="n"/>
      <c r="D193" s="8" t="n"/>
      <c r="E193" s="8" t="n"/>
      <c r="F193" s="8" t="n"/>
      <c r="G193" s="7" t="n"/>
      <c r="H193" s="8" t="n"/>
      <c r="I193" s="7" t="n"/>
      <c r="J193" s="8" t="n"/>
      <c r="K193" s="6">
        <f>IF(B193="","",IF(OR(F193="",G193=""),"НЕ ОТПРАВЛЕНО",IF(J193="","НЕТ ДОКАЗАТЕЛЬСТВА",IF(I193="","ОТПРАВЛЕНО, ЖДЁМ ПОЛУЧЕНИЯ","ПЕРЕДАНО"))))</f>
        <v/>
      </c>
    </row>
    <row r="194">
      <c r="A194" s="6" t="n">
        <v>190</v>
      </c>
      <c r="B194" s="8" t="n"/>
      <c r="C194" s="8" t="n"/>
      <c r="D194" s="8" t="n"/>
      <c r="E194" s="8" t="n"/>
      <c r="F194" s="8" t="n"/>
      <c r="G194" s="7" t="n"/>
      <c r="H194" s="8" t="n"/>
      <c r="I194" s="7" t="n"/>
      <c r="J194" s="8" t="n"/>
      <c r="K194" s="6">
        <f>IF(B194="","",IF(OR(F194="",G194=""),"НЕ ОТПРАВЛЕНО",IF(J194="","НЕТ ДОКАЗАТЕЛЬСТВА",IF(I194="","ОТПРАВЛЕНО, ЖДЁМ ПОЛУЧЕНИЯ","ПЕРЕДАНО"))))</f>
        <v/>
      </c>
    </row>
    <row r="195">
      <c r="A195" s="6" t="n">
        <v>191</v>
      </c>
      <c r="B195" s="8" t="n"/>
      <c r="C195" s="8" t="n"/>
      <c r="D195" s="8" t="n"/>
      <c r="E195" s="8" t="n"/>
      <c r="F195" s="8" t="n"/>
      <c r="G195" s="7" t="n"/>
      <c r="H195" s="8" t="n"/>
      <c r="I195" s="7" t="n"/>
      <c r="J195" s="8" t="n"/>
      <c r="K195" s="6">
        <f>IF(B195="","",IF(OR(F195="",G195=""),"НЕ ОТПРАВЛЕНО",IF(J195="","НЕТ ДОКАЗАТЕЛЬСТВА",IF(I195="","ОТПРАВЛЕНО, ЖДЁМ ПОЛУЧЕНИЯ","ПЕРЕДАНО"))))</f>
        <v/>
      </c>
    </row>
    <row r="196">
      <c r="A196" s="6" t="n">
        <v>192</v>
      </c>
      <c r="B196" s="8" t="n"/>
      <c r="C196" s="8" t="n"/>
      <c r="D196" s="8" t="n"/>
      <c r="E196" s="8" t="n"/>
      <c r="F196" s="8" t="n"/>
      <c r="G196" s="7" t="n"/>
      <c r="H196" s="8" t="n"/>
      <c r="I196" s="7" t="n"/>
      <c r="J196" s="8" t="n"/>
      <c r="K196" s="6">
        <f>IF(B196="","",IF(OR(F196="",G196=""),"НЕ ОТПРАВЛЕНО",IF(J196="","НЕТ ДОКАЗАТЕЛЬСТВА",IF(I196="","ОТПРАВЛЕНО, ЖДЁМ ПОЛУЧЕНИЯ","ПЕРЕДАНО"))))</f>
        <v/>
      </c>
    </row>
    <row r="197">
      <c r="A197" s="6" t="n">
        <v>193</v>
      </c>
      <c r="B197" s="8" t="n"/>
      <c r="C197" s="8" t="n"/>
      <c r="D197" s="8" t="n"/>
      <c r="E197" s="8" t="n"/>
      <c r="F197" s="8" t="n"/>
      <c r="G197" s="7" t="n"/>
      <c r="H197" s="8" t="n"/>
      <c r="I197" s="7" t="n"/>
      <c r="J197" s="8" t="n"/>
      <c r="K197" s="6">
        <f>IF(B197="","",IF(OR(F197="",G197=""),"НЕ ОТПРАВЛЕНО",IF(J197="","НЕТ ДОКАЗАТЕЛЬСТВА",IF(I197="","ОТПРАВЛЕНО, ЖДЁМ ПОЛУЧЕНИЯ","ПЕРЕДАНО"))))</f>
        <v/>
      </c>
    </row>
    <row r="198">
      <c r="A198" s="6" t="n">
        <v>194</v>
      </c>
      <c r="B198" s="8" t="n"/>
      <c r="C198" s="8" t="n"/>
      <c r="D198" s="8" t="n"/>
      <c r="E198" s="8" t="n"/>
      <c r="F198" s="8" t="n"/>
      <c r="G198" s="7" t="n"/>
      <c r="H198" s="8" t="n"/>
      <c r="I198" s="7" t="n"/>
      <c r="J198" s="8" t="n"/>
      <c r="K198" s="6">
        <f>IF(B198="","",IF(OR(F198="",G198=""),"НЕ ОТПРАВЛЕНО",IF(J198="","НЕТ ДОКАЗАТЕЛЬСТВА",IF(I198="","ОТПРАВЛЕНО, ЖДЁМ ПОЛУЧЕНИЯ","ПЕРЕДАНО"))))</f>
        <v/>
      </c>
    </row>
    <row r="199">
      <c r="A199" s="6" t="n">
        <v>195</v>
      </c>
      <c r="B199" s="8" t="n"/>
      <c r="C199" s="8" t="n"/>
      <c r="D199" s="8" t="n"/>
      <c r="E199" s="8" t="n"/>
      <c r="F199" s="8" t="n"/>
      <c r="G199" s="7" t="n"/>
      <c r="H199" s="8" t="n"/>
      <c r="I199" s="7" t="n"/>
      <c r="J199" s="8" t="n"/>
      <c r="K199" s="6">
        <f>IF(B199="","",IF(OR(F199="",G199=""),"НЕ ОТПРАВЛЕНО",IF(J199="","НЕТ ДОКАЗАТЕЛЬСТВА",IF(I199="","ОТПРАВЛЕНО, ЖДЁМ ПОЛУЧЕНИЯ","ПЕРЕДАНО"))))</f>
        <v/>
      </c>
    </row>
    <row r="200">
      <c r="A200" s="6" t="n">
        <v>196</v>
      </c>
      <c r="B200" s="8" t="n"/>
      <c r="C200" s="8" t="n"/>
      <c r="D200" s="8" t="n"/>
      <c r="E200" s="8" t="n"/>
      <c r="F200" s="8" t="n"/>
      <c r="G200" s="7" t="n"/>
      <c r="H200" s="8" t="n"/>
      <c r="I200" s="7" t="n"/>
      <c r="J200" s="8" t="n"/>
      <c r="K200" s="6">
        <f>IF(B200="","",IF(OR(F200="",G200=""),"НЕ ОТПРАВЛЕНО",IF(J200="","НЕТ ДОКАЗАТЕЛЬСТВА",IF(I200="","ОТПРАВЛЕНО, ЖДЁМ ПОЛУЧЕНИЯ","ПЕРЕДАНО"))))</f>
        <v/>
      </c>
    </row>
    <row r="201">
      <c r="A201" s="6" t="n">
        <v>197</v>
      </c>
      <c r="B201" s="8" t="n"/>
      <c r="C201" s="8" t="n"/>
      <c r="D201" s="8" t="n"/>
      <c r="E201" s="8" t="n"/>
      <c r="F201" s="8" t="n"/>
      <c r="G201" s="7" t="n"/>
      <c r="H201" s="8" t="n"/>
      <c r="I201" s="7" t="n"/>
      <c r="J201" s="8" t="n"/>
      <c r="K201" s="6">
        <f>IF(B201="","",IF(OR(F201="",G201=""),"НЕ ОТПРАВЛЕНО",IF(J201="","НЕТ ДОКАЗАТЕЛЬСТВА",IF(I201="","ОТПРАВЛЕНО, ЖДЁМ ПОЛУЧЕНИЯ","ПЕРЕДАНО"))))</f>
        <v/>
      </c>
    </row>
    <row r="202">
      <c r="A202" s="6" t="n">
        <v>198</v>
      </c>
      <c r="B202" s="8" t="n"/>
      <c r="C202" s="8" t="n"/>
      <c r="D202" s="8" t="n"/>
      <c r="E202" s="8" t="n"/>
      <c r="F202" s="8" t="n"/>
      <c r="G202" s="7" t="n"/>
      <c r="H202" s="8" t="n"/>
      <c r="I202" s="7" t="n"/>
      <c r="J202" s="8" t="n"/>
      <c r="K202" s="6">
        <f>IF(B202="","",IF(OR(F202="",G202=""),"НЕ ОТПРАВЛЕНО",IF(J202="","НЕТ ДОКАЗАТЕЛЬСТВА",IF(I202="","ОТПРАВЛЕНО, ЖДЁМ ПОЛУЧЕНИЯ","ПЕРЕДАНО"))))</f>
        <v/>
      </c>
    </row>
    <row r="203">
      <c r="A203" s="6" t="n">
        <v>199</v>
      </c>
      <c r="B203" s="8" t="n"/>
      <c r="C203" s="8" t="n"/>
      <c r="D203" s="8" t="n"/>
      <c r="E203" s="8" t="n"/>
      <c r="F203" s="8" t="n"/>
      <c r="G203" s="7" t="n"/>
      <c r="H203" s="8" t="n"/>
      <c r="I203" s="7" t="n"/>
      <c r="J203" s="8" t="n"/>
      <c r="K203" s="6">
        <f>IF(B203="","",IF(OR(F203="",G203=""),"НЕ ОТПРАВЛЕНО",IF(J203="","НЕТ ДОКАЗАТЕЛЬСТВА",IF(I203="","ОТПРАВЛЕНО, ЖДЁМ ПОЛУЧЕНИЯ","ПЕРЕДАНО"))))</f>
        <v/>
      </c>
    </row>
    <row r="204">
      <c r="A204" s="6" t="n">
        <v>200</v>
      </c>
      <c r="B204" s="8" t="n"/>
      <c r="C204" s="8" t="n"/>
      <c r="D204" s="8" t="n"/>
      <c r="E204" s="8" t="n"/>
      <c r="F204" s="8" t="n"/>
      <c r="G204" s="7" t="n"/>
      <c r="H204" s="8" t="n"/>
      <c r="I204" s="7" t="n"/>
      <c r="J204" s="8" t="n"/>
      <c r="K204" s="6">
        <f>IF(B204="","",IF(OR(F204="",G204=""),"НЕ ОТПРАВЛЕНО",IF(J204="","НЕТ ДОКАЗАТЕЛЬСТВА",IF(I204="","ОТПРАВЛЕНО, ЖДЁМ ПОЛУЧЕНИЯ","ПЕРЕДАНО"))))</f>
        <v/>
      </c>
    </row>
    <row r="205">
      <c r="A205" s="6" t="n">
        <v>201</v>
      </c>
      <c r="B205" s="8" t="n"/>
      <c r="C205" s="8" t="n"/>
      <c r="D205" s="8" t="n"/>
      <c r="E205" s="8" t="n"/>
      <c r="F205" s="8" t="n"/>
      <c r="G205" s="7" t="n"/>
      <c r="H205" s="8" t="n"/>
      <c r="I205" s="7" t="n"/>
      <c r="J205" s="8" t="n"/>
      <c r="K205" s="6">
        <f>IF(B205="","",IF(OR(F205="",G205=""),"НЕ ОТПРАВЛЕНО",IF(J205="","НЕТ ДОКАЗАТЕЛЬСТВА",IF(I205="","ОТПРАВЛЕНО, ЖДЁМ ПОЛУЧЕНИЯ","ПЕРЕДАНО"))))</f>
        <v/>
      </c>
    </row>
    <row r="206">
      <c r="A206" s="6" t="n">
        <v>202</v>
      </c>
      <c r="B206" s="8" t="n"/>
      <c r="C206" s="8" t="n"/>
      <c r="D206" s="8" t="n"/>
      <c r="E206" s="8" t="n"/>
      <c r="F206" s="8" t="n"/>
      <c r="G206" s="7" t="n"/>
      <c r="H206" s="8" t="n"/>
      <c r="I206" s="7" t="n"/>
      <c r="J206" s="8" t="n"/>
      <c r="K206" s="6">
        <f>IF(B206="","",IF(OR(F206="",G206=""),"НЕ ОТПРАВЛЕНО",IF(J206="","НЕТ ДОКАЗАТЕЛЬСТВА",IF(I206="","ОТПРАВЛЕНО, ЖДЁМ ПОЛУЧЕНИЯ","ПЕРЕДАНО"))))</f>
        <v/>
      </c>
    </row>
    <row r="207">
      <c r="A207" s="6" t="n">
        <v>203</v>
      </c>
      <c r="B207" s="8" t="n"/>
      <c r="C207" s="8" t="n"/>
      <c r="D207" s="8" t="n"/>
      <c r="E207" s="8" t="n"/>
      <c r="F207" s="8" t="n"/>
      <c r="G207" s="7" t="n"/>
      <c r="H207" s="8" t="n"/>
      <c r="I207" s="7" t="n"/>
      <c r="J207" s="8" t="n"/>
      <c r="K207" s="6">
        <f>IF(B207="","",IF(OR(F207="",G207=""),"НЕ ОТПРАВЛЕНО",IF(J207="","НЕТ ДОКАЗАТЕЛЬСТВА",IF(I207="","ОТПРАВЛЕНО, ЖДЁМ ПОЛУЧЕНИЯ","ПЕРЕДАНО"))))</f>
        <v/>
      </c>
    </row>
    <row r="208">
      <c r="A208" s="6" t="n">
        <v>204</v>
      </c>
      <c r="B208" s="8" t="n"/>
      <c r="C208" s="8" t="n"/>
      <c r="D208" s="8" t="n"/>
      <c r="E208" s="8" t="n"/>
      <c r="F208" s="8" t="n"/>
      <c r="G208" s="7" t="n"/>
      <c r="H208" s="8" t="n"/>
      <c r="I208" s="7" t="n"/>
      <c r="J208" s="8" t="n"/>
      <c r="K208" s="6">
        <f>IF(B208="","",IF(OR(F208="",G208=""),"НЕ ОТПРАВЛЕНО",IF(J208="","НЕТ ДОКАЗАТЕЛЬСТВА",IF(I208="","ОТПРАВЛЕНО, ЖДЁМ ПОЛУЧЕНИЯ","ПЕРЕДАНО"))))</f>
        <v/>
      </c>
    </row>
    <row r="209">
      <c r="A209" s="6" t="n">
        <v>205</v>
      </c>
      <c r="B209" s="8" t="n"/>
      <c r="C209" s="8" t="n"/>
      <c r="D209" s="8" t="n"/>
      <c r="E209" s="8" t="n"/>
      <c r="F209" s="8" t="n"/>
      <c r="G209" s="7" t="n"/>
      <c r="H209" s="8" t="n"/>
      <c r="I209" s="7" t="n"/>
      <c r="J209" s="8" t="n"/>
      <c r="K209" s="6">
        <f>IF(B209="","",IF(OR(F209="",G209=""),"НЕ ОТПРАВЛЕНО",IF(J209="","НЕТ ДОКАЗАТЕЛЬСТВА",IF(I209="","ОТПРАВЛЕНО, ЖДЁМ ПОЛУЧЕНИЯ","ПЕРЕДАНО"))))</f>
        <v/>
      </c>
    </row>
    <row r="210">
      <c r="A210" s="6" t="n">
        <v>206</v>
      </c>
      <c r="B210" s="8" t="n"/>
      <c r="C210" s="8" t="n"/>
      <c r="D210" s="8" t="n"/>
      <c r="E210" s="8" t="n"/>
      <c r="F210" s="8" t="n"/>
      <c r="G210" s="7" t="n"/>
      <c r="H210" s="8" t="n"/>
      <c r="I210" s="7" t="n"/>
      <c r="J210" s="8" t="n"/>
      <c r="K210" s="6">
        <f>IF(B210="","",IF(OR(F210="",G210=""),"НЕ ОТПРАВЛЕНО",IF(J210="","НЕТ ДОКАЗАТЕЛЬСТВА",IF(I210="","ОТПРАВЛЕНО, ЖДЁМ ПОЛУЧЕНИЯ","ПЕРЕДАНО"))))</f>
        <v/>
      </c>
    </row>
    <row r="211">
      <c r="A211" s="6" t="n">
        <v>207</v>
      </c>
      <c r="B211" s="8" t="n"/>
      <c r="C211" s="8" t="n"/>
      <c r="D211" s="8" t="n"/>
      <c r="E211" s="8" t="n"/>
      <c r="F211" s="8" t="n"/>
      <c r="G211" s="7" t="n"/>
      <c r="H211" s="8" t="n"/>
      <c r="I211" s="7" t="n"/>
      <c r="J211" s="8" t="n"/>
      <c r="K211" s="6">
        <f>IF(B211="","",IF(OR(F211="",G211=""),"НЕ ОТПРАВЛЕНО",IF(J211="","НЕТ ДОКАЗАТЕЛЬСТВА",IF(I211="","ОТПРАВЛЕНО, ЖДЁМ ПОЛУЧЕНИЯ","ПЕРЕДАНО"))))</f>
        <v/>
      </c>
    </row>
    <row r="212">
      <c r="A212" s="6" t="n">
        <v>208</v>
      </c>
      <c r="B212" s="8" t="n"/>
      <c r="C212" s="8" t="n"/>
      <c r="D212" s="8" t="n"/>
      <c r="E212" s="8" t="n"/>
      <c r="F212" s="8" t="n"/>
      <c r="G212" s="7" t="n"/>
      <c r="H212" s="8" t="n"/>
      <c r="I212" s="7" t="n"/>
      <c r="J212" s="8" t="n"/>
      <c r="K212" s="6">
        <f>IF(B212="","",IF(OR(F212="",G212=""),"НЕ ОТПРАВЛЕНО",IF(J212="","НЕТ ДОКАЗАТЕЛЬСТВА",IF(I212="","ОТПРАВЛЕНО, ЖДЁМ ПОЛУЧЕНИЯ","ПЕРЕДАНО"))))</f>
        <v/>
      </c>
    </row>
    <row r="213">
      <c r="A213" s="6" t="n">
        <v>209</v>
      </c>
      <c r="B213" s="8" t="n"/>
      <c r="C213" s="8" t="n"/>
      <c r="D213" s="8" t="n"/>
      <c r="E213" s="8" t="n"/>
      <c r="F213" s="8" t="n"/>
      <c r="G213" s="7" t="n"/>
      <c r="H213" s="8" t="n"/>
      <c r="I213" s="7" t="n"/>
      <c r="J213" s="8" t="n"/>
      <c r="K213" s="6">
        <f>IF(B213="","",IF(OR(F213="",G213=""),"НЕ ОТПРАВЛЕНО",IF(J213="","НЕТ ДОКАЗАТЕЛЬСТВА",IF(I213="","ОТПРАВЛЕНО, ЖДЁМ ПОЛУЧЕНИЯ","ПЕРЕДАНО"))))</f>
        <v/>
      </c>
    </row>
    <row r="214">
      <c r="A214" s="6" t="n">
        <v>210</v>
      </c>
      <c r="B214" s="8" t="n"/>
      <c r="C214" s="8" t="n"/>
      <c r="D214" s="8" t="n"/>
      <c r="E214" s="8" t="n"/>
      <c r="F214" s="8" t="n"/>
      <c r="G214" s="7" t="n"/>
      <c r="H214" s="8" t="n"/>
      <c r="I214" s="7" t="n"/>
      <c r="J214" s="8" t="n"/>
      <c r="K214" s="6">
        <f>IF(B214="","",IF(OR(F214="",G214=""),"НЕ ОТПРАВЛЕНО",IF(J214="","НЕТ ДОКАЗАТЕЛЬСТВА",IF(I214="","ОТПРАВЛЕНО, ЖДЁМ ПОЛУЧЕНИЯ","ПЕРЕДАНО"))))</f>
        <v/>
      </c>
    </row>
    <row r="215">
      <c r="A215" s="6" t="n">
        <v>211</v>
      </c>
      <c r="B215" s="8" t="n"/>
      <c r="C215" s="8" t="n"/>
      <c r="D215" s="8" t="n"/>
      <c r="E215" s="8" t="n"/>
      <c r="F215" s="8" t="n"/>
      <c r="G215" s="7" t="n"/>
      <c r="H215" s="8" t="n"/>
      <c r="I215" s="7" t="n"/>
      <c r="J215" s="8" t="n"/>
      <c r="K215" s="6">
        <f>IF(B215="","",IF(OR(F215="",G215=""),"НЕ ОТПРАВЛЕНО",IF(J215="","НЕТ ДОКАЗАТЕЛЬСТВА",IF(I215="","ОТПРАВЛЕНО, ЖДЁМ ПОЛУЧЕНИЯ","ПЕРЕДАНО"))))</f>
        <v/>
      </c>
    </row>
    <row r="216">
      <c r="A216" s="6" t="n">
        <v>212</v>
      </c>
      <c r="B216" s="8" t="n"/>
      <c r="C216" s="8" t="n"/>
      <c r="D216" s="8" t="n"/>
      <c r="E216" s="8" t="n"/>
      <c r="F216" s="8" t="n"/>
      <c r="G216" s="7" t="n"/>
      <c r="H216" s="8" t="n"/>
      <c r="I216" s="7" t="n"/>
      <c r="J216" s="8" t="n"/>
      <c r="K216" s="6">
        <f>IF(B216="","",IF(OR(F216="",G216=""),"НЕ ОТПРАВЛЕНО",IF(J216="","НЕТ ДОКАЗАТЕЛЬСТВА",IF(I216="","ОТПРАВЛЕНО, ЖДЁМ ПОЛУЧЕНИЯ","ПЕРЕДАНО"))))</f>
        <v/>
      </c>
    </row>
    <row r="217">
      <c r="A217" s="6" t="n">
        <v>213</v>
      </c>
      <c r="B217" s="8" t="n"/>
      <c r="C217" s="8" t="n"/>
      <c r="D217" s="8" t="n"/>
      <c r="E217" s="8" t="n"/>
      <c r="F217" s="8" t="n"/>
      <c r="G217" s="7" t="n"/>
      <c r="H217" s="8" t="n"/>
      <c r="I217" s="7" t="n"/>
      <c r="J217" s="8" t="n"/>
      <c r="K217" s="6">
        <f>IF(B217="","",IF(OR(F217="",G217=""),"НЕ ОТПРАВЛЕНО",IF(J217="","НЕТ ДОКАЗАТЕЛЬСТВА",IF(I217="","ОТПРАВЛЕНО, ЖДЁМ ПОЛУЧЕНИЯ","ПЕРЕДАНО"))))</f>
        <v/>
      </c>
    </row>
    <row r="218">
      <c r="A218" s="6" t="n">
        <v>214</v>
      </c>
      <c r="B218" s="8" t="n"/>
      <c r="C218" s="8" t="n"/>
      <c r="D218" s="8" t="n"/>
      <c r="E218" s="8" t="n"/>
      <c r="F218" s="8" t="n"/>
      <c r="G218" s="7" t="n"/>
      <c r="H218" s="8" t="n"/>
      <c r="I218" s="7" t="n"/>
      <c r="J218" s="8" t="n"/>
      <c r="K218" s="6">
        <f>IF(B218="","",IF(OR(F218="",G218=""),"НЕ ОТПРАВЛЕНО",IF(J218="","НЕТ ДОКАЗАТЕЛЬСТВА",IF(I218="","ОТПРАВЛЕНО, ЖДЁМ ПОЛУЧЕНИЯ","ПЕРЕДАНО"))))</f>
        <v/>
      </c>
    </row>
    <row r="219">
      <c r="A219" s="6" t="n">
        <v>215</v>
      </c>
      <c r="B219" s="8" t="n"/>
      <c r="C219" s="8" t="n"/>
      <c r="D219" s="8" t="n"/>
      <c r="E219" s="8" t="n"/>
      <c r="F219" s="8" t="n"/>
      <c r="G219" s="7" t="n"/>
      <c r="H219" s="8" t="n"/>
      <c r="I219" s="7" t="n"/>
      <c r="J219" s="8" t="n"/>
      <c r="K219" s="6">
        <f>IF(B219="","",IF(OR(F219="",G219=""),"НЕ ОТПРАВЛЕНО",IF(J219="","НЕТ ДОКАЗАТЕЛЬСТВА",IF(I219="","ОТПРАВЛЕНО, ЖДЁМ ПОЛУЧЕНИЯ","ПЕРЕДАНО"))))</f>
        <v/>
      </c>
    </row>
    <row r="220">
      <c r="A220" s="6" t="n">
        <v>216</v>
      </c>
      <c r="B220" s="8" t="n"/>
      <c r="C220" s="8" t="n"/>
      <c r="D220" s="8" t="n"/>
      <c r="E220" s="8" t="n"/>
      <c r="F220" s="8" t="n"/>
      <c r="G220" s="7" t="n"/>
      <c r="H220" s="8" t="n"/>
      <c r="I220" s="7" t="n"/>
      <c r="J220" s="8" t="n"/>
      <c r="K220" s="6">
        <f>IF(B220="","",IF(OR(F220="",G220=""),"НЕ ОТПРАВЛЕНО",IF(J220="","НЕТ ДОКАЗАТЕЛЬСТВА",IF(I220="","ОТПРАВЛЕНО, ЖДЁМ ПОЛУЧЕНИЯ","ПЕРЕДАНО"))))</f>
        <v/>
      </c>
    </row>
    <row r="221">
      <c r="A221" s="6" t="n">
        <v>217</v>
      </c>
      <c r="B221" s="8" t="n"/>
      <c r="C221" s="8" t="n"/>
      <c r="D221" s="8" t="n"/>
      <c r="E221" s="8" t="n"/>
      <c r="F221" s="8" t="n"/>
      <c r="G221" s="7" t="n"/>
      <c r="H221" s="8" t="n"/>
      <c r="I221" s="7" t="n"/>
      <c r="J221" s="8" t="n"/>
      <c r="K221" s="6">
        <f>IF(B221="","",IF(OR(F221="",G221=""),"НЕ ОТПРАВЛЕНО",IF(J221="","НЕТ ДОКАЗАТЕЛЬСТВА",IF(I221="","ОТПРАВЛЕНО, ЖДЁМ ПОЛУЧЕНИЯ","ПЕРЕДАНО"))))</f>
        <v/>
      </c>
    </row>
    <row r="222">
      <c r="A222" s="6" t="n">
        <v>218</v>
      </c>
      <c r="B222" s="8" t="n"/>
      <c r="C222" s="8" t="n"/>
      <c r="D222" s="8" t="n"/>
      <c r="E222" s="8" t="n"/>
      <c r="F222" s="8" t="n"/>
      <c r="G222" s="7" t="n"/>
      <c r="H222" s="8" t="n"/>
      <c r="I222" s="7" t="n"/>
      <c r="J222" s="8" t="n"/>
      <c r="K222" s="6">
        <f>IF(B222="","",IF(OR(F222="",G222=""),"НЕ ОТПРАВЛЕНО",IF(J222="","НЕТ ДОКАЗАТЕЛЬСТВА",IF(I222="","ОТПРАВЛЕНО, ЖДЁМ ПОЛУЧЕНИЯ","ПЕРЕДАНО"))))</f>
        <v/>
      </c>
    </row>
    <row r="223">
      <c r="A223" s="6" t="n">
        <v>219</v>
      </c>
      <c r="B223" s="8" t="n"/>
      <c r="C223" s="8" t="n"/>
      <c r="D223" s="8" t="n"/>
      <c r="E223" s="8" t="n"/>
      <c r="F223" s="8" t="n"/>
      <c r="G223" s="7" t="n"/>
      <c r="H223" s="8" t="n"/>
      <c r="I223" s="7" t="n"/>
      <c r="J223" s="8" t="n"/>
      <c r="K223" s="6">
        <f>IF(B223="","",IF(OR(F223="",G223=""),"НЕ ОТПРАВЛЕНО",IF(J223="","НЕТ ДОКАЗАТЕЛЬСТВА",IF(I223="","ОТПРАВЛЕНО, ЖДЁМ ПОЛУЧЕНИЯ","ПЕРЕДАНО"))))</f>
        <v/>
      </c>
    </row>
    <row r="224">
      <c r="A224" s="6" t="n">
        <v>220</v>
      </c>
      <c r="B224" s="8" t="n"/>
      <c r="C224" s="8" t="n"/>
      <c r="D224" s="8" t="n"/>
      <c r="E224" s="8" t="n"/>
      <c r="F224" s="8" t="n"/>
      <c r="G224" s="7" t="n"/>
      <c r="H224" s="8" t="n"/>
      <c r="I224" s="7" t="n"/>
      <c r="J224" s="8" t="n"/>
      <c r="K224" s="6">
        <f>IF(B224="","",IF(OR(F224="",G224=""),"НЕ ОТПРАВЛЕНО",IF(J224="","НЕТ ДОКАЗАТЕЛЬСТВА",IF(I224="","ОТПРАВЛЕНО, ЖДЁМ ПОЛУЧЕНИЯ","ПЕРЕДАНО"))))</f>
        <v/>
      </c>
    </row>
    <row r="225">
      <c r="A225" s="6" t="n">
        <v>221</v>
      </c>
      <c r="B225" s="8" t="n"/>
      <c r="C225" s="8" t="n"/>
      <c r="D225" s="8" t="n"/>
      <c r="E225" s="8" t="n"/>
      <c r="F225" s="8" t="n"/>
      <c r="G225" s="7" t="n"/>
      <c r="H225" s="8" t="n"/>
      <c r="I225" s="7" t="n"/>
      <c r="J225" s="8" t="n"/>
      <c r="K225" s="6">
        <f>IF(B225="","",IF(OR(F225="",G225=""),"НЕ ОТПРАВЛЕНО",IF(J225="","НЕТ ДОКАЗАТЕЛЬСТВА",IF(I225="","ОТПРАВЛЕНО, ЖДЁМ ПОЛУЧЕНИЯ","ПЕРЕДАНО"))))</f>
        <v/>
      </c>
    </row>
    <row r="226">
      <c r="A226" s="6" t="n">
        <v>222</v>
      </c>
      <c r="B226" s="8" t="n"/>
      <c r="C226" s="8" t="n"/>
      <c r="D226" s="8" t="n"/>
      <c r="E226" s="8" t="n"/>
      <c r="F226" s="8" t="n"/>
      <c r="G226" s="7" t="n"/>
      <c r="H226" s="8" t="n"/>
      <c r="I226" s="7" t="n"/>
      <c r="J226" s="8" t="n"/>
      <c r="K226" s="6">
        <f>IF(B226="","",IF(OR(F226="",G226=""),"НЕ ОТПРАВЛЕНО",IF(J226="","НЕТ ДОКАЗАТЕЛЬСТВА",IF(I226="","ОТПРАВЛЕНО, ЖДЁМ ПОЛУЧЕНИЯ","ПЕРЕДАНО"))))</f>
        <v/>
      </c>
    </row>
    <row r="227">
      <c r="A227" s="6" t="n">
        <v>223</v>
      </c>
      <c r="B227" s="8" t="n"/>
      <c r="C227" s="8" t="n"/>
      <c r="D227" s="8" t="n"/>
      <c r="E227" s="8" t="n"/>
      <c r="F227" s="8" t="n"/>
      <c r="G227" s="7" t="n"/>
      <c r="H227" s="8" t="n"/>
      <c r="I227" s="7" t="n"/>
      <c r="J227" s="8" t="n"/>
      <c r="K227" s="6">
        <f>IF(B227="","",IF(OR(F227="",G227=""),"НЕ ОТПРАВЛЕНО",IF(J227="","НЕТ ДОКАЗАТЕЛЬСТВА",IF(I227="","ОТПРАВЛЕНО, ЖДЁМ ПОЛУЧЕНИЯ","ПЕРЕДАНО"))))</f>
        <v/>
      </c>
    </row>
    <row r="228">
      <c r="A228" s="6" t="n">
        <v>224</v>
      </c>
      <c r="B228" s="8" t="n"/>
      <c r="C228" s="8" t="n"/>
      <c r="D228" s="8" t="n"/>
      <c r="E228" s="8" t="n"/>
      <c r="F228" s="8" t="n"/>
      <c r="G228" s="7" t="n"/>
      <c r="H228" s="8" t="n"/>
      <c r="I228" s="7" t="n"/>
      <c r="J228" s="8" t="n"/>
      <c r="K228" s="6">
        <f>IF(B228="","",IF(OR(F228="",G228=""),"НЕ ОТПРАВЛЕНО",IF(J228="","НЕТ ДОКАЗАТЕЛЬСТВА",IF(I228="","ОТПРАВЛЕНО, ЖДЁМ ПОЛУЧЕНИЯ","ПЕРЕДАНО"))))</f>
        <v/>
      </c>
    </row>
    <row r="229">
      <c r="A229" s="6" t="n">
        <v>225</v>
      </c>
      <c r="B229" s="8" t="n"/>
      <c r="C229" s="8" t="n"/>
      <c r="D229" s="8" t="n"/>
      <c r="E229" s="8" t="n"/>
      <c r="F229" s="8" t="n"/>
      <c r="G229" s="7" t="n"/>
      <c r="H229" s="8" t="n"/>
      <c r="I229" s="7" t="n"/>
      <c r="J229" s="8" t="n"/>
      <c r="K229" s="6">
        <f>IF(B229="","",IF(OR(F229="",G229=""),"НЕ ОТПРАВЛЕНО",IF(J229="","НЕТ ДОКАЗАТЕЛЬСТВА",IF(I229="","ОТПРАВЛЕНО, ЖДЁМ ПОЛУЧЕНИЯ","ПЕРЕДАНО"))))</f>
        <v/>
      </c>
    </row>
    <row r="230">
      <c r="A230" s="6" t="n">
        <v>226</v>
      </c>
      <c r="B230" s="8" t="n"/>
      <c r="C230" s="8" t="n"/>
      <c r="D230" s="8" t="n"/>
      <c r="E230" s="8" t="n"/>
      <c r="F230" s="8" t="n"/>
      <c r="G230" s="7" t="n"/>
      <c r="H230" s="8" t="n"/>
      <c r="I230" s="7" t="n"/>
      <c r="J230" s="8" t="n"/>
      <c r="K230" s="6">
        <f>IF(B230="","",IF(OR(F230="",G230=""),"НЕ ОТПРАВЛЕНО",IF(J230="","НЕТ ДОКАЗАТЕЛЬСТВА",IF(I230="","ОТПРАВЛЕНО, ЖДЁМ ПОЛУЧЕНИЯ","ПЕРЕДАНО"))))</f>
        <v/>
      </c>
    </row>
    <row r="231">
      <c r="A231" s="6" t="n">
        <v>227</v>
      </c>
      <c r="B231" s="8" t="n"/>
      <c r="C231" s="8" t="n"/>
      <c r="D231" s="8" t="n"/>
      <c r="E231" s="8" t="n"/>
      <c r="F231" s="8" t="n"/>
      <c r="G231" s="7" t="n"/>
      <c r="H231" s="8" t="n"/>
      <c r="I231" s="7" t="n"/>
      <c r="J231" s="8" t="n"/>
      <c r="K231" s="6">
        <f>IF(B231="","",IF(OR(F231="",G231=""),"НЕ ОТПРАВЛЕНО",IF(J231="","НЕТ ДОКАЗАТЕЛЬСТВА",IF(I231="","ОТПРАВЛЕНО, ЖДЁМ ПОЛУЧЕНИЯ","ПЕРЕДАНО"))))</f>
        <v/>
      </c>
    </row>
    <row r="232">
      <c r="A232" s="6" t="n">
        <v>228</v>
      </c>
      <c r="B232" s="8" t="n"/>
      <c r="C232" s="8" t="n"/>
      <c r="D232" s="8" t="n"/>
      <c r="E232" s="8" t="n"/>
      <c r="F232" s="8" t="n"/>
      <c r="G232" s="7" t="n"/>
      <c r="H232" s="8" t="n"/>
      <c r="I232" s="7" t="n"/>
      <c r="J232" s="8" t="n"/>
      <c r="K232" s="6">
        <f>IF(B232="","",IF(OR(F232="",G232=""),"НЕ ОТПРАВЛЕНО",IF(J232="","НЕТ ДОКАЗАТЕЛЬСТВА",IF(I232="","ОТПРАВЛЕНО, ЖДЁМ ПОЛУЧЕНИЯ","ПЕРЕДАНО"))))</f>
        <v/>
      </c>
    </row>
    <row r="233">
      <c r="A233" s="6" t="n">
        <v>229</v>
      </c>
      <c r="B233" s="8" t="n"/>
      <c r="C233" s="8" t="n"/>
      <c r="D233" s="8" t="n"/>
      <c r="E233" s="8" t="n"/>
      <c r="F233" s="8" t="n"/>
      <c r="G233" s="7" t="n"/>
      <c r="H233" s="8" t="n"/>
      <c r="I233" s="7" t="n"/>
      <c r="J233" s="8" t="n"/>
      <c r="K233" s="6">
        <f>IF(B233="","",IF(OR(F233="",G233=""),"НЕ ОТПРАВЛЕНО",IF(J233="","НЕТ ДОКАЗАТЕЛЬСТВА",IF(I233="","ОТПРАВЛЕНО, ЖДЁМ ПОЛУЧЕНИЯ","ПЕРЕДАНО"))))</f>
        <v/>
      </c>
    </row>
    <row r="234">
      <c r="A234" s="6" t="n">
        <v>230</v>
      </c>
      <c r="B234" s="8" t="n"/>
      <c r="C234" s="8" t="n"/>
      <c r="D234" s="8" t="n"/>
      <c r="E234" s="8" t="n"/>
      <c r="F234" s="8" t="n"/>
      <c r="G234" s="7" t="n"/>
      <c r="H234" s="8" t="n"/>
      <c r="I234" s="7" t="n"/>
      <c r="J234" s="8" t="n"/>
      <c r="K234" s="6">
        <f>IF(B234="","",IF(OR(F234="",G234=""),"НЕ ОТПРАВЛЕНО",IF(J234="","НЕТ ДОКАЗАТЕЛЬСТВА",IF(I234="","ОТПРАВЛЕНО, ЖДЁМ ПОЛУЧЕНИЯ","ПЕРЕДАНО"))))</f>
        <v/>
      </c>
    </row>
    <row r="235">
      <c r="A235" s="6" t="n">
        <v>231</v>
      </c>
      <c r="B235" s="8" t="n"/>
      <c r="C235" s="8" t="n"/>
      <c r="D235" s="8" t="n"/>
      <c r="E235" s="8" t="n"/>
      <c r="F235" s="8" t="n"/>
      <c r="G235" s="7" t="n"/>
      <c r="H235" s="8" t="n"/>
      <c r="I235" s="7" t="n"/>
      <c r="J235" s="8" t="n"/>
      <c r="K235" s="6">
        <f>IF(B235="","",IF(OR(F235="",G235=""),"НЕ ОТПРАВЛЕНО",IF(J235="","НЕТ ДОКАЗАТЕЛЬСТВА",IF(I235="","ОТПРАВЛЕНО, ЖДЁМ ПОЛУЧЕНИЯ","ПЕРЕДАНО"))))</f>
        <v/>
      </c>
    </row>
    <row r="236">
      <c r="A236" s="6" t="n">
        <v>232</v>
      </c>
      <c r="B236" s="8" t="n"/>
      <c r="C236" s="8" t="n"/>
      <c r="D236" s="8" t="n"/>
      <c r="E236" s="8" t="n"/>
      <c r="F236" s="8" t="n"/>
      <c r="G236" s="7" t="n"/>
      <c r="H236" s="8" t="n"/>
      <c r="I236" s="7" t="n"/>
      <c r="J236" s="8" t="n"/>
      <c r="K236" s="6">
        <f>IF(B236="","",IF(OR(F236="",G236=""),"НЕ ОТПРАВЛЕНО",IF(J236="","НЕТ ДОКАЗАТЕЛЬСТВА",IF(I236="","ОТПРАВЛЕНО, ЖДЁМ ПОЛУЧЕНИЯ","ПЕРЕДАНО"))))</f>
        <v/>
      </c>
    </row>
    <row r="237">
      <c r="A237" s="6" t="n">
        <v>233</v>
      </c>
      <c r="B237" s="8" t="n"/>
      <c r="C237" s="8" t="n"/>
      <c r="D237" s="8" t="n"/>
      <c r="E237" s="8" t="n"/>
      <c r="F237" s="8" t="n"/>
      <c r="G237" s="7" t="n"/>
      <c r="H237" s="8" t="n"/>
      <c r="I237" s="7" t="n"/>
      <c r="J237" s="8" t="n"/>
      <c r="K237" s="6">
        <f>IF(B237="","",IF(OR(F237="",G237=""),"НЕ ОТПРАВЛЕНО",IF(J237="","НЕТ ДОКАЗАТЕЛЬСТВА",IF(I237="","ОТПРАВЛЕНО, ЖДЁМ ПОЛУЧЕНИЯ","ПЕРЕДАНО"))))</f>
        <v/>
      </c>
    </row>
    <row r="238">
      <c r="A238" s="6" t="n">
        <v>234</v>
      </c>
      <c r="B238" s="8" t="n"/>
      <c r="C238" s="8" t="n"/>
      <c r="D238" s="8" t="n"/>
      <c r="E238" s="8" t="n"/>
      <c r="F238" s="8" t="n"/>
      <c r="G238" s="7" t="n"/>
      <c r="H238" s="8" t="n"/>
      <c r="I238" s="7" t="n"/>
      <c r="J238" s="8" t="n"/>
      <c r="K238" s="6">
        <f>IF(B238="","",IF(OR(F238="",G238=""),"НЕ ОТПРАВЛЕНО",IF(J238="","НЕТ ДОКАЗАТЕЛЬСТВА",IF(I238="","ОТПРАВЛЕНО, ЖДЁМ ПОЛУЧЕНИЯ","ПЕРЕДАНО"))))</f>
        <v/>
      </c>
    </row>
    <row r="239">
      <c r="A239" s="6" t="n">
        <v>235</v>
      </c>
      <c r="B239" s="8" t="n"/>
      <c r="C239" s="8" t="n"/>
      <c r="D239" s="8" t="n"/>
      <c r="E239" s="8" t="n"/>
      <c r="F239" s="8" t="n"/>
      <c r="G239" s="7" t="n"/>
      <c r="H239" s="8" t="n"/>
      <c r="I239" s="7" t="n"/>
      <c r="J239" s="8" t="n"/>
      <c r="K239" s="6">
        <f>IF(B239="","",IF(OR(F239="",G239=""),"НЕ ОТПРАВЛЕНО",IF(J239="","НЕТ ДОКАЗАТЕЛЬСТВА",IF(I239="","ОТПРАВЛЕНО, ЖДЁМ ПОЛУЧЕНИЯ","ПЕРЕДАНО"))))</f>
        <v/>
      </c>
    </row>
    <row r="240">
      <c r="A240" s="6" t="n">
        <v>236</v>
      </c>
      <c r="B240" s="8" t="n"/>
      <c r="C240" s="8" t="n"/>
      <c r="D240" s="8" t="n"/>
      <c r="E240" s="8" t="n"/>
      <c r="F240" s="8" t="n"/>
      <c r="G240" s="7" t="n"/>
      <c r="H240" s="8" t="n"/>
      <c r="I240" s="7" t="n"/>
      <c r="J240" s="8" t="n"/>
      <c r="K240" s="6">
        <f>IF(B240="","",IF(OR(F240="",G240=""),"НЕ ОТПРАВЛЕНО",IF(J240="","НЕТ ДОКАЗАТЕЛЬСТВА",IF(I240="","ОТПРАВЛЕНО, ЖДЁМ ПОЛУЧЕНИЯ","ПЕРЕДАНО"))))</f>
        <v/>
      </c>
    </row>
    <row r="241">
      <c r="A241" s="6" t="n">
        <v>237</v>
      </c>
      <c r="B241" s="8" t="n"/>
      <c r="C241" s="8" t="n"/>
      <c r="D241" s="8" t="n"/>
      <c r="E241" s="8" t="n"/>
      <c r="F241" s="8" t="n"/>
      <c r="G241" s="7" t="n"/>
      <c r="H241" s="8" t="n"/>
      <c r="I241" s="7" t="n"/>
      <c r="J241" s="8" t="n"/>
      <c r="K241" s="6">
        <f>IF(B241="","",IF(OR(F241="",G241=""),"НЕ ОТПРАВЛЕНО",IF(J241="","НЕТ ДОКАЗАТЕЛЬСТВА",IF(I241="","ОТПРАВЛЕНО, ЖДЁМ ПОЛУЧЕНИЯ","ПЕРЕДАНО"))))</f>
        <v/>
      </c>
    </row>
    <row r="242">
      <c r="A242" s="6" t="n">
        <v>238</v>
      </c>
      <c r="B242" s="8" t="n"/>
      <c r="C242" s="8" t="n"/>
      <c r="D242" s="8" t="n"/>
      <c r="E242" s="8" t="n"/>
      <c r="F242" s="8" t="n"/>
      <c r="G242" s="7" t="n"/>
      <c r="H242" s="8" t="n"/>
      <c r="I242" s="7" t="n"/>
      <c r="J242" s="8" t="n"/>
      <c r="K242" s="6">
        <f>IF(B242="","",IF(OR(F242="",G242=""),"НЕ ОТПРАВЛЕНО",IF(J242="","НЕТ ДОКАЗАТЕЛЬСТВА",IF(I242="","ОТПРАВЛЕНО, ЖДЁМ ПОЛУЧЕНИЯ","ПЕРЕДАНО"))))</f>
        <v/>
      </c>
    </row>
    <row r="243">
      <c r="A243" s="6" t="n">
        <v>239</v>
      </c>
      <c r="B243" s="8" t="n"/>
      <c r="C243" s="8" t="n"/>
      <c r="D243" s="8" t="n"/>
      <c r="E243" s="8" t="n"/>
      <c r="F243" s="8" t="n"/>
      <c r="G243" s="7" t="n"/>
      <c r="H243" s="8" t="n"/>
      <c r="I243" s="7" t="n"/>
      <c r="J243" s="8" t="n"/>
      <c r="K243" s="6">
        <f>IF(B243="","",IF(OR(F243="",G243=""),"НЕ ОТПРАВЛЕНО",IF(J243="","НЕТ ДОКАЗАТЕЛЬСТВА",IF(I243="","ОТПРАВЛЕНО, ЖДЁМ ПОЛУЧЕНИЯ","ПЕРЕДАНО"))))</f>
        <v/>
      </c>
    </row>
    <row r="244">
      <c r="A244" s="6" t="n">
        <v>240</v>
      </c>
      <c r="B244" s="8" t="n"/>
      <c r="C244" s="8" t="n"/>
      <c r="D244" s="8" t="n"/>
      <c r="E244" s="8" t="n"/>
      <c r="F244" s="8" t="n"/>
      <c r="G244" s="7" t="n"/>
      <c r="H244" s="8" t="n"/>
      <c r="I244" s="7" t="n"/>
      <c r="J244" s="8" t="n"/>
      <c r="K244" s="6">
        <f>IF(B244="","",IF(OR(F244="",G244=""),"НЕ ОТПРАВЛЕНО",IF(J244="","НЕТ ДОКАЗАТЕЛЬСТВА",IF(I244="","ОТПРАВЛЕНО, ЖДЁМ ПОЛУЧЕНИЯ","ПЕРЕДАНО"))))</f>
        <v/>
      </c>
    </row>
    <row r="245">
      <c r="A245" s="6" t="n">
        <v>241</v>
      </c>
      <c r="B245" s="8" t="n"/>
      <c r="C245" s="8" t="n"/>
      <c r="D245" s="8" t="n"/>
      <c r="E245" s="8" t="n"/>
      <c r="F245" s="8" t="n"/>
      <c r="G245" s="7" t="n"/>
      <c r="H245" s="8" t="n"/>
      <c r="I245" s="7" t="n"/>
      <c r="J245" s="8" t="n"/>
      <c r="K245" s="6">
        <f>IF(B245="","",IF(OR(F245="",G245=""),"НЕ ОТПРАВЛЕНО",IF(J245="","НЕТ ДОКАЗАТЕЛЬСТВА",IF(I245="","ОТПРАВЛЕНО, ЖДЁМ ПОЛУЧЕНИЯ","ПЕРЕДАНО"))))</f>
        <v/>
      </c>
    </row>
    <row r="246">
      <c r="A246" s="6" t="n">
        <v>242</v>
      </c>
      <c r="B246" s="8" t="n"/>
      <c r="C246" s="8" t="n"/>
      <c r="D246" s="8" t="n"/>
      <c r="E246" s="8" t="n"/>
      <c r="F246" s="8" t="n"/>
      <c r="G246" s="7" t="n"/>
      <c r="H246" s="8" t="n"/>
      <c r="I246" s="7" t="n"/>
      <c r="J246" s="8" t="n"/>
      <c r="K246" s="6">
        <f>IF(B246="","",IF(OR(F246="",G246=""),"НЕ ОТПРАВЛЕНО",IF(J246="","НЕТ ДОКАЗАТЕЛЬСТВА",IF(I246="","ОТПРАВЛЕНО, ЖДЁМ ПОЛУЧЕНИЯ","ПЕРЕДАНО"))))</f>
        <v/>
      </c>
    </row>
    <row r="247">
      <c r="A247" s="6" t="n">
        <v>243</v>
      </c>
      <c r="B247" s="8" t="n"/>
      <c r="C247" s="8" t="n"/>
      <c r="D247" s="8" t="n"/>
      <c r="E247" s="8" t="n"/>
      <c r="F247" s="8" t="n"/>
      <c r="G247" s="7" t="n"/>
      <c r="H247" s="8" t="n"/>
      <c r="I247" s="7" t="n"/>
      <c r="J247" s="8" t="n"/>
      <c r="K247" s="6">
        <f>IF(B247="","",IF(OR(F247="",G247=""),"НЕ ОТПРАВЛЕНО",IF(J247="","НЕТ ДОКАЗАТЕЛЬСТВА",IF(I247="","ОТПРАВЛЕНО, ЖДЁМ ПОЛУЧЕНИЯ","ПЕРЕДАНО"))))</f>
        <v/>
      </c>
    </row>
    <row r="248">
      <c r="A248" s="6" t="n">
        <v>244</v>
      </c>
      <c r="B248" s="8" t="n"/>
      <c r="C248" s="8" t="n"/>
      <c r="D248" s="8" t="n"/>
      <c r="E248" s="8" t="n"/>
      <c r="F248" s="8" t="n"/>
      <c r="G248" s="7" t="n"/>
      <c r="H248" s="8" t="n"/>
      <c r="I248" s="7" t="n"/>
      <c r="J248" s="8" t="n"/>
      <c r="K248" s="6">
        <f>IF(B248="","",IF(OR(F248="",G248=""),"НЕ ОТПРАВЛЕНО",IF(J248="","НЕТ ДОКАЗАТЕЛЬСТВА",IF(I248="","ОТПРАВЛЕНО, ЖДЁМ ПОЛУЧЕНИЯ","ПЕРЕДАНО"))))</f>
        <v/>
      </c>
    </row>
    <row r="249">
      <c r="A249" s="6" t="n">
        <v>245</v>
      </c>
      <c r="B249" s="8" t="n"/>
      <c r="C249" s="8" t="n"/>
      <c r="D249" s="8" t="n"/>
      <c r="E249" s="8" t="n"/>
      <c r="F249" s="8" t="n"/>
      <c r="G249" s="7" t="n"/>
      <c r="H249" s="8" t="n"/>
      <c r="I249" s="7" t="n"/>
      <c r="J249" s="8" t="n"/>
      <c r="K249" s="6">
        <f>IF(B249="","",IF(OR(F249="",G249=""),"НЕ ОТПРАВЛЕНО",IF(J249="","НЕТ ДОКАЗАТЕЛЬСТВА",IF(I249="","ОТПРАВЛЕНО, ЖДЁМ ПОЛУЧЕНИЯ","ПЕРЕДАНО"))))</f>
        <v/>
      </c>
    </row>
    <row r="250">
      <c r="A250" s="6" t="n">
        <v>246</v>
      </c>
      <c r="B250" s="8" t="n"/>
      <c r="C250" s="8" t="n"/>
      <c r="D250" s="8" t="n"/>
      <c r="E250" s="8" t="n"/>
      <c r="F250" s="8" t="n"/>
      <c r="G250" s="7" t="n"/>
      <c r="H250" s="8" t="n"/>
      <c r="I250" s="7" t="n"/>
      <c r="J250" s="8" t="n"/>
      <c r="K250" s="6">
        <f>IF(B250="","",IF(OR(F250="",G250=""),"НЕ ОТПРАВЛЕНО",IF(J250="","НЕТ ДОКАЗАТЕЛЬСТВА",IF(I250="","ОТПРАВЛЕНО, ЖДЁМ ПОЛУЧЕНИЯ","ПЕРЕДАНО"))))</f>
        <v/>
      </c>
    </row>
    <row r="251">
      <c r="A251" s="6" t="n">
        <v>247</v>
      </c>
      <c r="B251" s="8" t="n"/>
      <c r="C251" s="8" t="n"/>
      <c r="D251" s="8" t="n"/>
      <c r="E251" s="8" t="n"/>
      <c r="F251" s="8" t="n"/>
      <c r="G251" s="7" t="n"/>
      <c r="H251" s="8" t="n"/>
      <c r="I251" s="7" t="n"/>
      <c r="J251" s="8" t="n"/>
      <c r="K251" s="6">
        <f>IF(B251="","",IF(OR(F251="",G251=""),"НЕ ОТПРАВЛЕНО",IF(J251="","НЕТ ДОКАЗАТЕЛЬСТВА",IF(I251="","ОТПРАВЛЕНО, ЖДЁМ ПОЛУЧЕНИЯ","ПЕРЕДАНО"))))</f>
        <v/>
      </c>
    </row>
    <row r="252">
      <c r="A252" s="6" t="n">
        <v>248</v>
      </c>
      <c r="B252" s="8" t="n"/>
      <c r="C252" s="8" t="n"/>
      <c r="D252" s="8" t="n"/>
      <c r="E252" s="8" t="n"/>
      <c r="F252" s="8" t="n"/>
      <c r="G252" s="7" t="n"/>
      <c r="H252" s="8" t="n"/>
      <c r="I252" s="7" t="n"/>
      <c r="J252" s="8" t="n"/>
      <c r="K252" s="6">
        <f>IF(B252="","",IF(OR(F252="",G252=""),"НЕ ОТПРАВЛЕНО",IF(J252="","НЕТ ДОКАЗАТЕЛЬСТВА",IF(I252="","ОТПРАВЛЕНО, ЖДЁМ ПОЛУЧЕНИЯ","ПЕРЕДАНО"))))</f>
        <v/>
      </c>
    </row>
    <row r="253">
      <c r="A253" s="6" t="n">
        <v>249</v>
      </c>
      <c r="B253" s="8" t="n"/>
      <c r="C253" s="8" t="n"/>
      <c r="D253" s="8" t="n"/>
      <c r="E253" s="8" t="n"/>
      <c r="F253" s="8" t="n"/>
      <c r="G253" s="7" t="n"/>
      <c r="H253" s="8" t="n"/>
      <c r="I253" s="7" t="n"/>
      <c r="J253" s="8" t="n"/>
      <c r="K253" s="6">
        <f>IF(B253="","",IF(OR(F253="",G253=""),"НЕ ОТПРАВЛЕНО",IF(J253="","НЕТ ДОКАЗАТЕЛЬСТВА",IF(I253="","ОТПРАВЛЕНО, ЖДЁМ ПОЛУЧЕНИЯ","ПЕРЕДАНО"))))</f>
        <v/>
      </c>
    </row>
    <row r="254">
      <c r="A254" s="6" t="n">
        <v>250</v>
      </c>
      <c r="B254" s="8" t="n"/>
      <c r="C254" s="8" t="n"/>
      <c r="D254" s="8" t="n"/>
      <c r="E254" s="8" t="n"/>
      <c r="F254" s="8" t="n"/>
      <c r="G254" s="7" t="n"/>
      <c r="H254" s="8" t="n"/>
      <c r="I254" s="7" t="n"/>
      <c r="J254" s="8" t="n"/>
      <c r="K254" s="6">
        <f>IF(B254="","",IF(OR(F254="",G254=""),"НЕ ОТПРАВЛЕНО",IF(J254="","НЕТ ДОКАЗАТЕЛЬСТВА",IF(I254="","ОТПРАВЛЕНО, ЖДЁМ ПОЛУЧЕНИЯ","ПЕРЕДАНО"))))</f>
        <v/>
      </c>
    </row>
    <row r="255">
      <c r="A255" s="6" t="n">
        <v>251</v>
      </c>
      <c r="B255" s="8" t="n"/>
      <c r="C255" s="8" t="n"/>
      <c r="D255" s="8" t="n"/>
      <c r="E255" s="8" t="n"/>
      <c r="F255" s="8" t="n"/>
      <c r="G255" s="7" t="n"/>
      <c r="H255" s="8" t="n"/>
      <c r="I255" s="7" t="n"/>
      <c r="J255" s="8" t="n"/>
      <c r="K255" s="6">
        <f>IF(B255="","",IF(OR(F255="",G255=""),"НЕ ОТПРАВЛЕНО",IF(J255="","НЕТ ДОКАЗАТЕЛЬСТВА",IF(I255="","ОТПРАВЛЕНО, ЖДЁМ ПОЛУЧЕНИЯ","ПЕРЕДАНО"))))</f>
        <v/>
      </c>
    </row>
    <row r="256">
      <c r="A256" s="6" t="n">
        <v>252</v>
      </c>
      <c r="B256" s="8" t="n"/>
      <c r="C256" s="8" t="n"/>
      <c r="D256" s="8" t="n"/>
      <c r="E256" s="8" t="n"/>
      <c r="F256" s="8" t="n"/>
      <c r="G256" s="7" t="n"/>
      <c r="H256" s="8" t="n"/>
      <c r="I256" s="7" t="n"/>
      <c r="J256" s="8" t="n"/>
      <c r="K256" s="6">
        <f>IF(B256="","",IF(OR(F256="",G256=""),"НЕ ОТПРАВЛЕНО",IF(J256="","НЕТ ДОКАЗАТЕЛЬСТВА",IF(I256="","ОТПРАВЛЕНО, ЖДЁМ ПОЛУЧЕНИЯ","ПЕРЕДАНО"))))</f>
        <v/>
      </c>
    </row>
    <row r="257">
      <c r="A257" s="6" t="n">
        <v>253</v>
      </c>
      <c r="B257" s="8" t="n"/>
      <c r="C257" s="8" t="n"/>
      <c r="D257" s="8" t="n"/>
      <c r="E257" s="8" t="n"/>
      <c r="F257" s="8" t="n"/>
      <c r="G257" s="7" t="n"/>
      <c r="H257" s="8" t="n"/>
      <c r="I257" s="7" t="n"/>
      <c r="J257" s="8" t="n"/>
      <c r="K257" s="6">
        <f>IF(B257="","",IF(OR(F257="",G257=""),"НЕ ОТПРАВЛЕНО",IF(J257="","НЕТ ДОКАЗАТЕЛЬСТВА",IF(I257="","ОТПРАВЛЕНО, ЖДЁМ ПОЛУЧЕНИЯ","ПЕРЕДАНО"))))</f>
        <v/>
      </c>
    </row>
    <row r="258">
      <c r="A258" s="6" t="n">
        <v>254</v>
      </c>
      <c r="B258" s="8" t="n"/>
      <c r="C258" s="8" t="n"/>
      <c r="D258" s="8" t="n"/>
      <c r="E258" s="8" t="n"/>
      <c r="F258" s="8" t="n"/>
      <c r="G258" s="7" t="n"/>
      <c r="H258" s="8" t="n"/>
      <c r="I258" s="7" t="n"/>
      <c r="J258" s="8" t="n"/>
      <c r="K258" s="6">
        <f>IF(B258="","",IF(OR(F258="",G258=""),"НЕ ОТПРАВЛЕНО",IF(J258="","НЕТ ДОКАЗАТЕЛЬСТВА",IF(I258="","ОТПРАВЛЕНО, ЖДЁМ ПОЛУЧЕНИЯ","ПЕРЕДАНО"))))</f>
        <v/>
      </c>
    </row>
    <row r="259">
      <c r="A259" s="6" t="n">
        <v>255</v>
      </c>
      <c r="B259" s="8" t="n"/>
      <c r="C259" s="8" t="n"/>
      <c r="D259" s="8" t="n"/>
      <c r="E259" s="8" t="n"/>
      <c r="F259" s="8" t="n"/>
      <c r="G259" s="7" t="n"/>
      <c r="H259" s="8" t="n"/>
      <c r="I259" s="7" t="n"/>
      <c r="J259" s="8" t="n"/>
      <c r="K259" s="6">
        <f>IF(B259="","",IF(OR(F259="",G259=""),"НЕ ОТПРАВЛЕНО",IF(J259="","НЕТ ДОКАЗАТЕЛЬСТВА",IF(I259="","ОТПРАВЛЕНО, ЖДЁМ ПОЛУЧЕНИЯ","ПЕРЕДАНО"))))</f>
        <v/>
      </c>
    </row>
    <row r="260">
      <c r="A260" s="6" t="n">
        <v>256</v>
      </c>
      <c r="B260" s="8" t="n"/>
      <c r="C260" s="8" t="n"/>
      <c r="D260" s="8" t="n"/>
      <c r="E260" s="8" t="n"/>
      <c r="F260" s="8" t="n"/>
      <c r="G260" s="7" t="n"/>
      <c r="H260" s="8" t="n"/>
      <c r="I260" s="7" t="n"/>
      <c r="J260" s="8" t="n"/>
      <c r="K260" s="6">
        <f>IF(B260="","",IF(OR(F260="",G260=""),"НЕ ОТПРАВЛЕНО",IF(J260="","НЕТ ДОКАЗАТЕЛЬСТВА",IF(I260="","ОТПРАВЛЕНО, ЖДЁМ ПОЛУЧЕНИЯ","ПЕРЕДАНО"))))</f>
        <v/>
      </c>
    </row>
    <row r="261">
      <c r="A261" s="6" t="n">
        <v>257</v>
      </c>
      <c r="B261" s="8" t="n"/>
      <c r="C261" s="8" t="n"/>
      <c r="D261" s="8" t="n"/>
      <c r="E261" s="8" t="n"/>
      <c r="F261" s="8" t="n"/>
      <c r="G261" s="7" t="n"/>
      <c r="H261" s="8" t="n"/>
      <c r="I261" s="7" t="n"/>
      <c r="J261" s="8" t="n"/>
      <c r="K261" s="6">
        <f>IF(B261="","",IF(OR(F261="",G261=""),"НЕ ОТПРАВЛЕНО",IF(J261="","НЕТ ДОКАЗАТЕЛЬСТВА",IF(I261="","ОТПРАВЛЕНО, ЖДЁМ ПОЛУЧЕНИЯ","ПЕРЕДАНО"))))</f>
        <v/>
      </c>
    </row>
    <row r="262">
      <c r="A262" s="6" t="n">
        <v>258</v>
      </c>
      <c r="B262" s="8" t="n"/>
      <c r="C262" s="8" t="n"/>
      <c r="D262" s="8" t="n"/>
      <c r="E262" s="8" t="n"/>
      <c r="F262" s="8" t="n"/>
      <c r="G262" s="7" t="n"/>
      <c r="H262" s="8" t="n"/>
      <c r="I262" s="7" t="n"/>
      <c r="J262" s="8" t="n"/>
      <c r="K262" s="6">
        <f>IF(B262="","",IF(OR(F262="",G262=""),"НЕ ОТПРАВЛЕНО",IF(J262="","НЕТ ДОКАЗАТЕЛЬСТВА",IF(I262="","ОТПРАВЛЕНО, ЖДЁМ ПОЛУЧЕНИЯ","ПЕРЕДАНО"))))</f>
        <v/>
      </c>
    </row>
    <row r="263">
      <c r="A263" s="6" t="n">
        <v>259</v>
      </c>
      <c r="B263" s="8" t="n"/>
      <c r="C263" s="8" t="n"/>
      <c r="D263" s="8" t="n"/>
      <c r="E263" s="8" t="n"/>
      <c r="F263" s="8" t="n"/>
      <c r="G263" s="7" t="n"/>
      <c r="H263" s="8" t="n"/>
      <c r="I263" s="7" t="n"/>
      <c r="J263" s="8" t="n"/>
      <c r="K263" s="6">
        <f>IF(B263="","",IF(OR(F263="",G263=""),"НЕ ОТПРАВЛЕНО",IF(J263="","НЕТ ДОКАЗАТЕЛЬСТВА",IF(I263="","ОТПРАВЛЕНО, ЖДЁМ ПОЛУЧЕНИЯ","ПЕРЕДАНО"))))</f>
        <v/>
      </c>
    </row>
    <row r="264">
      <c r="A264" s="6" t="n">
        <v>260</v>
      </c>
      <c r="B264" s="8" t="n"/>
      <c r="C264" s="8" t="n"/>
      <c r="D264" s="8" t="n"/>
      <c r="E264" s="8" t="n"/>
      <c r="F264" s="8" t="n"/>
      <c r="G264" s="7" t="n"/>
      <c r="H264" s="8" t="n"/>
      <c r="I264" s="7" t="n"/>
      <c r="J264" s="8" t="n"/>
      <c r="K264" s="6">
        <f>IF(B264="","",IF(OR(F264="",G264=""),"НЕ ОТПРАВЛЕНО",IF(J264="","НЕТ ДОКАЗАТЕЛЬСТВА",IF(I264="","ОТПРАВЛЕНО, ЖДЁМ ПОЛУЧЕНИЯ","ПЕРЕДАНО"))))</f>
        <v/>
      </c>
    </row>
    <row r="265">
      <c r="A265" s="6" t="n">
        <v>261</v>
      </c>
      <c r="B265" s="8" t="n"/>
      <c r="C265" s="8" t="n"/>
      <c r="D265" s="8" t="n"/>
      <c r="E265" s="8" t="n"/>
      <c r="F265" s="8" t="n"/>
      <c r="G265" s="7" t="n"/>
      <c r="H265" s="8" t="n"/>
      <c r="I265" s="7" t="n"/>
      <c r="J265" s="8" t="n"/>
      <c r="K265" s="6">
        <f>IF(B265="","",IF(OR(F265="",G265=""),"НЕ ОТПРАВЛЕНО",IF(J265="","НЕТ ДОКАЗАТЕЛЬСТВА",IF(I265="","ОТПРАВЛЕНО, ЖДЁМ ПОЛУЧЕНИЯ","ПЕРЕДАНО"))))</f>
        <v/>
      </c>
    </row>
    <row r="266">
      <c r="A266" s="6" t="n">
        <v>262</v>
      </c>
      <c r="B266" s="8" t="n"/>
      <c r="C266" s="8" t="n"/>
      <c r="D266" s="8" t="n"/>
      <c r="E266" s="8" t="n"/>
      <c r="F266" s="8" t="n"/>
      <c r="G266" s="7" t="n"/>
      <c r="H266" s="8" t="n"/>
      <c r="I266" s="7" t="n"/>
      <c r="J266" s="8" t="n"/>
      <c r="K266" s="6">
        <f>IF(B266="","",IF(OR(F266="",G266=""),"НЕ ОТПРАВЛЕНО",IF(J266="","НЕТ ДОКАЗАТЕЛЬСТВА",IF(I266="","ОТПРАВЛЕНО, ЖДЁМ ПОЛУЧЕНИЯ","ПЕРЕДАНО"))))</f>
        <v/>
      </c>
    </row>
    <row r="267">
      <c r="A267" s="6" t="n">
        <v>263</v>
      </c>
      <c r="B267" s="8" t="n"/>
      <c r="C267" s="8" t="n"/>
      <c r="D267" s="8" t="n"/>
      <c r="E267" s="8" t="n"/>
      <c r="F267" s="8" t="n"/>
      <c r="G267" s="7" t="n"/>
      <c r="H267" s="8" t="n"/>
      <c r="I267" s="7" t="n"/>
      <c r="J267" s="8" t="n"/>
      <c r="K267" s="6">
        <f>IF(B267="","",IF(OR(F267="",G267=""),"НЕ ОТПРАВЛЕНО",IF(J267="","НЕТ ДОКАЗАТЕЛЬСТВА",IF(I267="","ОТПРАВЛЕНО, ЖДЁМ ПОЛУЧЕНИЯ","ПЕРЕДАНО"))))</f>
        <v/>
      </c>
    </row>
    <row r="268">
      <c r="A268" s="6" t="n">
        <v>264</v>
      </c>
      <c r="B268" s="8" t="n"/>
      <c r="C268" s="8" t="n"/>
      <c r="D268" s="8" t="n"/>
      <c r="E268" s="8" t="n"/>
      <c r="F268" s="8" t="n"/>
      <c r="G268" s="7" t="n"/>
      <c r="H268" s="8" t="n"/>
      <c r="I268" s="7" t="n"/>
      <c r="J268" s="8" t="n"/>
      <c r="K268" s="6">
        <f>IF(B268="","",IF(OR(F268="",G268=""),"НЕ ОТПРАВЛЕНО",IF(J268="","НЕТ ДОКАЗАТЕЛЬСТВА",IF(I268="","ОТПРАВЛЕНО, ЖДЁМ ПОЛУЧЕНИЯ","ПЕРЕДАНО"))))</f>
        <v/>
      </c>
    </row>
    <row r="269">
      <c r="A269" s="6" t="n">
        <v>265</v>
      </c>
      <c r="B269" s="8" t="n"/>
      <c r="C269" s="8" t="n"/>
      <c r="D269" s="8" t="n"/>
      <c r="E269" s="8" t="n"/>
      <c r="F269" s="8" t="n"/>
      <c r="G269" s="7" t="n"/>
      <c r="H269" s="8" t="n"/>
      <c r="I269" s="7" t="n"/>
      <c r="J269" s="8" t="n"/>
      <c r="K269" s="6">
        <f>IF(B269="","",IF(OR(F269="",G269=""),"НЕ ОТПРАВЛЕНО",IF(J269="","НЕТ ДОКАЗАТЕЛЬСТВА",IF(I269="","ОТПРАВЛЕНО, ЖДЁМ ПОЛУЧЕНИЯ","ПЕРЕДАНО"))))</f>
        <v/>
      </c>
    </row>
    <row r="270">
      <c r="A270" s="6" t="n">
        <v>266</v>
      </c>
      <c r="B270" s="8" t="n"/>
      <c r="C270" s="8" t="n"/>
      <c r="D270" s="8" t="n"/>
      <c r="E270" s="8" t="n"/>
      <c r="F270" s="8" t="n"/>
      <c r="G270" s="7" t="n"/>
      <c r="H270" s="8" t="n"/>
      <c r="I270" s="7" t="n"/>
      <c r="J270" s="8" t="n"/>
      <c r="K270" s="6">
        <f>IF(B270="","",IF(OR(F270="",G270=""),"НЕ ОТПРАВЛЕНО",IF(J270="","НЕТ ДОКАЗАТЕЛЬСТВА",IF(I270="","ОТПРАВЛЕНО, ЖДЁМ ПОЛУЧЕНИЯ","ПЕРЕДАНО"))))</f>
        <v/>
      </c>
    </row>
    <row r="271">
      <c r="A271" s="6" t="n">
        <v>267</v>
      </c>
      <c r="B271" s="8" t="n"/>
      <c r="C271" s="8" t="n"/>
      <c r="D271" s="8" t="n"/>
      <c r="E271" s="8" t="n"/>
      <c r="F271" s="8" t="n"/>
      <c r="G271" s="7" t="n"/>
      <c r="H271" s="8" t="n"/>
      <c r="I271" s="7" t="n"/>
      <c r="J271" s="8" t="n"/>
      <c r="K271" s="6">
        <f>IF(B271="","",IF(OR(F271="",G271=""),"НЕ ОТПРАВЛЕНО",IF(J271="","НЕТ ДОКАЗАТЕЛЬСТВА",IF(I271="","ОТПРАВЛЕНО, ЖДЁМ ПОЛУЧЕНИЯ","ПЕРЕДАНО"))))</f>
        <v/>
      </c>
    </row>
    <row r="272">
      <c r="A272" s="6" t="n">
        <v>268</v>
      </c>
      <c r="B272" s="8" t="n"/>
      <c r="C272" s="8" t="n"/>
      <c r="D272" s="8" t="n"/>
      <c r="E272" s="8" t="n"/>
      <c r="F272" s="8" t="n"/>
      <c r="G272" s="7" t="n"/>
      <c r="H272" s="8" t="n"/>
      <c r="I272" s="7" t="n"/>
      <c r="J272" s="8" t="n"/>
      <c r="K272" s="6">
        <f>IF(B272="","",IF(OR(F272="",G272=""),"НЕ ОТПРАВЛЕНО",IF(J272="","НЕТ ДОКАЗАТЕЛЬСТВА",IF(I272="","ОТПРАВЛЕНО, ЖДЁМ ПОЛУЧЕНИЯ","ПЕРЕДАНО"))))</f>
        <v/>
      </c>
    </row>
    <row r="273">
      <c r="A273" s="6" t="n">
        <v>269</v>
      </c>
      <c r="B273" s="8" t="n"/>
      <c r="C273" s="8" t="n"/>
      <c r="D273" s="8" t="n"/>
      <c r="E273" s="8" t="n"/>
      <c r="F273" s="8" t="n"/>
      <c r="G273" s="7" t="n"/>
      <c r="H273" s="8" t="n"/>
      <c r="I273" s="7" t="n"/>
      <c r="J273" s="8" t="n"/>
      <c r="K273" s="6">
        <f>IF(B273="","",IF(OR(F273="",G273=""),"НЕ ОТПРАВЛЕНО",IF(J273="","НЕТ ДОКАЗАТЕЛЬСТВА",IF(I273="","ОТПРАВЛЕНО, ЖДЁМ ПОЛУЧЕНИЯ","ПЕРЕДАНО"))))</f>
        <v/>
      </c>
    </row>
    <row r="274">
      <c r="A274" s="6" t="n">
        <v>270</v>
      </c>
      <c r="B274" s="8" t="n"/>
      <c r="C274" s="8" t="n"/>
      <c r="D274" s="8" t="n"/>
      <c r="E274" s="8" t="n"/>
      <c r="F274" s="8" t="n"/>
      <c r="G274" s="7" t="n"/>
      <c r="H274" s="8" t="n"/>
      <c r="I274" s="7" t="n"/>
      <c r="J274" s="8" t="n"/>
      <c r="K274" s="6">
        <f>IF(B274="","",IF(OR(F274="",G274=""),"НЕ ОТПРАВЛЕНО",IF(J274="","НЕТ ДОКАЗАТЕЛЬСТВА",IF(I274="","ОТПРАВЛЕНО, ЖДЁМ ПОЛУЧЕНИЯ","ПЕРЕДАНО"))))</f>
        <v/>
      </c>
    </row>
    <row r="275">
      <c r="A275" s="6" t="n">
        <v>271</v>
      </c>
      <c r="B275" s="8" t="n"/>
      <c r="C275" s="8" t="n"/>
      <c r="D275" s="8" t="n"/>
      <c r="E275" s="8" t="n"/>
      <c r="F275" s="8" t="n"/>
      <c r="G275" s="7" t="n"/>
      <c r="H275" s="8" t="n"/>
      <c r="I275" s="7" t="n"/>
      <c r="J275" s="8" t="n"/>
      <c r="K275" s="6">
        <f>IF(B275="","",IF(OR(F275="",G275=""),"НЕ ОТПРАВЛЕНО",IF(J275="","НЕТ ДОКАЗАТЕЛЬСТВА",IF(I275="","ОТПРАВЛЕНО, ЖДЁМ ПОЛУЧЕНИЯ","ПЕРЕДАНО"))))</f>
        <v/>
      </c>
    </row>
    <row r="276">
      <c r="A276" s="6" t="n">
        <v>272</v>
      </c>
      <c r="B276" s="8" t="n"/>
      <c r="C276" s="8" t="n"/>
      <c r="D276" s="8" t="n"/>
      <c r="E276" s="8" t="n"/>
      <c r="F276" s="8" t="n"/>
      <c r="G276" s="7" t="n"/>
      <c r="H276" s="8" t="n"/>
      <c r="I276" s="7" t="n"/>
      <c r="J276" s="8" t="n"/>
      <c r="K276" s="6">
        <f>IF(B276="","",IF(OR(F276="",G276=""),"НЕ ОТПРАВЛЕНО",IF(J276="","НЕТ ДОКАЗАТЕЛЬСТВА",IF(I276="","ОТПРАВЛЕНО, ЖДЁМ ПОЛУЧЕНИЯ","ПЕРЕДАНО"))))</f>
        <v/>
      </c>
    </row>
    <row r="277">
      <c r="A277" s="6" t="n">
        <v>273</v>
      </c>
      <c r="B277" s="8" t="n"/>
      <c r="C277" s="8" t="n"/>
      <c r="D277" s="8" t="n"/>
      <c r="E277" s="8" t="n"/>
      <c r="F277" s="8" t="n"/>
      <c r="G277" s="7" t="n"/>
      <c r="H277" s="8" t="n"/>
      <c r="I277" s="7" t="n"/>
      <c r="J277" s="8" t="n"/>
      <c r="K277" s="6">
        <f>IF(B277="","",IF(OR(F277="",G277=""),"НЕ ОТПРАВЛЕНО",IF(J277="","НЕТ ДОКАЗАТЕЛЬСТВА",IF(I277="","ОТПРАВЛЕНО, ЖДЁМ ПОЛУЧЕНИЯ","ПЕРЕДАНО"))))</f>
        <v/>
      </c>
    </row>
    <row r="278">
      <c r="A278" s="6" t="n">
        <v>274</v>
      </c>
      <c r="B278" s="8" t="n"/>
      <c r="C278" s="8" t="n"/>
      <c r="D278" s="8" t="n"/>
      <c r="E278" s="8" t="n"/>
      <c r="F278" s="8" t="n"/>
      <c r="G278" s="7" t="n"/>
      <c r="H278" s="8" t="n"/>
      <c r="I278" s="7" t="n"/>
      <c r="J278" s="8" t="n"/>
      <c r="K278" s="6">
        <f>IF(B278="","",IF(OR(F278="",G278=""),"НЕ ОТПРАВЛЕНО",IF(J278="","НЕТ ДОКАЗАТЕЛЬСТВА",IF(I278="","ОТПРАВЛЕНО, ЖДЁМ ПОЛУЧЕНИЯ","ПЕРЕДАНО"))))</f>
        <v/>
      </c>
    </row>
    <row r="279">
      <c r="A279" s="6" t="n">
        <v>275</v>
      </c>
      <c r="B279" s="8" t="n"/>
      <c r="C279" s="8" t="n"/>
      <c r="D279" s="8" t="n"/>
      <c r="E279" s="8" t="n"/>
      <c r="F279" s="8" t="n"/>
      <c r="G279" s="7" t="n"/>
      <c r="H279" s="8" t="n"/>
      <c r="I279" s="7" t="n"/>
      <c r="J279" s="8" t="n"/>
      <c r="K279" s="6">
        <f>IF(B279="","",IF(OR(F279="",G279=""),"НЕ ОТПРАВЛЕНО",IF(J279="","НЕТ ДОКАЗАТЕЛЬСТВА",IF(I279="","ОТПРАВЛЕНО, ЖДЁМ ПОЛУЧЕНИЯ","ПЕРЕДАНО"))))</f>
        <v/>
      </c>
    </row>
    <row r="280">
      <c r="A280" s="6" t="n">
        <v>276</v>
      </c>
      <c r="B280" s="8" t="n"/>
      <c r="C280" s="8" t="n"/>
      <c r="D280" s="8" t="n"/>
      <c r="E280" s="8" t="n"/>
      <c r="F280" s="8" t="n"/>
      <c r="G280" s="7" t="n"/>
      <c r="H280" s="8" t="n"/>
      <c r="I280" s="7" t="n"/>
      <c r="J280" s="8" t="n"/>
      <c r="K280" s="6">
        <f>IF(B280="","",IF(OR(F280="",G280=""),"НЕ ОТПРАВЛЕНО",IF(J280="","НЕТ ДОКАЗАТЕЛЬСТВА",IF(I280="","ОТПРАВЛЕНО, ЖДЁМ ПОЛУЧЕНИЯ","ПЕРЕДАНО"))))</f>
        <v/>
      </c>
    </row>
    <row r="281">
      <c r="A281" s="6" t="n">
        <v>277</v>
      </c>
      <c r="B281" s="8" t="n"/>
      <c r="C281" s="8" t="n"/>
      <c r="D281" s="8" t="n"/>
      <c r="E281" s="8" t="n"/>
      <c r="F281" s="8" t="n"/>
      <c r="G281" s="7" t="n"/>
      <c r="H281" s="8" t="n"/>
      <c r="I281" s="7" t="n"/>
      <c r="J281" s="8" t="n"/>
      <c r="K281" s="6">
        <f>IF(B281="","",IF(OR(F281="",G281=""),"НЕ ОТПРАВЛЕНО",IF(J281="","НЕТ ДОКАЗАТЕЛЬСТВА",IF(I281="","ОТПРАВЛЕНО, ЖДЁМ ПОЛУЧЕНИЯ","ПЕРЕДАНО"))))</f>
        <v/>
      </c>
    </row>
    <row r="282">
      <c r="A282" s="6" t="n">
        <v>278</v>
      </c>
      <c r="B282" s="8" t="n"/>
      <c r="C282" s="8" t="n"/>
      <c r="D282" s="8" t="n"/>
      <c r="E282" s="8" t="n"/>
      <c r="F282" s="8" t="n"/>
      <c r="G282" s="7" t="n"/>
      <c r="H282" s="8" t="n"/>
      <c r="I282" s="7" t="n"/>
      <c r="J282" s="8" t="n"/>
      <c r="K282" s="6">
        <f>IF(B282="","",IF(OR(F282="",G282=""),"НЕ ОТПРАВЛЕНО",IF(J282="","НЕТ ДОКАЗАТЕЛЬСТВА",IF(I282="","ОТПРАВЛЕНО, ЖДЁМ ПОЛУЧЕНИЯ","ПЕРЕДАНО"))))</f>
        <v/>
      </c>
    </row>
    <row r="283">
      <c r="A283" s="6" t="n">
        <v>279</v>
      </c>
      <c r="B283" s="8" t="n"/>
      <c r="C283" s="8" t="n"/>
      <c r="D283" s="8" t="n"/>
      <c r="E283" s="8" t="n"/>
      <c r="F283" s="8" t="n"/>
      <c r="G283" s="7" t="n"/>
      <c r="H283" s="8" t="n"/>
      <c r="I283" s="7" t="n"/>
      <c r="J283" s="8" t="n"/>
      <c r="K283" s="6">
        <f>IF(B283="","",IF(OR(F283="",G283=""),"НЕ ОТПРАВЛЕНО",IF(J283="","НЕТ ДОКАЗАТЕЛЬСТВА",IF(I283="","ОТПРАВЛЕНО, ЖДЁМ ПОЛУЧЕНИЯ","ПЕРЕДАНО"))))</f>
        <v/>
      </c>
    </row>
    <row r="284">
      <c r="A284" s="6" t="n">
        <v>280</v>
      </c>
      <c r="B284" s="8" t="n"/>
      <c r="C284" s="8" t="n"/>
      <c r="D284" s="8" t="n"/>
      <c r="E284" s="8" t="n"/>
      <c r="F284" s="8" t="n"/>
      <c r="G284" s="7" t="n"/>
      <c r="H284" s="8" t="n"/>
      <c r="I284" s="7" t="n"/>
      <c r="J284" s="8" t="n"/>
      <c r="K284" s="6">
        <f>IF(B284="","",IF(OR(F284="",G284=""),"НЕ ОТПРАВЛЕНО",IF(J284="","НЕТ ДОКАЗАТЕЛЬСТВА",IF(I284="","ОТПРАВЛЕНО, ЖДЁМ ПОЛУЧЕНИЯ","ПЕРЕДАНО"))))</f>
        <v/>
      </c>
    </row>
    <row r="285">
      <c r="A285" s="6" t="n">
        <v>281</v>
      </c>
      <c r="B285" s="8" t="n"/>
      <c r="C285" s="8" t="n"/>
      <c r="D285" s="8" t="n"/>
      <c r="E285" s="8" t="n"/>
      <c r="F285" s="8" t="n"/>
      <c r="G285" s="7" t="n"/>
      <c r="H285" s="8" t="n"/>
      <c r="I285" s="7" t="n"/>
      <c r="J285" s="8" t="n"/>
      <c r="K285" s="6">
        <f>IF(B285="","",IF(OR(F285="",G285=""),"НЕ ОТПРАВЛЕНО",IF(J285="","НЕТ ДОКАЗАТЕЛЬСТВА",IF(I285="","ОТПРАВЛЕНО, ЖДЁМ ПОЛУЧЕНИЯ","ПЕРЕДАНО"))))</f>
        <v/>
      </c>
    </row>
    <row r="286">
      <c r="A286" s="6" t="n">
        <v>282</v>
      </c>
      <c r="B286" s="8" t="n"/>
      <c r="C286" s="8" t="n"/>
      <c r="D286" s="8" t="n"/>
      <c r="E286" s="8" t="n"/>
      <c r="F286" s="8" t="n"/>
      <c r="G286" s="7" t="n"/>
      <c r="H286" s="8" t="n"/>
      <c r="I286" s="7" t="n"/>
      <c r="J286" s="8" t="n"/>
      <c r="K286" s="6">
        <f>IF(B286="","",IF(OR(F286="",G286=""),"НЕ ОТПРАВЛЕНО",IF(J286="","НЕТ ДОКАЗАТЕЛЬСТВА",IF(I286="","ОТПРАВЛЕНО, ЖДЁМ ПОЛУЧЕНИЯ","ПЕРЕДАНО"))))</f>
        <v/>
      </c>
    </row>
    <row r="287">
      <c r="A287" s="6" t="n">
        <v>283</v>
      </c>
      <c r="B287" s="8" t="n"/>
      <c r="C287" s="8" t="n"/>
      <c r="D287" s="8" t="n"/>
      <c r="E287" s="8" t="n"/>
      <c r="F287" s="8" t="n"/>
      <c r="G287" s="7" t="n"/>
      <c r="H287" s="8" t="n"/>
      <c r="I287" s="7" t="n"/>
      <c r="J287" s="8" t="n"/>
      <c r="K287" s="6">
        <f>IF(B287="","",IF(OR(F287="",G287=""),"НЕ ОТПРАВЛЕНО",IF(J287="","НЕТ ДОКАЗАТЕЛЬСТВА",IF(I287="","ОТПРАВЛЕНО, ЖДЁМ ПОЛУЧЕНИЯ","ПЕРЕДАНО"))))</f>
        <v/>
      </c>
    </row>
    <row r="288">
      <c r="A288" s="6" t="n">
        <v>284</v>
      </c>
      <c r="B288" s="8" t="n"/>
      <c r="C288" s="8" t="n"/>
      <c r="D288" s="8" t="n"/>
      <c r="E288" s="8" t="n"/>
      <c r="F288" s="8" t="n"/>
      <c r="G288" s="7" t="n"/>
      <c r="H288" s="8" t="n"/>
      <c r="I288" s="7" t="n"/>
      <c r="J288" s="8" t="n"/>
      <c r="K288" s="6">
        <f>IF(B288="","",IF(OR(F288="",G288=""),"НЕ ОТПРАВЛЕНО",IF(J288="","НЕТ ДОКАЗАТЕЛЬСТВА",IF(I288="","ОТПРАВЛЕНО, ЖДЁМ ПОЛУЧЕНИЯ","ПЕРЕДАНО"))))</f>
        <v/>
      </c>
    </row>
    <row r="289">
      <c r="A289" s="6" t="n">
        <v>285</v>
      </c>
      <c r="B289" s="8" t="n"/>
      <c r="C289" s="8" t="n"/>
      <c r="D289" s="8" t="n"/>
      <c r="E289" s="8" t="n"/>
      <c r="F289" s="8" t="n"/>
      <c r="G289" s="7" t="n"/>
      <c r="H289" s="8" t="n"/>
      <c r="I289" s="7" t="n"/>
      <c r="J289" s="8" t="n"/>
      <c r="K289" s="6">
        <f>IF(B289="","",IF(OR(F289="",G289=""),"НЕ ОТПРАВЛЕНО",IF(J289="","НЕТ ДОКАЗАТЕЛЬСТВА",IF(I289="","ОТПРАВЛЕНО, ЖДЁМ ПОЛУЧЕНИЯ","ПЕРЕДАНО"))))</f>
        <v/>
      </c>
    </row>
    <row r="290">
      <c r="A290" s="6" t="n">
        <v>286</v>
      </c>
      <c r="B290" s="8" t="n"/>
      <c r="C290" s="8" t="n"/>
      <c r="D290" s="8" t="n"/>
      <c r="E290" s="8" t="n"/>
      <c r="F290" s="8" t="n"/>
      <c r="G290" s="7" t="n"/>
      <c r="H290" s="8" t="n"/>
      <c r="I290" s="7" t="n"/>
      <c r="J290" s="8" t="n"/>
      <c r="K290" s="6">
        <f>IF(B290="","",IF(OR(F290="",G290=""),"НЕ ОТПРАВЛЕНО",IF(J290="","НЕТ ДОКАЗАТЕЛЬСТВА",IF(I290="","ОТПРАВЛЕНО, ЖДЁМ ПОЛУЧЕНИЯ","ПЕРЕДАНО"))))</f>
        <v/>
      </c>
    </row>
    <row r="291">
      <c r="A291" s="6" t="n">
        <v>287</v>
      </c>
      <c r="B291" s="8" t="n"/>
      <c r="C291" s="8" t="n"/>
      <c r="D291" s="8" t="n"/>
      <c r="E291" s="8" t="n"/>
      <c r="F291" s="8" t="n"/>
      <c r="G291" s="7" t="n"/>
      <c r="H291" s="8" t="n"/>
      <c r="I291" s="7" t="n"/>
      <c r="J291" s="8" t="n"/>
      <c r="K291" s="6">
        <f>IF(B291="","",IF(OR(F291="",G291=""),"НЕ ОТПРАВЛЕНО",IF(J291="","НЕТ ДОКАЗАТЕЛЬСТВА",IF(I291="","ОТПРАВЛЕНО, ЖДЁМ ПОЛУЧЕНИЯ","ПЕРЕДАНО"))))</f>
        <v/>
      </c>
    </row>
    <row r="292">
      <c r="A292" s="6" t="n">
        <v>288</v>
      </c>
      <c r="B292" s="8" t="n"/>
      <c r="C292" s="8" t="n"/>
      <c r="D292" s="8" t="n"/>
      <c r="E292" s="8" t="n"/>
      <c r="F292" s="8" t="n"/>
      <c r="G292" s="7" t="n"/>
      <c r="H292" s="8" t="n"/>
      <c r="I292" s="7" t="n"/>
      <c r="J292" s="8" t="n"/>
      <c r="K292" s="6">
        <f>IF(B292="","",IF(OR(F292="",G292=""),"НЕ ОТПРАВЛЕНО",IF(J292="","НЕТ ДОКАЗАТЕЛЬСТВА",IF(I292="","ОТПРАВЛЕНО, ЖДЁМ ПОЛУЧЕНИЯ","ПЕРЕДАНО"))))</f>
        <v/>
      </c>
    </row>
    <row r="293">
      <c r="A293" s="6" t="n">
        <v>289</v>
      </c>
      <c r="B293" s="8" t="n"/>
      <c r="C293" s="8" t="n"/>
      <c r="D293" s="8" t="n"/>
      <c r="E293" s="8" t="n"/>
      <c r="F293" s="8" t="n"/>
      <c r="G293" s="7" t="n"/>
      <c r="H293" s="8" t="n"/>
      <c r="I293" s="7" t="n"/>
      <c r="J293" s="8" t="n"/>
      <c r="K293" s="6">
        <f>IF(B293="","",IF(OR(F293="",G293=""),"НЕ ОТПРАВЛЕНО",IF(J293="","НЕТ ДОКАЗАТЕЛЬСТВА",IF(I293="","ОТПРАВЛЕНО, ЖДЁМ ПОЛУЧЕНИЯ","ПЕРЕДАНО"))))</f>
        <v/>
      </c>
    </row>
    <row r="294">
      <c r="A294" s="6" t="n">
        <v>290</v>
      </c>
      <c r="B294" s="8" t="n"/>
      <c r="C294" s="8" t="n"/>
      <c r="D294" s="8" t="n"/>
      <c r="E294" s="8" t="n"/>
      <c r="F294" s="8" t="n"/>
      <c r="G294" s="7" t="n"/>
      <c r="H294" s="8" t="n"/>
      <c r="I294" s="7" t="n"/>
      <c r="J294" s="8" t="n"/>
      <c r="K294" s="6">
        <f>IF(B294="","",IF(OR(F294="",G294=""),"НЕ ОТПРАВЛЕНО",IF(J294="","НЕТ ДОКАЗАТЕЛЬСТВА",IF(I294="","ОТПРАВЛЕНО, ЖДЁМ ПОЛУЧЕНИЯ","ПЕРЕДАНО"))))</f>
        <v/>
      </c>
    </row>
    <row r="295">
      <c r="A295" s="6" t="n">
        <v>291</v>
      </c>
      <c r="B295" s="8" t="n"/>
      <c r="C295" s="8" t="n"/>
      <c r="D295" s="8" t="n"/>
      <c r="E295" s="8" t="n"/>
      <c r="F295" s="8" t="n"/>
      <c r="G295" s="7" t="n"/>
      <c r="H295" s="8" t="n"/>
      <c r="I295" s="7" t="n"/>
      <c r="J295" s="8" t="n"/>
      <c r="K295" s="6">
        <f>IF(B295="","",IF(OR(F295="",G295=""),"НЕ ОТПРАВЛЕНО",IF(J295="","НЕТ ДОКАЗАТЕЛЬСТВА",IF(I295="","ОТПРАВЛЕНО, ЖДЁМ ПОЛУЧЕНИЯ","ПЕРЕДАНО"))))</f>
        <v/>
      </c>
    </row>
    <row r="296">
      <c r="A296" s="6" t="n">
        <v>292</v>
      </c>
      <c r="B296" s="8" t="n"/>
      <c r="C296" s="8" t="n"/>
      <c r="D296" s="8" t="n"/>
      <c r="E296" s="8" t="n"/>
      <c r="F296" s="8" t="n"/>
      <c r="G296" s="7" t="n"/>
      <c r="H296" s="8" t="n"/>
      <c r="I296" s="7" t="n"/>
      <c r="J296" s="8" t="n"/>
      <c r="K296" s="6">
        <f>IF(B296="","",IF(OR(F296="",G296=""),"НЕ ОТПРАВЛЕНО",IF(J296="","НЕТ ДОКАЗАТЕЛЬСТВА",IF(I296="","ОТПРАВЛЕНО, ЖДЁМ ПОЛУЧЕНИЯ","ПЕРЕДАНО"))))</f>
        <v/>
      </c>
    </row>
    <row r="297">
      <c r="A297" s="6" t="n">
        <v>293</v>
      </c>
      <c r="B297" s="8" t="n"/>
      <c r="C297" s="8" t="n"/>
      <c r="D297" s="8" t="n"/>
      <c r="E297" s="8" t="n"/>
      <c r="F297" s="8" t="n"/>
      <c r="G297" s="7" t="n"/>
      <c r="H297" s="8" t="n"/>
      <c r="I297" s="7" t="n"/>
      <c r="J297" s="8" t="n"/>
      <c r="K297" s="6">
        <f>IF(B297="","",IF(OR(F297="",G297=""),"НЕ ОТПРАВЛЕНО",IF(J297="","НЕТ ДОКАЗАТЕЛЬСТВА",IF(I297="","ОТПРАВЛЕНО, ЖДЁМ ПОЛУЧЕНИЯ","ПЕРЕДАНО"))))</f>
        <v/>
      </c>
    </row>
    <row r="298">
      <c r="A298" s="6" t="n">
        <v>294</v>
      </c>
      <c r="B298" s="8" t="n"/>
      <c r="C298" s="8" t="n"/>
      <c r="D298" s="8" t="n"/>
      <c r="E298" s="8" t="n"/>
      <c r="F298" s="8" t="n"/>
      <c r="G298" s="7" t="n"/>
      <c r="H298" s="8" t="n"/>
      <c r="I298" s="7" t="n"/>
      <c r="J298" s="8" t="n"/>
      <c r="K298" s="6">
        <f>IF(B298="","",IF(OR(F298="",G298=""),"НЕ ОТПРАВЛЕНО",IF(J298="","НЕТ ДОКАЗАТЕЛЬСТВА",IF(I298="","ОТПРАВЛЕНО, ЖДЁМ ПОЛУЧЕНИЯ","ПЕРЕДАНО"))))</f>
        <v/>
      </c>
    </row>
    <row r="299">
      <c r="A299" s="6" t="n">
        <v>295</v>
      </c>
      <c r="B299" s="8" t="n"/>
      <c r="C299" s="8" t="n"/>
      <c r="D299" s="8" t="n"/>
      <c r="E299" s="8" t="n"/>
      <c r="F299" s="8" t="n"/>
      <c r="G299" s="7" t="n"/>
      <c r="H299" s="8" t="n"/>
      <c r="I299" s="7" t="n"/>
      <c r="J299" s="8" t="n"/>
      <c r="K299" s="6">
        <f>IF(B299="","",IF(OR(F299="",G299=""),"НЕ ОТПРАВЛЕНО",IF(J299="","НЕТ ДОКАЗАТЕЛЬСТВА",IF(I299="","ОТПРАВЛЕНО, ЖДЁМ ПОЛУЧЕНИЯ","ПЕРЕДАНО"))))</f>
        <v/>
      </c>
    </row>
    <row r="300">
      <c r="A300" s="6" t="n">
        <v>296</v>
      </c>
      <c r="B300" s="8" t="n"/>
      <c r="C300" s="8" t="n"/>
      <c r="D300" s="8" t="n"/>
      <c r="E300" s="8" t="n"/>
      <c r="F300" s="8" t="n"/>
      <c r="G300" s="7" t="n"/>
      <c r="H300" s="8" t="n"/>
      <c r="I300" s="7" t="n"/>
      <c r="J300" s="8" t="n"/>
      <c r="K300" s="6">
        <f>IF(B300="","",IF(OR(F300="",G300=""),"НЕ ОТПРАВЛЕНО",IF(J300="","НЕТ ДОКАЗАТЕЛЬСТВА",IF(I300="","ОТПРАВЛЕНО, ЖДЁМ ПОЛУЧЕНИЯ","ПЕРЕДАНО"))))</f>
        <v/>
      </c>
    </row>
    <row r="301">
      <c r="A301" s="6" t="n">
        <v>297</v>
      </c>
      <c r="B301" s="8" t="n"/>
      <c r="C301" s="8" t="n"/>
      <c r="D301" s="8" t="n"/>
      <c r="E301" s="8" t="n"/>
      <c r="F301" s="8" t="n"/>
      <c r="G301" s="7" t="n"/>
      <c r="H301" s="8" t="n"/>
      <c r="I301" s="7" t="n"/>
      <c r="J301" s="8" t="n"/>
      <c r="K301" s="6">
        <f>IF(B301="","",IF(OR(F301="",G301=""),"НЕ ОТПРАВЛЕНО",IF(J301="","НЕТ ДОКАЗАТЕЛЬСТВА",IF(I301="","ОТПРАВЛЕНО, ЖДЁМ ПОЛУЧЕНИЯ","ПЕРЕДАНО"))))</f>
        <v/>
      </c>
    </row>
    <row r="302">
      <c r="A302" s="6" t="n">
        <v>298</v>
      </c>
      <c r="B302" s="8" t="n"/>
      <c r="C302" s="8" t="n"/>
      <c r="D302" s="8" t="n"/>
      <c r="E302" s="8" t="n"/>
      <c r="F302" s="8" t="n"/>
      <c r="G302" s="7" t="n"/>
      <c r="H302" s="8" t="n"/>
      <c r="I302" s="7" t="n"/>
      <c r="J302" s="8" t="n"/>
      <c r="K302" s="6">
        <f>IF(B302="","",IF(OR(F302="",G302=""),"НЕ ОТПРАВЛЕНО",IF(J302="","НЕТ ДОКАЗАТЕЛЬСТВА",IF(I302="","ОТПРАВЛЕНО, ЖДЁМ ПОЛУЧЕНИЯ","ПЕРЕДАНО"))))</f>
        <v/>
      </c>
    </row>
    <row r="303">
      <c r="A303" s="6" t="n">
        <v>299</v>
      </c>
      <c r="B303" s="8" t="n"/>
      <c r="C303" s="8" t="n"/>
      <c r="D303" s="8" t="n"/>
      <c r="E303" s="8" t="n"/>
      <c r="F303" s="8" t="n"/>
      <c r="G303" s="7" t="n"/>
      <c r="H303" s="8" t="n"/>
      <c r="I303" s="7" t="n"/>
      <c r="J303" s="8" t="n"/>
      <c r="K303" s="6">
        <f>IF(B303="","",IF(OR(F303="",G303=""),"НЕ ОТПРАВЛЕНО",IF(J303="","НЕТ ДОКАЗАТЕЛЬСТВА",IF(I303="","ОТПРАВЛЕНО, ЖДЁМ ПОЛУЧЕНИЯ","ПЕРЕДАНО"))))</f>
        <v/>
      </c>
    </row>
    <row r="304">
      <c r="A304" s="6" t="n">
        <v>300</v>
      </c>
      <c r="B304" s="8" t="n"/>
      <c r="C304" s="8" t="n"/>
      <c r="D304" s="8" t="n"/>
      <c r="E304" s="8" t="n"/>
      <c r="F304" s="8" t="n"/>
      <c r="G304" s="7" t="n"/>
      <c r="H304" s="8" t="n"/>
      <c r="I304" s="7" t="n"/>
      <c r="J304" s="8" t="n"/>
      <c r="K304" s="6">
        <f>IF(B304="","",IF(OR(F304="",G304=""),"НЕ ОТПРАВЛЕНО",IF(J304="","НЕТ ДОКАЗАТЕЛЬСТВА",IF(I304="","ОТПРАВЛЕНО, ЖДЁМ ПОЛУЧЕНИЯ","ПЕРЕДАНО"))))</f>
        <v/>
      </c>
    </row>
    <row r="306">
      <c r="B306" t="inlineStr">
        <is>
          <t>Отправлений без доказательства</t>
        </is>
      </c>
      <c r="K306">
        <f>COUNTIF(K5:K304,"НЕТ ДОКАЗАТЕЛЬСТВА")</f>
        <v/>
      </c>
    </row>
  </sheetData>
  <mergeCells count="2">
    <mergeCell ref="A2:K2"/>
    <mergeCell ref="A1:K1"/>
  </mergeCells>
  <dataValidations count="1">
    <dataValidation sqref="F5:F304" showDropDown="0" showInputMessage="0" showErrorMessage="0" allowBlank="1" errorTitle="Недопустимое значение" error="Выберите значение из списка" type="list">
      <formula1>"Нарочно с отметкой о получении,Почта: ценное письмо с описью и уведомлением,ЭДО,Электронная почта по договору,Курьерская служба с описью"</formula1>
    </dataValidation>
  </dataValidation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56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8" customWidth="1" min="3" max="3"/>
    <col width="8" customWidth="1" min="4" max="4"/>
    <col width="14" customWidth="1" min="5" max="5"/>
    <col width="12" customWidth="1" min="6" max="6"/>
    <col width="12" customWidth="1" min="7" max="7"/>
    <col width="30" customWidth="1" min="8" max="8"/>
    <col width="8" customWidth="1" min="9" max="9"/>
  </cols>
  <sheetData>
    <row r="1" ht="18" customHeight="1">
      <c r="A1" s="1" t="inlineStr">
        <is>
          <t>Реестр приложений к претензии и иску</t>
        </is>
      </c>
    </row>
    <row r="2" ht="48" customHeight="1">
      <c r="A2" s="2" t="inlineStr">
        <is>
          <t>Что прикладывается, в каком виде и где лежит. Из этого реестра собирается список приложений претензии (файл 09) и иска (файл 10). Входящие документы заказчика — гарантийное письмо, протокол или соглашение, подписанный им акт сверки, возражения — вносятся сюда же: отдельного реестра входящих нет.</t>
        </is>
      </c>
    </row>
    <row r="4">
      <c r="A4" s="3" t="inlineStr">
        <is>
          <t>№</t>
        </is>
      </c>
      <c r="B4" s="3" t="inlineStr">
        <is>
          <t>Документ</t>
        </is>
      </c>
      <c r="C4" s="3" t="inlineStr">
        <is>
          <t>№ и дата</t>
        </is>
      </c>
      <c r="D4" s="3" t="inlineStr">
        <is>
          <t>Листов</t>
        </is>
      </c>
      <c r="E4" s="3" t="inlineStr">
        <is>
          <t>Копия / оригинал</t>
        </is>
      </c>
      <c r="F4" s="3" t="inlineStr">
        <is>
          <t>К претензии</t>
        </is>
      </c>
      <c r="G4" s="3" t="inlineStr">
        <is>
          <t>К иску</t>
        </is>
      </c>
      <c r="H4" s="3" t="inlineStr">
        <is>
          <t>Где лежит (папка, файл)</t>
        </is>
      </c>
      <c r="I4" s="3" t="inlineStr">
        <is>
          <t>Есть</t>
        </is>
      </c>
    </row>
    <row r="5">
      <c r="A5" s="6" t="n">
        <v>1</v>
      </c>
      <c r="B5" s="8" t="inlineStr">
        <is>
          <t>Договор и дополнительные соглашения</t>
        </is>
      </c>
      <c r="C5" s="8" t="n"/>
      <c r="D5" s="8" t="n"/>
      <c r="E5" s="8" t="n"/>
      <c r="F5" s="8" t="n"/>
      <c r="G5" s="8" t="n"/>
      <c r="H5" s="8" t="n"/>
      <c r="I5" s="8" t="n"/>
    </row>
    <row r="6">
      <c r="A6" s="6" t="n">
        <v>2</v>
      </c>
      <c r="B6" s="8" t="inlineStr">
        <is>
          <t>Акты КС-2 / акты выполненных работ</t>
        </is>
      </c>
      <c r="C6" s="8" t="n"/>
      <c r="D6" s="8" t="n"/>
      <c r="E6" s="8" t="n"/>
      <c r="F6" s="8" t="n"/>
      <c r="G6" s="8" t="n"/>
      <c r="H6" s="8" t="n"/>
      <c r="I6" s="8" t="n"/>
    </row>
    <row r="7">
      <c r="A7" s="6" t="n">
        <v>3</v>
      </c>
      <c r="B7" s="8" t="inlineStr">
        <is>
          <t>Справки КС-3</t>
        </is>
      </c>
      <c r="C7" s="8" t="n"/>
      <c r="D7" s="8" t="n"/>
      <c r="E7" s="8" t="n"/>
      <c r="F7" s="8" t="n"/>
      <c r="G7" s="8" t="n"/>
      <c r="H7" s="8" t="n"/>
      <c r="I7" s="8" t="n"/>
    </row>
    <row r="8">
      <c r="A8" s="6" t="n">
        <v>4</v>
      </c>
      <c r="B8" s="8" t="inlineStr">
        <is>
          <t>Доказательства передачи актов</t>
        </is>
      </c>
      <c r="C8" s="8" t="n"/>
      <c r="D8" s="8" t="n"/>
      <c r="E8" s="8" t="n"/>
      <c r="F8" s="8" t="n"/>
      <c r="G8" s="8" t="n"/>
      <c r="H8" s="8" t="n"/>
      <c r="I8" s="8" t="n"/>
    </row>
    <row r="9">
      <c r="A9" s="6" t="n">
        <v>5</v>
      </c>
      <c r="B9" s="8" t="inlineStr">
        <is>
          <t>Переписка с заказчиком об оплате</t>
        </is>
      </c>
      <c r="C9" s="8" t="n"/>
      <c r="D9" s="8" t="n"/>
      <c r="E9" s="8" t="n"/>
      <c r="F9" s="8" t="n"/>
      <c r="G9" s="8" t="n"/>
      <c r="H9" s="8" t="n"/>
      <c r="I9" s="8" t="n"/>
    </row>
    <row r="10">
      <c r="A10" s="6" t="n">
        <v>6</v>
      </c>
      <c r="B10" s="8" t="inlineStr">
        <is>
          <t>Реестр взаиморасчётов / акт сверки</t>
        </is>
      </c>
      <c r="C10" s="8" t="n"/>
      <c r="D10" s="8" t="n"/>
      <c r="E10" s="8" t="n"/>
      <c r="F10" s="8" t="n"/>
      <c r="G10" s="8" t="n"/>
      <c r="H10" s="8" t="n"/>
      <c r="I10" s="8" t="n"/>
    </row>
    <row r="11">
      <c r="A11" s="6" t="n">
        <v>7</v>
      </c>
      <c r="B11" s="8" t="inlineStr">
        <is>
          <t>Платёжные поручения</t>
        </is>
      </c>
      <c r="C11" s="8" t="n"/>
      <c r="D11" s="8" t="n"/>
      <c r="E11" s="8" t="n"/>
      <c r="F11" s="8" t="n"/>
      <c r="G11" s="8" t="n"/>
      <c r="H11" s="8" t="n"/>
      <c r="I11" s="8" t="n"/>
    </row>
    <row r="12">
      <c r="A12" s="6" t="n">
        <v>8</v>
      </c>
      <c r="B12" s="8" t="inlineStr">
        <is>
          <t>Расчёт процентов по ст. 395 ГК РФ</t>
        </is>
      </c>
      <c r="C12" s="8" t="n"/>
      <c r="D12" s="8" t="n"/>
      <c r="E12" s="8" t="n"/>
      <c r="F12" s="8" t="n"/>
      <c r="G12" s="8" t="n"/>
      <c r="H12" s="8" t="n"/>
      <c r="I12" s="8" t="n"/>
    </row>
    <row r="13">
      <c r="A13" s="6" t="n">
        <v>9</v>
      </c>
      <c r="B13" s="8" t="inlineStr">
        <is>
          <t>Претензия и доказательство её направления</t>
        </is>
      </c>
      <c r="C13" s="8" t="n"/>
      <c r="D13" s="8" t="n"/>
      <c r="E13" s="8" t="n"/>
      <c r="F13" s="8" t="n"/>
      <c r="G13" s="8" t="n"/>
      <c r="H13" s="8" t="n"/>
      <c r="I13" s="8" t="n"/>
    </row>
    <row r="14">
      <c r="A14" s="6" t="n">
        <v>10</v>
      </c>
      <c r="B14" s="8" t="inlineStr">
        <is>
          <t>Выписка ЕГРЮЛ на истца</t>
        </is>
      </c>
      <c r="C14" s="8" t="n"/>
      <c r="D14" s="8" t="n"/>
      <c r="E14" s="8" t="n"/>
      <c r="F14" s="8" t="n"/>
      <c r="G14" s="8" t="n"/>
      <c r="H14" s="8" t="n"/>
      <c r="I14" s="8" t="n"/>
    </row>
    <row r="15">
      <c r="A15" s="6" t="n">
        <v>11</v>
      </c>
      <c r="B15" s="8" t="inlineStr">
        <is>
          <t>Выписка ЕГРЮЛ на ответчика</t>
        </is>
      </c>
      <c r="C15" s="8" t="n"/>
      <c r="D15" s="8" t="n"/>
      <c r="E15" s="8" t="n"/>
      <c r="F15" s="8" t="n"/>
      <c r="G15" s="8" t="n"/>
      <c r="H15" s="8" t="n"/>
      <c r="I15" s="8" t="n"/>
    </row>
    <row r="16">
      <c r="A16" s="6" t="n">
        <v>12</v>
      </c>
      <c r="B16" s="8" t="inlineStr">
        <is>
          <t>Документ об уплате государственной пошлины</t>
        </is>
      </c>
      <c r="C16" s="8" t="n"/>
      <c r="D16" s="8" t="n"/>
      <c r="E16" s="8" t="n"/>
      <c r="F16" s="8" t="n"/>
      <c r="G16" s="8" t="n"/>
      <c r="H16" s="8" t="n"/>
      <c r="I16" s="8" t="n"/>
    </row>
    <row r="17">
      <c r="A17" s="6" t="n">
        <v>13</v>
      </c>
      <c r="B17" s="8" t="inlineStr">
        <is>
          <t>Доказательство направления иска ответчику</t>
        </is>
      </c>
      <c r="C17" s="8" t="n"/>
      <c r="D17" s="8" t="n"/>
      <c r="E17" s="8" t="n"/>
      <c r="F17" s="8" t="n"/>
      <c r="G17" s="8" t="n"/>
      <c r="H17" s="8" t="n"/>
      <c r="I17" s="8" t="n"/>
    </row>
    <row r="18">
      <c r="A18" s="6" t="n">
        <v>14</v>
      </c>
      <c r="B18" s="8" t="inlineStr">
        <is>
          <t>Доверенность представителя</t>
        </is>
      </c>
      <c r="C18" s="8" t="n"/>
      <c r="D18" s="8" t="n"/>
      <c r="E18" s="8" t="n"/>
      <c r="F18" s="8" t="n"/>
      <c r="G18" s="8" t="n"/>
      <c r="H18" s="8" t="n"/>
      <c r="I18" s="8" t="n"/>
    </row>
    <row r="19">
      <c r="A19" s="6" t="n">
        <v>15</v>
      </c>
      <c r="B19" s="8" t="inlineStr">
        <is>
          <t>Гарантийное письмо заказчика</t>
        </is>
      </c>
      <c r="C19" s="8" t="n"/>
      <c r="D19" s="8" t="n"/>
      <c r="E19" s="8" t="n"/>
      <c r="F19" s="8" t="n"/>
      <c r="G19" s="8" t="n"/>
      <c r="H19" s="8" t="n"/>
      <c r="I19" s="8" t="n"/>
    </row>
    <row r="20">
      <c r="A20" s="6" t="n">
        <v>16</v>
      </c>
      <c r="B20" s="8" t="inlineStr">
        <is>
          <t>Протокол переговоров / соглашение</t>
        </is>
      </c>
      <c r="C20" s="8" t="n"/>
      <c r="D20" s="8" t="n"/>
      <c r="E20" s="8" t="n"/>
      <c r="F20" s="8" t="n"/>
      <c r="G20" s="8" t="n"/>
      <c r="H20" s="8" t="n"/>
      <c r="I20" s="8" t="n"/>
    </row>
    <row r="21">
      <c r="A21" s="6" t="n">
        <v>17</v>
      </c>
      <c r="B21" s="8" t="inlineStr">
        <is>
          <t>Акт сверки, подписанный Заказчиком</t>
        </is>
      </c>
      <c r="C21" s="8" t="n"/>
      <c r="D21" s="8" t="n"/>
      <c r="E21" s="8" t="n"/>
      <c r="F21" s="8" t="n"/>
      <c r="G21" s="8" t="n"/>
      <c r="H21" s="8" t="n"/>
      <c r="I21" s="8" t="n"/>
    </row>
    <row r="22">
      <c r="A22" s="6" t="n">
        <v>18</v>
      </c>
      <c r="B22" s="8" t="inlineStr">
        <is>
          <t>Возражения Заказчика</t>
        </is>
      </c>
      <c r="C22" s="8" t="n"/>
      <c r="D22" s="8" t="n"/>
      <c r="E22" s="8" t="n"/>
      <c r="F22" s="8" t="n"/>
      <c r="G22" s="8" t="n"/>
      <c r="H22" s="8" t="n"/>
      <c r="I22" s="8" t="n"/>
    </row>
    <row r="23">
      <c r="A23" s="6" t="n">
        <v>19</v>
      </c>
      <c r="B23" s="8" t="n"/>
      <c r="C23" s="8" t="n"/>
      <c r="D23" s="8" t="n"/>
      <c r="E23" s="8" t="n"/>
      <c r="F23" s="8" t="n"/>
      <c r="G23" s="8" t="n"/>
      <c r="H23" s="8" t="n"/>
      <c r="I23" s="8" t="n"/>
    </row>
    <row r="24">
      <c r="A24" s="6" t="n">
        <v>20</v>
      </c>
      <c r="B24" s="8" t="n"/>
      <c r="C24" s="8" t="n"/>
      <c r="D24" s="8" t="n"/>
      <c r="E24" s="8" t="n"/>
      <c r="F24" s="8" t="n"/>
      <c r="G24" s="8" t="n"/>
      <c r="H24" s="8" t="n"/>
      <c r="I24" s="8" t="n"/>
    </row>
    <row r="25">
      <c r="A25" s="6" t="n">
        <v>21</v>
      </c>
      <c r="B25" s="8" t="n"/>
      <c r="C25" s="8" t="n"/>
      <c r="D25" s="8" t="n"/>
      <c r="E25" s="8" t="n"/>
      <c r="F25" s="8" t="n"/>
      <c r="G25" s="8" t="n"/>
      <c r="H25" s="8" t="n"/>
      <c r="I25" s="8" t="n"/>
    </row>
    <row r="26">
      <c r="A26" s="6" t="n">
        <v>22</v>
      </c>
      <c r="B26" s="8" t="n"/>
      <c r="C26" s="8" t="n"/>
      <c r="D26" s="8" t="n"/>
      <c r="E26" s="8" t="n"/>
      <c r="F26" s="8" t="n"/>
      <c r="G26" s="8" t="n"/>
      <c r="H26" s="8" t="n"/>
      <c r="I26" s="8" t="n"/>
    </row>
    <row r="27">
      <c r="A27" s="6" t="n">
        <v>23</v>
      </c>
      <c r="B27" s="8" t="n"/>
      <c r="C27" s="8" t="n"/>
      <c r="D27" s="8" t="n"/>
      <c r="E27" s="8" t="n"/>
      <c r="F27" s="8" t="n"/>
      <c r="G27" s="8" t="n"/>
      <c r="H27" s="8" t="n"/>
      <c r="I27" s="8" t="n"/>
    </row>
    <row r="28">
      <c r="A28" s="6" t="n">
        <v>24</v>
      </c>
      <c r="B28" s="8" t="n"/>
      <c r="C28" s="8" t="n"/>
      <c r="D28" s="8" t="n"/>
      <c r="E28" s="8" t="n"/>
      <c r="F28" s="8" t="n"/>
      <c r="G28" s="8" t="n"/>
      <c r="H28" s="8" t="n"/>
      <c r="I28" s="8" t="n"/>
    </row>
    <row r="29">
      <c r="A29" s="6" t="n">
        <v>25</v>
      </c>
      <c r="B29" s="8" t="n"/>
      <c r="C29" s="8" t="n"/>
      <c r="D29" s="8" t="n"/>
      <c r="E29" s="8" t="n"/>
      <c r="F29" s="8" t="n"/>
      <c r="G29" s="8" t="n"/>
      <c r="H29" s="8" t="n"/>
      <c r="I29" s="8" t="n"/>
    </row>
    <row r="30">
      <c r="A30" s="6" t="n">
        <v>26</v>
      </c>
      <c r="B30" s="8" t="n"/>
      <c r="C30" s="8" t="n"/>
      <c r="D30" s="8" t="n"/>
      <c r="E30" s="8" t="n"/>
      <c r="F30" s="8" t="n"/>
      <c r="G30" s="8" t="n"/>
      <c r="H30" s="8" t="n"/>
      <c r="I30" s="8" t="n"/>
    </row>
    <row r="31">
      <c r="A31" s="6" t="n">
        <v>27</v>
      </c>
      <c r="B31" s="8" t="n"/>
      <c r="C31" s="8" t="n"/>
      <c r="D31" s="8" t="n"/>
      <c r="E31" s="8" t="n"/>
      <c r="F31" s="8" t="n"/>
      <c r="G31" s="8" t="n"/>
      <c r="H31" s="8" t="n"/>
      <c r="I31" s="8" t="n"/>
    </row>
    <row r="32">
      <c r="A32" s="6" t="n">
        <v>28</v>
      </c>
      <c r="B32" s="8" t="n"/>
      <c r="C32" s="8" t="n"/>
      <c r="D32" s="8" t="n"/>
      <c r="E32" s="8" t="n"/>
      <c r="F32" s="8" t="n"/>
      <c r="G32" s="8" t="n"/>
      <c r="H32" s="8" t="n"/>
      <c r="I32" s="8" t="n"/>
    </row>
    <row r="33">
      <c r="A33" s="6" t="n">
        <v>29</v>
      </c>
      <c r="B33" s="8" t="n"/>
      <c r="C33" s="8" t="n"/>
      <c r="D33" s="8" t="n"/>
      <c r="E33" s="8" t="n"/>
      <c r="F33" s="8" t="n"/>
      <c r="G33" s="8" t="n"/>
      <c r="H33" s="8" t="n"/>
      <c r="I33" s="8" t="n"/>
    </row>
    <row r="34">
      <c r="A34" s="6" t="n">
        <v>30</v>
      </c>
      <c r="B34" s="8" t="n"/>
      <c r="C34" s="8" t="n"/>
      <c r="D34" s="8" t="n"/>
      <c r="E34" s="8" t="n"/>
      <c r="F34" s="8" t="n"/>
      <c r="G34" s="8" t="n"/>
      <c r="H34" s="8" t="n"/>
      <c r="I34" s="8" t="n"/>
    </row>
    <row r="35">
      <c r="A35" s="6" t="n">
        <v>31</v>
      </c>
      <c r="B35" s="8" t="n"/>
      <c r="C35" s="8" t="n"/>
      <c r="D35" s="8" t="n"/>
      <c r="E35" s="8" t="n"/>
      <c r="F35" s="8" t="n"/>
      <c r="G35" s="8" t="n"/>
      <c r="H35" s="8" t="n"/>
      <c r="I35" s="8" t="n"/>
    </row>
    <row r="36">
      <c r="A36" s="6" t="n">
        <v>32</v>
      </c>
      <c r="B36" s="8" t="n"/>
      <c r="C36" s="8" t="n"/>
      <c r="D36" s="8" t="n"/>
      <c r="E36" s="8" t="n"/>
      <c r="F36" s="8" t="n"/>
      <c r="G36" s="8" t="n"/>
      <c r="H36" s="8" t="n"/>
      <c r="I36" s="8" t="n"/>
    </row>
    <row r="37">
      <c r="A37" s="6" t="n">
        <v>33</v>
      </c>
      <c r="B37" s="8" t="n"/>
      <c r="C37" s="8" t="n"/>
      <c r="D37" s="8" t="n"/>
      <c r="E37" s="8" t="n"/>
      <c r="F37" s="8" t="n"/>
      <c r="G37" s="8" t="n"/>
      <c r="H37" s="8" t="n"/>
      <c r="I37" s="8" t="n"/>
    </row>
    <row r="38">
      <c r="A38" s="6" t="n">
        <v>34</v>
      </c>
      <c r="B38" s="8" t="n"/>
      <c r="C38" s="8" t="n"/>
      <c r="D38" s="8" t="n"/>
      <c r="E38" s="8" t="n"/>
      <c r="F38" s="8" t="n"/>
      <c r="G38" s="8" t="n"/>
      <c r="H38" s="8" t="n"/>
      <c r="I38" s="8" t="n"/>
    </row>
    <row r="39">
      <c r="A39" s="6" t="n">
        <v>35</v>
      </c>
      <c r="B39" s="8" t="n"/>
      <c r="C39" s="8" t="n"/>
      <c r="D39" s="8" t="n"/>
      <c r="E39" s="8" t="n"/>
      <c r="F39" s="8" t="n"/>
      <c r="G39" s="8" t="n"/>
      <c r="H39" s="8" t="n"/>
      <c r="I39" s="8" t="n"/>
    </row>
    <row r="40">
      <c r="A40" s="6" t="n">
        <v>36</v>
      </c>
      <c r="B40" s="8" t="n"/>
      <c r="C40" s="8" t="n"/>
      <c r="D40" s="8" t="n"/>
      <c r="E40" s="8" t="n"/>
      <c r="F40" s="8" t="n"/>
      <c r="G40" s="8" t="n"/>
      <c r="H40" s="8" t="n"/>
      <c r="I40" s="8" t="n"/>
    </row>
    <row r="41">
      <c r="A41" s="6" t="n">
        <v>37</v>
      </c>
      <c r="B41" s="8" t="n"/>
      <c r="C41" s="8" t="n"/>
      <c r="D41" s="8" t="n"/>
      <c r="E41" s="8" t="n"/>
      <c r="F41" s="8" t="n"/>
      <c r="G41" s="8" t="n"/>
      <c r="H41" s="8" t="n"/>
      <c r="I41" s="8" t="n"/>
    </row>
    <row r="42">
      <c r="A42" s="6" t="n">
        <v>38</v>
      </c>
      <c r="B42" s="8" t="n"/>
      <c r="C42" s="8" t="n"/>
      <c r="D42" s="8" t="n"/>
      <c r="E42" s="8" t="n"/>
      <c r="F42" s="8" t="n"/>
      <c r="G42" s="8" t="n"/>
      <c r="H42" s="8" t="n"/>
      <c r="I42" s="8" t="n"/>
    </row>
    <row r="43">
      <c r="A43" s="6" t="n">
        <v>39</v>
      </c>
      <c r="B43" s="8" t="n"/>
      <c r="C43" s="8" t="n"/>
      <c r="D43" s="8" t="n"/>
      <c r="E43" s="8" t="n"/>
      <c r="F43" s="8" t="n"/>
      <c r="G43" s="8" t="n"/>
      <c r="H43" s="8" t="n"/>
      <c r="I43" s="8" t="n"/>
    </row>
    <row r="44">
      <c r="A44" s="6" t="n">
        <v>40</v>
      </c>
      <c r="B44" s="8" t="n"/>
      <c r="C44" s="8" t="n"/>
      <c r="D44" s="8" t="n"/>
      <c r="E44" s="8" t="n"/>
      <c r="F44" s="8" t="n"/>
      <c r="G44" s="8" t="n"/>
      <c r="H44" s="8" t="n"/>
      <c r="I44" s="8" t="n"/>
    </row>
    <row r="45">
      <c r="A45" s="6" t="n">
        <v>41</v>
      </c>
      <c r="B45" s="8" t="n"/>
      <c r="C45" s="8" t="n"/>
      <c r="D45" s="8" t="n"/>
      <c r="E45" s="8" t="n"/>
      <c r="F45" s="8" t="n"/>
      <c r="G45" s="8" t="n"/>
      <c r="H45" s="8" t="n"/>
      <c r="I45" s="8" t="n"/>
    </row>
    <row r="46">
      <c r="A46" s="6" t="n">
        <v>42</v>
      </c>
      <c r="B46" s="8" t="n"/>
      <c r="C46" s="8" t="n"/>
      <c r="D46" s="8" t="n"/>
      <c r="E46" s="8" t="n"/>
      <c r="F46" s="8" t="n"/>
      <c r="G46" s="8" t="n"/>
      <c r="H46" s="8" t="n"/>
      <c r="I46" s="8" t="n"/>
    </row>
    <row r="47">
      <c r="A47" s="6" t="n">
        <v>43</v>
      </c>
      <c r="B47" s="8" t="n"/>
      <c r="C47" s="8" t="n"/>
      <c r="D47" s="8" t="n"/>
      <c r="E47" s="8" t="n"/>
      <c r="F47" s="8" t="n"/>
      <c r="G47" s="8" t="n"/>
      <c r="H47" s="8" t="n"/>
      <c r="I47" s="8" t="n"/>
    </row>
    <row r="48">
      <c r="A48" s="6" t="n">
        <v>44</v>
      </c>
      <c r="B48" s="8" t="n"/>
      <c r="C48" s="8" t="n"/>
      <c r="D48" s="8" t="n"/>
      <c r="E48" s="8" t="n"/>
      <c r="F48" s="8" t="n"/>
      <c r="G48" s="8" t="n"/>
      <c r="H48" s="8" t="n"/>
      <c r="I48" s="8" t="n"/>
    </row>
    <row r="49">
      <c r="A49" s="6" t="n">
        <v>45</v>
      </c>
      <c r="B49" s="8" t="n"/>
      <c r="C49" s="8" t="n"/>
      <c r="D49" s="8" t="n"/>
      <c r="E49" s="8" t="n"/>
      <c r="F49" s="8" t="n"/>
      <c r="G49" s="8" t="n"/>
      <c r="H49" s="8" t="n"/>
      <c r="I49" s="8" t="n"/>
    </row>
    <row r="50">
      <c r="A50" s="6" t="n">
        <v>46</v>
      </c>
      <c r="B50" s="8" t="n"/>
      <c r="C50" s="8" t="n"/>
      <c r="D50" s="8" t="n"/>
      <c r="E50" s="8" t="n"/>
      <c r="F50" s="8" t="n"/>
      <c r="G50" s="8" t="n"/>
      <c r="H50" s="8" t="n"/>
      <c r="I50" s="8" t="n"/>
    </row>
    <row r="51">
      <c r="A51" s="6" t="n">
        <v>47</v>
      </c>
      <c r="B51" s="8" t="n"/>
      <c r="C51" s="8" t="n"/>
      <c r="D51" s="8" t="n"/>
      <c r="E51" s="8" t="n"/>
      <c r="F51" s="8" t="n"/>
      <c r="G51" s="8" t="n"/>
      <c r="H51" s="8" t="n"/>
      <c r="I51" s="8" t="n"/>
    </row>
    <row r="52">
      <c r="A52" s="6" t="n">
        <v>48</v>
      </c>
      <c r="B52" s="8" t="n"/>
      <c r="C52" s="8" t="n"/>
      <c r="D52" s="8" t="n"/>
      <c r="E52" s="8" t="n"/>
      <c r="F52" s="8" t="n"/>
      <c r="G52" s="8" t="n"/>
      <c r="H52" s="8" t="n"/>
      <c r="I52" s="8" t="n"/>
    </row>
    <row r="53">
      <c r="A53" s="6" t="n">
        <v>49</v>
      </c>
      <c r="B53" s="8" t="n"/>
      <c r="C53" s="8" t="n"/>
      <c r="D53" s="8" t="n"/>
      <c r="E53" s="8" t="n"/>
      <c r="F53" s="8" t="n"/>
      <c r="G53" s="8" t="n"/>
      <c r="H53" s="8" t="n"/>
      <c r="I53" s="8" t="n"/>
    </row>
    <row r="54">
      <c r="A54" s="6" t="n">
        <v>50</v>
      </c>
      <c r="B54" s="8" t="n"/>
      <c r="C54" s="8" t="n"/>
      <c r="D54" s="8" t="n"/>
      <c r="E54" s="8" t="n"/>
      <c r="F54" s="8" t="n"/>
      <c r="G54" s="8" t="n"/>
      <c r="H54" s="8" t="n"/>
      <c r="I54" s="8" t="n"/>
    </row>
    <row r="56">
      <c r="B56" t="inlineStr">
        <is>
          <t>Нужно к иску, но нет</t>
        </is>
      </c>
      <c r="I56">
        <f>COUNTIFS(G5:G54,"Да",I5:I54,"&lt;&gt;Да")</f>
        <v/>
      </c>
    </row>
  </sheetData>
  <mergeCells count="2">
    <mergeCell ref="A1:I1"/>
    <mergeCell ref="A2:I2"/>
  </mergeCells>
  <dataValidations count="3">
    <dataValidation sqref="E5:E54" showDropDown="0" showInputMessage="0" showErrorMessage="0" allowBlank="1" errorTitle="Недопустимое значение" error="Выберите значение из списка" type="list">
      <formula1>"Копия,Оригинал,Электронный образ"</formula1>
    </dataValidation>
    <dataValidation sqref="F5:G54" showDropDown="0" showInputMessage="0" showErrorMessage="0" allowBlank="1" errorTitle="Недопустимое значение" error="Выберите значение из списка" type="list">
      <formula1>"Да,Нет"</formula1>
    </dataValidation>
    <dataValidation sqref="I5:I54" showDropDown="0" showInputMessage="0" showErrorMessage="0" allowBlank="1" errorTitle="Недопустимое значение" error="Выберите значение из списка" type="list">
      <formula1>"Да,Нет"</formula1>
    </dataValidation>
  </dataValidation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Маржа в бетоне</dc:creator>
  <dcterms:created xmlns:dcterms="http://purl.org/dc/terms/" xmlns:xsi="http://www.w3.org/2001/XMLSchema-instance" xsi:type="dcterms:W3CDTF">2026-09-27T00:00:00Z</dcterms:created>
  <dcterms:modified xmlns:dcterms="http://purl.org/dc/terms/" xmlns:xsi="http://www.w3.org/2001/XMLSchema-instance" xsi:type="dcterms:W3CDTF">2026-09-27T00:00:00Z</dcterms:modified>
  <cp:lastModifiedBy>build_s1_candidate.py</cp:lastModifiedBy>
</cp:coreProperties>
</file>